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1014614\Downloads\"/>
    </mc:Choice>
  </mc:AlternateContent>
  <workbookProtection lockStructure="1"/>
  <bookViews>
    <workbookView xWindow="0" yWindow="0" windowWidth="4572" windowHeight="288"/>
  </bookViews>
  <sheets>
    <sheet name="Заголовки" sheetId="1" r:id="rId1"/>
    <sheet name="Инструкция" sheetId="2" r:id="rId2"/>
  </sheets>
  <definedNames>
    <definedName name="_xlnm._FilterDatabase" localSheetId="0" hidden="1">Заголовки!$G$1:$W$844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42" i="1" l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219" i="1"/>
  <c r="B844" i="1" l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5" i="1"/>
  <c r="W463" i="1"/>
  <c r="W458" i="1"/>
  <c r="W456" i="1"/>
  <c r="W453" i="1"/>
  <c r="W443" i="1"/>
  <c r="W435" i="1"/>
  <c r="W433" i="1"/>
  <c r="W432" i="1"/>
  <c r="W419" i="1"/>
  <c r="W416" i="1"/>
  <c r="W406" i="1"/>
  <c r="W405" i="1"/>
  <c r="W403" i="1"/>
  <c r="W401" i="1"/>
  <c r="W397" i="1"/>
  <c r="W386" i="1"/>
  <c r="W383" i="1"/>
  <c r="W382" i="1"/>
  <c r="W375" i="1"/>
  <c r="W362" i="1"/>
  <c r="W359" i="1"/>
  <c r="W358" i="1"/>
  <c r="W356" i="1"/>
  <c r="W349" i="1"/>
  <c r="W346" i="1"/>
  <c r="W339" i="1"/>
  <c r="W337" i="1"/>
  <c r="C844" i="1"/>
  <c r="C843" i="1"/>
  <c r="T843" i="1" s="1"/>
  <c r="U843" i="1" s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T813" i="1" s="1"/>
  <c r="U813" i="1" s="1"/>
  <c r="C812" i="1"/>
  <c r="C811" i="1"/>
  <c r="C810" i="1"/>
  <c r="C809" i="1"/>
  <c r="T809" i="1" s="1"/>
  <c r="C808" i="1"/>
  <c r="T808" i="1" s="1"/>
  <c r="U808" i="1" s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T729" i="1" s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T715" i="1" s="1"/>
  <c r="U715" i="1" s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T685" i="1" s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T661" i="1" s="1"/>
  <c r="U661" i="1" s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T645" i="1" s="1"/>
  <c r="U645" i="1" s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T623" i="1" s="1"/>
  <c r="U623" i="1" s="1"/>
  <c r="C622" i="1"/>
  <c r="C621" i="1"/>
  <c r="C620" i="1"/>
  <c r="C619" i="1"/>
  <c r="C618" i="1"/>
  <c r="T618" i="1" s="1"/>
  <c r="U618" i="1" s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T585" i="1" s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T571" i="1" s="1"/>
  <c r="U571" i="1" s="1"/>
  <c r="C570" i="1"/>
  <c r="T570" i="1" s="1"/>
  <c r="U570" i="1" s="1"/>
  <c r="C569" i="1"/>
  <c r="C568" i="1"/>
  <c r="C567" i="1"/>
  <c r="C566" i="1"/>
  <c r="C565" i="1"/>
  <c r="T565" i="1" s="1"/>
  <c r="U565" i="1" s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T532" i="1" s="1"/>
  <c r="U532" i="1" s="1"/>
  <c r="C531" i="1"/>
  <c r="T531" i="1" s="1"/>
  <c r="U531" i="1" s="1"/>
  <c r="C530" i="1"/>
  <c r="C529" i="1"/>
  <c r="C528" i="1"/>
  <c r="C527" i="1"/>
  <c r="C526" i="1"/>
  <c r="C525" i="1"/>
  <c r="C524" i="1"/>
  <c r="C523" i="1"/>
  <c r="C522" i="1"/>
  <c r="C521" i="1"/>
  <c r="C520" i="1"/>
  <c r="C519" i="1"/>
  <c r="T519" i="1" s="1"/>
  <c r="U519" i="1" s="1"/>
  <c r="C518" i="1"/>
  <c r="T518" i="1" s="1"/>
  <c r="U518" i="1" s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T500" i="1" s="1"/>
  <c r="U500" i="1" s="1"/>
  <c r="C499" i="1"/>
  <c r="T499" i="1" s="1"/>
  <c r="U499" i="1" s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T483" i="1" s="1"/>
  <c r="U483" i="1" s="1"/>
  <c r="C482" i="1"/>
  <c r="C481" i="1"/>
  <c r="C480" i="1"/>
  <c r="C479" i="1"/>
  <c r="C478" i="1"/>
  <c r="C477" i="1"/>
  <c r="C476" i="1"/>
  <c r="C475" i="1"/>
  <c r="C474" i="1"/>
  <c r="T474" i="1" s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T461" i="1" s="1"/>
  <c r="U461" i="1" s="1"/>
  <c r="C460" i="1"/>
  <c r="T460" i="1" s="1"/>
  <c r="U460" i="1" s="1"/>
  <c r="C459" i="1"/>
  <c r="C458" i="1"/>
  <c r="T458" i="1" s="1"/>
  <c r="C457" i="1"/>
  <c r="C456" i="1"/>
  <c r="C455" i="1"/>
  <c r="C454" i="1"/>
  <c r="C453" i="1"/>
  <c r="C452" i="1"/>
  <c r="C451" i="1"/>
  <c r="C450" i="1"/>
  <c r="C449" i="1"/>
  <c r="C448" i="1"/>
  <c r="T448" i="1" s="1"/>
  <c r="U448" i="1" s="1"/>
  <c r="C447" i="1"/>
  <c r="T447" i="1" s="1"/>
  <c r="U447" i="1" s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T429" i="1" s="1"/>
  <c r="U429" i="1" s="1"/>
  <c r="C428" i="1"/>
  <c r="C427" i="1"/>
  <c r="C426" i="1"/>
  <c r="C425" i="1"/>
  <c r="C424" i="1"/>
  <c r="C423" i="1"/>
  <c r="C422" i="1"/>
  <c r="C421" i="1"/>
  <c r="C420" i="1"/>
  <c r="C419" i="1"/>
  <c r="T419" i="1" s="1"/>
  <c r="U419" i="1" s="1"/>
  <c r="C418" i="1"/>
  <c r="C417" i="1"/>
  <c r="C416" i="1"/>
  <c r="C415" i="1"/>
  <c r="C414" i="1"/>
  <c r="C413" i="1"/>
  <c r="C412" i="1"/>
  <c r="C411" i="1"/>
  <c r="C410" i="1"/>
  <c r="T410" i="1" s="1"/>
  <c r="C409" i="1"/>
  <c r="T409" i="1" s="1"/>
  <c r="U409" i="1" s="1"/>
  <c r="C408" i="1"/>
  <c r="C407" i="1"/>
  <c r="C406" i="1"/>
  <c r="C405" i="1"/>
  <c r="T405" i="1" s="1"/>
  <c r="U405" i="1" s="1"/>
  <c r="C404" i="1"/>
  <c r="C403" i="1"/>
  <c r="C402" i="1"/>
  <c r="C401" i="1"/>
  <c r="C400" i="1"/>
  <c r="C399" i="1"/>
  <c r="C398" i="1"/>
  <c r="C397" i="1"/>
  <c r="T397" i="1" s="1"/>
  <c r="U397" i="1" s="1"/>
  <c r="C396" i="1"/>
  <c r="T396" i="1" s="1"/>
  <c r="U396" i="1" s="1"/>
  <c r="C395" i="1"/>
  <c r="C394" i="1"/>
  <c r="T394" i="1" s="1"/>
  <c r="C393" i="1"/>
  <c r="C392" i="1"/>
  <c r="C391" i="1"/>
  <c r="C390" i="1"/>
  <c r="C389" i="1"/>
  <c r="C388" i="1"/>
  <c r="C387" i="1"/>
  <c r="C386" i="1"/>
  <c r="C385" i="1"/>
  <c r="C384" i="1"/>
  <c r="C383" i="1"/>
  <c r="T383" i="1" s="1"/>
  <c r="U383" i="1" s="1"/>
  <c r="C382" i="1"/>
  <c r="C381" i="1"/>
  <c r="T381" i="1" s="1"/>
  <c r="U381" i="1" s="1"/>
  <c r="C380" i="1"/>
  <c r="C379" i="1"/>
  <c r="C378" i="1"/>
  <c r="C377" i="1"/>
  <c r="C376" i="1"/>
  <c r="C375" i="1"/>
  <c r="C374" i="1"/>
  <c r="C373" i="1"/>
  <c r="C372" i="1"/>
  <c r="T372" i="1" s="1"/>
  <c r="U372" i="1" s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T352" i="1" s="1"/>
  <c r="U352" i="1" s="1"/>
  <c r="C351" i="1"/>
  <c r="T351" i="1" s="1"/>
  <c r="U351" i="1" s="1"/>
  <c r="C350" i="1"/>
  <c r="C349" i="1"/>
  <c r="C348" i="1"/>
  <c r="C347" i="1"/>
  <c r="C346" i="1"/>
  <c r="C345" i="1"/>
  <c r="C344" i="1"/>
  <c r="C343" i="1"/>
  <c r="C342" i="1"/>
  <c r="C341" i="1"/>
  <c r="C340" i="1"/>
  <c r="T340" i="1" s="1"/>
  <c r="U340" i="1" s="1"/>
  <c r="C339" i="1"/>
  <c r="T339" i="1" s="1"/>
  <c r="U339" i="1" s="1"/>
  <c r="C338" i="1"/>
  <c r="C337" i="1"/>
  <c r="C336" i="1"/>
  <c r="C335" i="1"/>
  <c r="C334" i="1"/>
  <c r="C333" i="1"/>
  <c r="C332" i="1"/>
  <c r="T332" i="1" s="1"/>
  <c r="U332" i="1" s="1"/>
  <c r="C331" i="1"/>
  <c r="C330" i="1"/>
  <c r="T330" i="1" s="1"/>
  <c r="C329" i="1"/>
  <c r="C328" i="1"/>
  <c r="T328" i="1" s="1"/>
  <c r="U328" i="1" s="1"/>
  <c r="C327" i="1"/>
  <c r="C326" i="1"/>
  <c r="C325" i="1"/>
  <c r="C324" i="1"/>
  <c r="C323" i="1"/>
  <c r="C322" i="1"/>
  <c r="C321" i="1"/>
  <c r="T321" i="1" s="1"/>
  <c r="U321" i="1" s="1"/>
  <c r="C320" i="1"/>
  <c r="T320" i="1" s="1"/>
  <c r="U320" i="1" s="1"/>
  <c r="C319" i="1"/>
  <c r="C318" i="1"/>
  <c r="C317" i="1"/>
  <c r="C316" i="1"/>
  <c r="C315" i="1"/>
  <c r="C314" i="1"/>
  <c r="C313" i="1"/>
  <c r="C312" i="1"/>
  <c r="C311" i="1"/>
  <c r="C310" i="1"/>
  <c r="C309" i="1"/>
  <c r="T309" i="1" s="1"/>
  <c r="U309" i="1" s="1"/>
  <c r="C308" i="1"/>
  <c r="C307" i="1"/>
  <c r="C306" i="1"/>
  <c r="C305" i="1"/>
  <c r="C304" i="1"/>
  <c r="C303" i="1"/>
  <c r="C302" i="1"/>
  <c r="T302" i="1" s="1"/>
  <c r="C301" i="1"/>
  <c r="T301" i="1" s="1"/>
  <c r="U301" i="1" s="1"/>
  <c r="C300" i="1"/>
  <c r="C299" i="1"/>
  <c r="T299" i="1" s="1"/>
  <c r="C298" i="1"/>
  <c r="C297" i="1"/>
  <c r="C296" i="1"/>
  <c r="C295" i="1"/>
  <c r="C294" i="1"/>
  <c r="T294" i="1" s="1"/>
  <c r="C293" i="1"/>
  <c r="C292" i="1"/>
  <c r="T292" i="1" s="1"/>
  <c r="U292" i="1" s="1"/>
  <c r="C291" i="1"/>
  <c r="C290" i="1"/>
  <c r="C289" i="1"/>
  <c r="C288" i="1"/>
  <c r="C287" i="1"/>
  <c r="T287" i="1" s="1"/>
  <c r="U287" i="1" s="1"/>
  <c r="C286" i="1"/>
  <c r="C285" i="1"/>
  <c r="C284" i="1"/>
  <c r="C283" i="1"/>
  <c r="C282" i="1"/>
  <c r="T282" i="1" s="1"/>
  <c r="C281" i="1"/>
  <c r="T281" i="1" s="1"/>
  <c r="U281" i="1" s="1"/>
  <c r="C280" i="1"/>
  <c r="T280" i="1" s="1"/>
  <c r="U280" i="1" s="1"/>
  <c r="C279" i="1"/>
  <c r="C278" i="1"/>
  <c r="C277" i="1"/>
  <c r="C276" i="1"/>
  <c r="C275" i="1"/>
  <c r="C274" i="1"/>
  <c r="C273" i="1"/>
  <c r="C272" i="1"/>
  <c r="C271" i="1"/>
  <c r="C270" i="1"/>
  <c r="C269" i="1"/>
  <c r="T269" i="1" s="1"/>
  <c r="U269" i="1" s="1"/>
  <c r="C268" i="1"/>
  <c r="T268" i="1" s="1"/>
  <c r="U268" i="1" s="1"/>
  <c r="C267" i="1"/>
  <c r="C266" i="1"/>
  <c r="C265" i="1"/>
  <c r="C264" i="1"/>
  <c r="T264" i="1" s="1"/>
  <c r="C263" i="1"/>
  <c r="T263" i="1" s="1"/>
  <c r="U263" i="1" s="1"/>
  <c r="C262" i="1"/>
  <c r="C261" i="1"/>
  <c r="T261" i="1" s="1"/>
  <c r="U261" i="1" s="1"/>
  <c r="C260" i="1"/>
  <c r="C259" i="1"/>
  <c r="C258" i="1"/>
  <c r="C257" i="1"/>
  <c r="C256" i="1"/>
  <c r="C255" i="1"/>
  <c r="C254" i="1"/>
  <c r="C253" i="1"/>
  <c r="T253" i="1" s="1"/>
  <c r="U253" i="1" s="1"/>
  <c r="C252" i="1"/>
  <c r="T252" i="1" s="1"/>
  <c r="U252" i="1" s="1"/>
  <c r="C251" i="1"/>
  <c r="T251" i="1" s="1"/>
  <c r="U251" i="1" s="1"/>
  <c r="C250" i="1"/>
  <c r="C249" i="1"/>
  <c r="C248" i="1"/>
  <c r="C247" i="1"/>
  <c r="C246" i="1"/>
  <c r="C245" i="1"/>
  <c r="C244" i="1"/>
  <c r="C243" i="1"/>
  <c r="C242" i="1"/>
  <c r="T242" i="1" s="1"/>
  <c r="C241" i="1"/>
  <c r="T241" i="1" s="1"/>
  <c r="U241" i="1" s="1"/>
  <c r="C240" i="1"/>
  <c r="C239" i="1"/>
  <c r="C238" i="1"/>
  <c r="C237" i="1"/>
  <c r="C236" i="1"/>
  <c r="T236" i="1" s="1"/>
  <c r="U236" i="1" s="1"/>
  <c r="C235" i="1"/>
  <c r="C234" i="1"/>
  <c r="C233" i="1"/>
  <c r="C232" i="1"/>
  <c r="C231" i="1"/>
  <c r="C230" i="1"/>
  <c r="C229" i="1"/>
  <c r="C228" i="1"/>
  <c r="C227" i="1"/>
  <c r="C226" i="1"/>
  <c r="T226" i="1" s="1"/>
  <c r="C225" i="1"/>
  <c r="T225" i="1" s="1"/>
  <c r="U225" i="1" s="1"/>
  <c r="C224" i="1"/>
  <c r="C223" i="1"/>
  <c r="C222" i="1"/>
  <c r="C221" i="1"/>
  <c r="C220" i="1"/>
  <c r="T220" i="1" s="1"/>
  <c r="U220" i="1" s="1"/>
  <c r="C219" i="1"/>
  <c r="T219" i="1" s="1"/>
  <c r="U219" i="1" s="1"/>
  <c r="C218" i="1"/>
  <c r="C217" i="1"/>
  <c r="C216" i="1"/>
  <c r="C215" i="1"/>
  <c r="C214" i="1"/>
  <c r="C213" i="1"/>
  <c r="T213" i="1" s="1"/>
  <c r="U213" i="1" s="1"/>
  <c r="C212" i="1"/>
  <c r="C211" i="1"/>
  <c r="C210" i="1"/>
  <c r="C209" i="1"/>
  <c r="C208" i="1"/>
  <c r="T208" i="1" s="1"/>
  <c r="U208" i="1" s="1"/>
  <c r="C207" i="1"/>
  <c r="T207" i="1" s="1"/>
  <c r="C206" i="1"/>
  <c r="C205" i="1"/>
  <c r="C204" i="1"/>
  <c r="C203" i="1"/>
  <c r="T203" i="1" s="1"/>
  <c r="C202" i="1"/>
  <c r="C201" i="1"/>
  <c r="C200" i="1"/>
  <c r="C199" i="1"/>
  <c r="C198" i="1"/>
  <c r="C197" i="1"/>
  <c r="T197" i="1" s="1"/>
  <c r="U197" i="1" s="1"/>
  <c r="C196" i="1"/>
  <c r="T196" i="1" s="1"/>
  <c r="U196" i="1" s="1"/>
  <c r="C195" i="1"/>
  <c r="T195" i="1" s="1"/>
  <c r="U195" i="1" s="1"/>
  <c r="C194" i="1"/>
  <c r="C193" i="1"/>
  <c r="C192" i="1"/>
  <c r="C191" i="1"/>
  <c r="T191" i="1" s="1"/>
  <c r="C190" i="1"/>
  <c r="T190" i="1" s="1"/>
  <c r="U190" i="1" s="1"/>
  <c r="C189" i="1"/>
  <c r="C188" i="1"/>
  <c r="C187" i="1"/>
  <c r="C186" i="1"/>
  <c r="C185" i="1"/>
  <c r="C184" i="1"/>
  <c r="M184" i="1" s="1"/>
  <c r="Q184" i="1" s="1"/>
  <c r="C183" i="1"/>
  <c r="C182" i="1"/>
  <c r="C181" i="1"/>
  <c r="C180" i="1"/>
  <c r="T180" i="1" s="1"/>
  <c r="C179" i="1"/>
  <c r="T179" i="1" s="1"/>
  <c r="U179" i="1" s="1"/>
  <c r="C178" i="1"/>
  <c r="T178" i="1" s="1"/>
  <c r="U178" i="1" s="1"/>
  <c r="C177" i="1"/>
  <c r="C176" i="1"/>
  <c r="C175" i="1"/>
  <c r="C174" i="1"/>
  <c r="C173" i="1"/>
  <c r="C172" i="1"/>
  <c r="C171" i="1"/>
  <c r="C170" i="1"/>
  <c r="C169" i="1"/>
  <c r="C168" i="1"/>
  <c r="C167" i="1"/>
  <c r="C166" i="1"/>
  <c r="M166" i="1" s="1"/>
  <c r="Q166" i="1" s="1"/>
  <c r="C165" i="1"/>
  <c r="T165" i="1" s="1"/>
  <c r="U165" i="1" s="1"/>
  <c r="C164" i="1"/>
  <c r="C163" i="1"/>
  <c r="C162" i="1"/>
  <c r="C161" i="1"/>
  <c r="T161" i="1" s="1"/>
  <c r="U161" i="1" s="1"/>
  <c r="C160" i="1"/>
  <c r="T160" i="1" s="1"/>
  <c r="U160" i="1" s="1"/>
  <c r="C159" i="1"/>
  <c r="C158" i="1"/>
  <c r="C157" i="1"/>
  <c r="C156" i="1"/>
  <c r="C155" i="1"/>
  <c r="T155" i="1" s="1"/>
  <c r="C154" i="1"/>
  <c r="C153" i="1"/>
  <c r="C152" i="1"/>
  <c r="C151" i="1"/>
  <c r="C150" i="1"/>
  <c r="C149" i="1"/>
  <c r="C148" i="1"/>
  <c r="T148" i="1" s="1"/>
  <c r="U148" i="1" s="1"/>
  <c r="C147" i="1"/>
  <c r="C146" i="1"/>
  <c r="C145" i="1"/>
  <c r="C144" i="1"/>
  <c r="C143" i="1"/>
  <c r="C142" i="1"/>
  <c r="T142" i="1" s="1"/>
  <c r="U142" i="1" s="1"/>
  <c r="C141" i="1"/>
  <c r="T141" i="1" s="1"/>
  <c r="U141" i="1" s="1"/>
  <c r="C140" i="1"/>
  <c r="T140" i="1" s="1"/>
  <c r="U140" i="1" s="1"/>
  <c r="C139" i="1"/>
  <c r="C138" i="1"/>
  <c r="C137" i="1"/>
  <c r="C136" i="1"/>
  <c r="C135" i="1"/>
  <c r="C134" i="1"/>
  <c r="C133" i="1"/>
  <c r="C132" i="1"/>
  <c r="C131" i="1"/>
  <c r="C130" i="1"/>
  <c r="C129" i="1"/>
  <c r="C128" i="1"/>
  <c r="T128" i="1" s="1"/>
  <c r="U128" i="1" s="1"/>
  <c r="C127" i="1"/>
  <c r="C126" i="1"/>
  <c r="C125" i="1"/>
  <c r="C124" i="1"/>
  <c r="C123" i="1"/>
  <c r="T123" i="1" s="1"/>
  <c r="C122" i="1"/>
  <c r="T122" i="1" s="1"/>
  <c r="U122" i="1" s="1"/>
  <c r="C121" i="1"/>
  <c r="C120" i="1"/>
  <c r="C119" i="1"/>
  <c r="C118" i="1"/>
  <c r="C117" i="1"/>
  <c r="C116" i="1"/>
  <c r="T116" i="1" s="1"/>
  <c r="U116" i="1" s="1"/>
  <c r="C115" i="1"/>
  <c r="C114" i="1"/>
  <c r="C113" i="1"/>
  <c r="C112" i="1"/>
  <c r="C111" i="1"/>
  <c r="C110" i="1"/>
  <c r="T110" i="1" s="1"/>
  <c r="U110" i="1" s="1"/>
  <c r="C109" i="1"/>
  <c r="T109" i="1" s="1"/>
  <c r="U109" i="1" s="1"/>
  <c r="C108" i="1"/>
  <c r="T108" i="1" s="1"/>
  <c r="U108" i="1" s="1"/>
  <c r="C107" i="1"/>
  <c r="C106" i="1"/>
  <c r="C105" i="1"/>
  <c r="C104" i="1"/>
  <c r="C103" i="1"/>
  <c r="C102" i="1"/>
  <c r="M102" i="1" s="1"/>
  <c r="N102" i="1" s="1"/>
  <c r="C101" i="1"/>
  <c r="C100" i="1"/>
  <c r="C99" i="1"/>
  <c r="C98" i="1"/>
  <c r="C97" i="1"/>
  <c r="C96" i="1"/>
  <c r="C95" i="1"/>
  <c r="C94" i="1"/>
  <c r="C93" i="1"/>
  <c r="C92" i="1"/>
  <c r="C91" i="1"/>
  <c r="T91" i="1" s="1"/>
  <c r="C90" i="1"/>
  <c r="T90" i="1" s="1"/>
  <c r="U90" i="1" s="1"/>
  <c r="C89" i="1"/>
  <c r="T89" i="1" s="1"/>
  <c r="U89" i="1" s="1"/>
  <c r="C88" i="1"/>
  <c r="C87" i="1"/>
  <c r="C86" i="1"/>
  <c r="C85" i="1"/>
  <c r="C84" i="1"/>
  <c r="C83" i="1"/>
  <c r="T83" i="1" s="1"/>
  <c r="C82" i="1"/>
  <c r="C81" i="1"/>
  <c r="C80" i="1"/>
  <c r="C79" i="1"/>
  <c r="C78" i="1"/>
  <c r="T78" i="1" s="1"/>
  <c r="U78" i="1" s="1"/>
  <c r="C77" i="1"/>
  <c r="T77" i="1" s="1"/>
  <c r="U77" i="1" s="1"/>
  <c r="C76" i="1"/>
  <c r="T76" i="1" s="1"/>
  <c r="U76" i="1" s="1"/>
  <c r="C75" i="1"/>
  <c r="C74" i="1"/>
  <c r="C73" i="1"/>
  <c r="C72" i="1"/>
  <c r="C71" i="1"/>
  <c r="T71" i="1" s="1"/>
  <c r="U71" i="1" s="1"/>
  <c r="C70" i="1"/>
  <c r="C69" i="1"/>
  <c r="C68" i="1"/>
  <c r="C67" i="1"/>
  <c r="C66" i="1"/>
  <c r="C65" i="1"/>
  <c r="C64" i="1"/>
  <c r="C63" i="1"/>
  <c r="C62" i="1"/>
  <c r="C61" i="1"/>
  <c r="T61" i="1" s="1"/>
  <c r="U61" i="1" s="1"/>
  <c r="C60" i="1"/>
  <c r="C59" i="1"/>
  <c r="T59" i="1" s="1"/>
  <c r="C58" i="1"/>
  <c r="T58" i="1" s="1"/>
  <c r="U58" i="1" s="1"/>
  <c r="C57" i="1"/>
  <c r="T57" i="1" s="1"/>
  <c r="U57" i="1" s="1"/>
  <c r="C56" i="1"/>
  <c r="C55" i="1"/>
  <c r="C54" i="1"/>
  <c r="C53" i="1"/>
  <c r="C52" i="1"/>
  <c r="T52" i="1" s="1"/>
  <c r="U52" i="1" s="1"/>
  <c r="C51" i="1"/>
  <c r="C50" i="1"/>
  <c r="C49" i="1"/>
  <c r="C48" i="1"/>
  <c r="C47" i="1"/>
  <c r="C46" i="1"/>
  <c r="C45" i="1"/>
  <c r="T45" i="1" s="1"/>
  <c r="U45" i="1" s="1"/>
  <c r="C44" i="1"/>
  <c r="T44" i="1" s="1"/>
  <c r="U44" i="1" s="1"/>
  <c r="C43" i="1"/>
  <c r="C42" i="1"/>
  <c r="C41" i="1"/>
  <c r="C40" i="1"/>
  <c r="C39" i="1"/>
  <c r="C38" i="1"/>
  <c r="T38" i="1" s="1"/>
  <c r="U38" i="1" s="1"/>
  <c r="C37" i="1"/>
  <c r="C36" i="1"/>
  <c r="C35" i="1"/>
  <c r="C34" i="1"/>
  <c r="C33" i="1"/>
  <c r="C32" i="1"/>
  <c r="C31" i="1"/>
  <c r="C30" i="1"/>
  <c r="C29" i="1"/>
  <c r="C28" i="1"/>
  <c r="C27" i="1"/>
  <c r="T27" i="1" s="1"/>
  <c r="C26" i="1"/>
  <c r="T26" i="1" s="1"/>
  <c r="U26" i="1" s="1"/>
  <c r="C25" i="1"/>
  <c r="T25" i="1" s="1"/>
  <c r="U25" i="1" s="1"/>
  <c r="C24" i="1"/>
  <c r="C23" i="1"/>
  <c r="C22" i="1"/>
  <c r="C21" i="1"/>
  <c r="C20" i="1"/>
  <c r="T20" i="1" s="1"/>
  <c r="U20" i="1" s="1"/>
  <c r="C19" i="1"/>
  <c r="C18" i="1"/>
  <c r="C17" i="1"/>
  <c r="C16" i="1"/>
  <c r="C15" i="1"/>
  <c r="C14" i="1"/>
  <c r="C13" i="1"/>
  <c r="M13" i="1" s="1"/>
  <c r="N13" i="1" s="1"/>
  <c r="O13" i="1" s="1"/>
  <c r="P13" i="1" s="1"/>
  <c r="C12" i="1"/>
  <c r="T12" i="1" s="1"/>
  <c r="U12" i="1" s="1"/>
  <c r="C11" i="1"/>
  <c r="C10" i="1"/>
  <c r="C9" i="1"/>
  <c r="C8" i="1"/>
  <c r="C7" i="1"/>
  <c r="C6" i="1"/>
  <c r="C5" i="1"/>
  <c r="C4" i="1"/>
  <c r="C3" i="1"/>
  <c r="C2" i="1"/>
  <c r="B2" i="1"/>
  <c r="U207" i="1" l="1"/>
  <c r="U191" i="1"/>
  <c r="T39" i="1"/>
  <c r="U39" i="1" s="1"/>
  <c r="T37" i="1"/>
  <c r="U37" i="1" s="1"/>
  <c r="V37" i="1" s="1"/>
  <c r="T117" i="1"/>
  <c r="U117" i="1" s="1"/>
  <c r="V117" i="1" s="1"/>
  <c r="M237" i="1"/>
  <c r="N237" i="1" s="1"/>
  <c r="O237" i="1" s="1"/>
  <c r="P237" i="1" s="1"/>
  <c r="T637" i="1"/>
  <c r="U637" i="1" s="1"/>
  <c r="T701" i="1"/>
  <c r="U701" i="1" s="1"/>
  <c r="T773" i="1"/>
  <c r="U773" i="1" s="1"/>
  <c r="T837" i="1"/>
  <c r="U837" i="1" s="1"/>
  <c r="V837" i="1" s="1"/>
  <c r="M46" i="1"/>
  <c r="Q46" i="1" s="1"/>
  <c r="M70" i="1"/>
  <c r="N70" i="1" s="1"/>
  <c r="O70" i="1" s="1"/>
  <c r="P70" i="1" s="1"/>
  <c r="M118" i="1"/>
  <c r="N118" i="1" s="1"/>
  <c r="O118" i="1" s="1"/>
  <c r="P118" i="1" s="1"/>
  <c r="T118" i="1"/>
  <c r="U118" i="1" s="1"/>
  <c r="M150" i="1"/>
  <c r="Q150" i="1" s="1"/>
  <c r="T150" i="1"/>
  <c r="U150" i="1" s="1"/>
  <c r="M174" i="1"/>
  <c r="N174" i="1" s="1"/>
  <c r="O174" i="1" s="1"/>
  <c r="P174" i="1" s="1"/>
  <c r="M190" i="1"/>
  <c r="N190" i="1" s="1"/>
  <c r="O190" i="1" s="1"/>
  <c r="P190" i="1" s="1"/>
  <c r="M206" i="1"/>
  <c r="N206" i="1" s="1"/>
  <c r="O206" i="1" s="1"/>
  <c r="P206" i="1" s="1"/>
  <c r="T206" i="1"/>
  <c r="U206" i="1" s="1"/>
  <c r="M222" i="1"/>
  <c r="N222" i="1" s="1"/>
  <c r="O222" i="1" s="1"/>
  <c r="P222" i="1" s="1"/>
  <c r="T222" i="1"/>
  <c r="U222" i="1" s="1"/>
  <c r="M262" i="1"/>
  <c r="N262" i="1" s="1"/>
  <c r="O262" i="1" s="1"/>
  <c r="P262" i="1" s="1"/>
  <c r="T262" i="1"/>
  <c r="U262" i="1" s="1"/>
  <c r="T358" i="1"/>
  <c r="U358" i="1" s="1"/>
  <c r="T398" i="1"/>
  <c r="U398" i="1" s="1"/>
  <c r="T446" i="1"/>
  <c r="U446" i="1" s="1"/>
  <c r="M470" i="1"/>
  <c r="N470" i="1" s="1"/>
  <c r="O470" i="1" s="1"/>
  <c r="P470" i="1" s="1"/>
  <c r="T470" i="1"/>
  <c r="U470" i="1" s="1"/>
  <c r="T510" i="1"/>
  <c r="U510" i="1" s="1"/>
  <c r="T534" i="1"/>
  <c r="U534" i="1" s="1"/>
  <c r="T550" i="1"/>
  <c r="U550" i="1" s="1"/>
  <c r="T582" i="1"/>
  <c r="U582" i="1" s="1"/>
  <c r="T614" i="1"/>
  <c r="U614" i="1" s="1"/>
  <c r="T678" i="1"/>
  <c r="U678" i="1" s="1"/>
  <c r="T702" i="1"/>
  <c r="U702" i="1" s="1"/>
  <c r="T734" i="1"/>
  <c r="U734" i="1" s="1"/>
  <c r="T790" i="1"/>
  <c r="U790" i="1" s="1"/>
  <c r="T838" i="1"/>
  <c r="U838" i="1" s="1"/>
  <c r="T31" i="1"/>
  <c r="U31" i="1" s="1"/>
  <c r="T95" i="1"/>
  <c r="T199" i="1"/>
  <c r="U199" i="1" s="1"/>
  <c r="M223" i="1"/>
  <c r="N223" i="1" s="1"/>
  <c r="T223" i="1"/>
  <c r="U223" i="1" s="1"/>
  <c r="T375" i="1"/>
  <c r="U375" i="1" s="1"/>
  <c r="T439" i="1"/>
  <c r="U439" i="1" s="1"/>
  <c r="T503" i="1"/>
  <c r="U503" i="1" s="1"/>
  <c r="T559" i="1"/>
  <c r="U559" i="1" s="1"/>
  <c r="T631" i="1"/>
  <c r="U631" i="1" s="1"/>
  <c r="T687" i="1"/>
  <c r="U687" i="1" s="1"/>
  <c r="T783" i="1"/>
  <c r="U783" i="1" s="1"/>
  <c r="T823" i="1"/>
  <c r="U823" i="1" s="1"/>
  <c r="T7" i="1"/>
  <c r="U7" i="1" s="1"/>
  <c r="T237" i="1"/>
  <c r="U237" i="1" s="1"/>
  <c r="T486" i="1"/>
  <c r="U486" i="1" s="1"/>
  <c r="T174" i="1"/>
  <c r="U174" i="1" s="1"/>
  <c r="T23" i="1"/>
  <c r="U23" i="1" s="1"/>
  <c r="T63" i="1"/>
  <c r="T111" i="1"/>
  <c r="U111" i="1" s="1"/>
  <c r="T151" i="1"/>
  <c r="U151" i="1" s="1"/>
  <c r="T407" i="1"/>
  <c r="U407" i="1" s="1"/>
  <c r="T463" i="1"/>
  <c r="U463" i="1" s="1"/>
  <c r="T599" i="1"/>
  <c r="U599" i="1" s="1"/>
  <c r="T647" i="1"/>
  <c r="U647" i="1" s="1"/>
  <c r="T719" i="1"/>
  <c r="U719" i="1" s="1"/>
  <c r="T767" i="1"/>
  <c r="U767" i="1" s="1"/>
  <c r="T807" i="1"/>
  <c r="U807" i="1" s="1"/>
  <c r="M32" i="1"/>
  <c r="N32" i="1" s="1"/>
  <c r="O32" i="1" s="1"/>
  <c r="P32" i="1" s="1"/>
  <c r="T80" i="1"/>
  <c r="U80" i="1" s="1"/>
  <c r="T112" i="1"/>
  <c r="U112" i="1" s="1"/>
  <c r="T152" i="1"/>
  <c r="U152" i="1" s="1"/>
  <c r="T176" i="1"/>
  <c r="U176" i="1" s="1"/>
  <c r="M216" i="1"/>
  <c r="N216" i="1" s="1"/>
  <c r="O216" i="1" s="1"/>
  <c r="P216" i="1" s="1"/>
  <c r="T216" i="1"/>
  <c r="U216" i="1" s="1"/>
  <c r="T240" i="1"/>
  <c r="U240" i="1" s="1"/>
  <c r="T256" i="1"/>
  <c r="U256" i="1" s="1"/>
  <c r="U264" i="1"/>
  <c r="T272" i="1"/>
  <c r="U272" i="1" s="1"/>
  <c r="M288" i="1"/>
  <c r="N288" i="1" s="1"/>
  <c r="T288" i="1"/>
  <c r="U288" i="1" s="1"/>
  <c r="T296" i="1"/>
  <c r="U296" i="1" s="1"/>
  <c r="T304" i="1"/>
  <c r="U304" i="1" s="1"/>
  <c r="T312" i="1"/>
  <c r="U312" i="1" s="1"/>
  <c r="T336" i="1"/>
  <c r="U336" i="1" s="1"/>
  <c r="T344" i="1"/>
  <c r="U344" i="1" s="1"/>
  <c r="M352" i="1"/>
  <c r="N352" i="1" s="1"/>
  <c r="O352" i="1" s="1"/>
  <c r="P352" i="1" s="1"/>
  <c r="M360" i="1"/>
  <c r="N360" i="1" s="1"/>
  <c r="O360" i="1" s="1"/>
  <c r="P360" i="1" s="1"/>
  <c r="M368" i="1"/>
  <c r="N368" i="1" s="1"/>
  <c r="O368" i="1" s="1"/>
  <c r="P368" i="1" s="1"/>
  <c r="T368" i="1"/>
  <c r="U368" i="1" s="1"/>
  <c r="T376" i="1"/>
  <c r="U376" i="1" s="1"/>
  <c r="M384" i="1"/>
  <c r="N384" i="1" s="1"/>
  <c r="O384" i="1" s="1"/>
  <c r="P384" i="1" s="1"/>
  <c r="T392" i="1"/>
  <c r="U392" i="1" s="1"/>
  <c r="M400" i="1"/>
  <c r="T400" i="1"/>
  <c r="U400" i="1" s="1"/>
  <c r="T408" i="1"/>
  <c r="U408" i="1" s="1"/>
  <c r="T416" i="1"/>
  <c r="U416" i="1" s="1"/>
  <c r="T424" i="1"/>
  <c r="U424" i="1" s="1"/>
  <c r="M432" i="1"/>
  <c r="N432" i="1" s="1"/>
  <c r="O432" i="1" s="1"/>
  <c r="P432" i="1" s="1"/>
  <c r="T440" i="1"/>
  <c r="U440" i="1" s="1"/>
  <c r="T456" i="1"/>
  <c r="U456" i="1" s="1"/>
  <c r="T464" i="1"/>
  <c r="U464" i="1" s="1"/>
  <c r="T472" i="1"/>
  <c r="U472" i="1" s="1"/>
  <c r="T480" i="1"/>
  <c r="U480" i="1" s="1"/>
  <c r="T488" i="1"/>
  <c r="U488" i="1" s="1"/>
  <c r="T496" i="1"/>
  <c r="U496" i="1" s="1"/>
  <c r="T504" i="1"/>
  <c r="U504" i="1" s="1"/>
  <c r="M512" i="1"/>
  <c r="N512" i="1" s="1"/>
  <c r="O512" i="1" s="1"/>
  <c r="P512" i="1" s="1"/>
  <c r="T512" i="1"/>
  <c r="U512" i="1" s="1"/>
  <c r="M520" i="1"/>
  <c r="N520" i="1" s="1"/>
  <c r="O520" i="1" s="1"/>
  <c r="P520" i="1" s="1"/>
  <c r="T520" i="1"/>
  <c r="U520" i="1" s="1"/>
  <c r="M528" i="1"/>
  <c r="N528" i="1" s="1"/>
  <c r="O528" i="1" s="1"/>
  <c r="P528" i="1" s="1"/>
  <c r="T528" i="1"/>
  <c r="U528" i="1" s="1"/>
  <c r="M536" i="1"/>
  <c r="N536" i="1" s="1"/>
  <c r="O536" i="1" s="1"/>
  <c r="P536" i="1" s="1"/>
  <c r="T536" i="1"/>
  <c r="U536" i="1" s="1"/>
  <c r="M544" i="1"/>
  <c r="N544" i="1" s="1"/>
  <c r="O544" i="1" s="1"/>
  <c r="P544" i="1" s="1"/>
  <c r="T544" i="1"/>
  <c r="U544" i="1" s="1"/>
  <c r="T560" i="1"/>
  <c r="U560" i="1" s="1"/>
  <c r="T568" i="1"/>
  <c r="U568" i="1" s="1"/>
  <c r="T576" i="1"/>
  <c r="U576" i="1" s="1"/>
  <c r="T584" i="1"/>
  <c r="U584" i="1" s="1"/>
  <c r="T592" i="1"/>
  <c r="U592" i="1" s="1"/>
  <c r="T600" i="1"/>
  <c r="U600" i="1" s="1"/>
  <c r="T608" i="1"/>
  <c r="U608" i="1" s="1"/>
  <c r="T616" i="1"/>
  <c r="U616" i="1" s="1"/>
  <c r="T624" i="1"/>
  <c r="U624" i="1" s="1"/>
  <c r="T632" i="1"/>
  <c r="U632" i="1" s="1"/>
  <c r="T640" i="1"/>
  <c r="U640" i="1" s="1"/>
  <c r="T648" i="1"/>
  <c r="U648" i="1" s="1"/>
  <c r="T656" i="1"/>
  <c r="U656" i="1" s="1"/>
  <c r="T664" i="1"/>
  <c r="U664" i="1" s="1"/>
  <c r="T672" i="1"/>
  <c r="U672" i="1" s="1"/>
  <c r="T680" i="1"/>
  <c r="U680" i="1" s="1"/>
  <c r="T688" i="1"/>
  <c r="U688" i="1" s="1"/>
  <c r="T696" i="1"/>
  <c r="U696" i="1" s="1"/>
  <c r="T704" i="1"/>
  <c r="U704" i="1" s="1"/>
  <c r="T712" i="1"/>
  <c r="U712" i="1" s="1"/>
  <c r="T720" i="1"/>
  <c r="U720" i="1" s="1"/>
  <c r="M728" i="1"/>
  <c r="N728" i="1" s="1"/>
  <c r="O728" i="1" s="1"/>
  <c r="P728" i="1" s="1"/>
  <c r="T728" i="1"/>
  <c r="U728" i="1" s="1"/>
  <c r="T736" i="1"/>
  <c r="U736" i="1" s="1"/>
  <c r="T744" i="1"/>
  <c r="U744" i="1" s="1"/>
  <c r="T752" i="1"/>
  <c r="U752" i="1" s="1"/>
  <c r="T760" i="1"/>
  <c r="U760" i="1" s="1"/>
  <c r="T768" i="1"/>
  <c r="U768" i="1" s="1"/>
  <c r="T776" i="1"/>
  <c r="U776" i="1" s="1"/>
  <c r="T784" i="1"/>
  <c r="U784" i="1" s="1"/>
  <c r="T792" i="1"/>
  <c r="U792" i="1" s="1"/>
  <c r="T800" i="1"/>
  <c r="U800" i="1" s="1"/>
  <c r="T816" i="1"/>
  <c r="U816" i="1" s="1"/>
  <c r="T824" i="1"/>
  <c r="U824" i="1" s="1"/>
  <c r="T832" i="1"/>
  <c r="U832" i="1" s="1"/>
  <c r="T840" i="1"/>
  <c r="U840" i="1" s="1"/>
  <c r="U95" i="1"/>
  <c r="T147" i="1"/>
  <c r="U147" i="1" s="1"/>
  <c r="T286" i="1"/>
  <c r="U286" i="1" s="1"/>
  <c r="T359" i="1"/>
  <c r="U359" i="1" s="1"/>
  <c r="T384" i="1"/>
  <c r="U384" i="1" s="1"/>
  <c r="T422" i="1"/>
  <c r="U422" i="1" s="1"/>
  <c r="T29" i="1"/>
  <c r="U29" i="1" s="1"/>
  <c r="V29" i="1" s="1"/>
  <c r="T69" i="1"/>
  <c r="U69" i="1" s="1"/>
  <c r="V69" i="1" s="1"/>
  <c r="T93" i="1"/>
  <c r="U93" i="1" s="1"/>
  <c r="M181" i="1"/>
  <c r="N181" i="1" s="1"/>
  <c r="O181" i="1" s="1"/>
  <c r="P181" i="1" s="1"/>
  <c r="T181" i="1"/>
  <c r="U181" i="1" s="1"/>
  <c r="M205" i="1"/>
  <c r="N205" i="1" s="1"/>
  <c r="O205" i="1" s="1"/>
  <c r="P205" i="1" s="1"/>
  <c r="T205" i="1"/>
  <c r="U205" i="1" s="1"/>
  <c r="T245" i="1"/>
  <c r="U245" i="1" s="1"/>
  <c r="M317" i="1"/>
  <c r="N317" i="1" s="1"/>
  <c r="O317" i="1" s="1"/>
  <c r="P317" i="1" s="1"/>
  <c r="T317" i="1"/>
  <c r="U317" i="1" s="1"/>
  <c r="M349" i="1"/>
  <c r="N349" i="1" s="1"/>
  <c r="O349" i="1" s="1"/>
  <c r="P349" i="1" s="1"/>
  <c r="M381" i="1"/>
  <c r="N381" i="1" s="1"/>
  <c r="O381" i="1" s="1"/>
  <c r="P381" i="1" s="1"/>
  <c r="T421" i="1"/>
  <c r="U421" i="1" s="1"/>
  <c r="T477" i="1"/>
  <c r="U477" i="1" s="1"/>
  <c r="T525" i="1"/>
  <c r="U525" i="1" s="1"/>
  <c r="T573" i="1"/>
  <c r="U573" i="1" s="1"/>
  <c r="V573" i="1" s="1"/>
  <c r="T693" i="1"/>
  <c r="U693" i="1" s="1"/>
  <c r="T749" i="1"/>
  <c r="U749" i="1" s="1"/>
  <c r="T805" i="1"/>
  <c r="U805" i="1" s="1"/>
  <c r="M14" i="1"/>
  <c r="N14" i="1" s="1"/>
  <c r="O14" i="1" s="1"/>
  <c r="M54" i="1"/>
  <c r="N54" i="1" s="1"/>
  <c r="T54" i="1"/>
  <c r="U54" i="1" s="1"/>
  <c r="M86" i="1"/>
  <c r="N86" i="1" s="1"/>
  <c r="O86" i="1" s="1"/>
  <c r="T86" i="1"/>
  <c r="U86" i="1" s="1"/>
  <c r="M110" i="1"/>
  <c r="N110" i="1" s="1"/>
  <c r="O110" i="1" s="1"/>
  <c r="R110" i="1" s="1"/>
  <c r="M142" i="1"/>
  <c r="Q142" i="1" s="1"/>
  <c r="M238" i="1"/>
  <c r="N238" i="1" s="1"/>
  <c r="O238" i="1" s="1"/>
  <c r="P238" i="1" s="1"/>
  <c r="T238" i="1"/>
  <c r="U238" i="1" s="1"/>
  <c r="T270" i="1"/>
  <c r="U270" i="1" s="1"/>
  <c r="U302" i="1"/>
  <c r="T350" i="1"/>
  <c r="U350" i="1" s="1"/>
  <c r="M390" i="1"/>
  <c r="N390" i="1" s="1"/>
  <c r="T390" i="1"/>
  <c r="U390" i="1" s="1"/>
  <c r="T750" i="1"/>
  <c r="U750" i="1" s="1"/>
  <c r="T774" i="1"/>
  <c r="U774" i="1" s="1"/>
  <c r="T814" i="1"/>
  <c r="U814" i="1" s="1"/>
  <c r="T6" i="1"/>
  <c r="U6" i="1" s="1"/>
  <c r="T79" i="1"/>
  <c r="U79" i="1" s="1"/>
  <c r="T159" i="1"/>
  <c r="U159" i="1" s="1"/>
  <c r="T215" i="1"/>
  <c r="U215" i="1" s="1"/>
  <c r="T295" i="1"/>
  <c r="U295" i="1" s="1"/>
  <c r="M351" i="1"/>
  <c r="N351" i="1" s="1"/>
  <c r="O351" i="1" s="1"/>
  <c r="P351" i="1" s="1"/>
  <c r="T391" i="1"/>
  <c r="U391" i="1" s="1"/>
  <c r="T423" i="1"/>
  <c r="U423" i="1" s="1"/>
  <c r="T471" i="1"/>
  <c r="U471" i="1" s="1"/>
  <c r="T511" i="1"/>
  <c r="U511" i="1" s="1"/>
  <c r="T583" i="1"/>
  <c r="U583" i="1" s="1"/>
  <c r="T607" i="1"/>
  <c r="U607" i="1" s="1"/>
  <c r="T655" i="1"/>
  <c r="U655" i="1" s="1"/>
  <c r="T679" i="1"/>
  <c r="U679" i="1" s="1"/>
  <c r="T727" i="1"/>
  <c r="U727" i="1" s="1"/>
  <c r="T759" i="1"/>
  <c r="U759" i="1" s="1"/>
  <c r="T815" i="1"/>
  <c r="U815" i="1" s="1"/>
  <c r="M8" i="1"/>
  <c r="N8" i="1" s="1"/>
  <c r="O8" i="1" s="1"/>
  <c r="P8" i="1" s="1"/>
  <c r="T8" i="1"/>
  <c r="U8" i="1" s="1"/>
  <c r="T48" i="1"/>
  <c r="U48" i="1" s="1"/>
  <c r="M120" i="1"/>
  <c r="N120" i="1" s="1"/>
  <c r="O120" i="1" s="1"/>
  <c r="P120" i="1" s="1"/>
  <c r="T120" i="1"/>
  <c r="U120" i="1" s="1"/>
  <c r="T136" i="1"/>
  <c r="U136" i="1" s="1"/>
  <c r="T192" i="1"/>
  <c r="U192" i="1" s="1"/>
  <c r="T224" i="1"/>
  <c r="U224" i="1" s="1"/>
  <c r="M232" i="1"/>
  <c r="T248" i="1"/>
  <c r="U248" i="1" s="1"/>
  <c r="M9" i="1"/>
  <c r="N9" i="1" s="1"/>
  <c r="O9" i="1" s="1"/>
  <c r="P9" i="1" s="1"/>
  <c r="T9" i="1"/>
  <c r="U9" i="1" s="1"/>
  <c r="M17" i="1"/>
  <c r="N17" i="1" s="1"/>
  <c r="O17" i="1" s="1"/>
  <c r="P17" i="1" s="1"/>
  <c r="T17" i="1"/>
  <c r="U17" i="1" s="1"/>
  <c r="T41" i="1"/>
  <c r="U41" i="1" s="1"/>
  <c r="T49" i="1"/>
  <c r="U49" i="1" s="1"/>
  <c r="T73" i="1"/>
  <c r="U73" i="1" s="1"/>
  <c r="T81" i="1"/>
  <c r="U81" i="1" s="1"/>
  <c r="T105" i="1"/>
  <c r="U105" i="1" s="1"/>
  <c r="T113" i="1"/>
  <c r="U113" i="1" s="1"/>
  <c r="T137" i="1"/>
  <c r="U137" i="1" s="1"/>
  <c r="T145" i="1"/>
  <c r="U145" i="1" s="1"/>
  <c r="M169" i="1"/>
  <c r="N169" i="1" s="1"/>
  <c r="O169" i="1" s="1"/>
  <c r="P169" i="1" s="1"/>
  <c r="T169" i="1"/>
  <c r="U169" i="1" s="1"/>
  <c r="T177" i="1"/>
  <c r="U177" i="1" s="1"/>
  <c r="M185" i="1"/>
  <c r="N185" i="1" s="1"/>
  <c r="O185" i="1" s="1"/>
  <c r="P185" i="1" s="1"/>
  <c r="T185" i="1"/>
  <c r="U185" i="1" s="1"/>
  <c r="T193" i="1"/>
  <c r="U193" i="1" s="1"/>
  <c r="M201" i="1"/>
  <c r="N201" i="1" s="1"/>
  <c r="O201" i="1" s="1"/>
  <c r="P201" i="1" s="1"/>
  <c r="T209" i="1"/>
  <c r="U209" i="1" s="1"/>
  <c r="M217" i="1"/>
  <c r="N217" i="1" s="1"/>
  <c r="O217" i="1" s="1"/>
  <c r="P217" i="1" s="1"/>
  <c r="T217" i="1"/>
  <c r="U217" i="1" s="1"/>
  <c r="M233" i="1"/>
  <c r="N233" i="1" s="1"/>
  <c r="O233" i="1" s="1"/>
  <c r="P233" i="1" s="1"/>
  <c r="T233" i="1"/>
  <c r="U233" i="1" s="1"/>
  <c r="M249" i="1"/>
  <c r="N249" i="1" s="1"/>
  <c r="O249" i="1" s="1"/>
  <c r="P249" i="1" s="1"/>
  <c r="T249" i="1"/>
  <c r="U249" i="1" s="1"/>
  <c r="M265" i="1"/>
  <c r="T265" i="1"/>
  <c r="U265" i="1" s="1"/>
  <c r="T273" i="1"/>
  <c r="U273" i="1" s="1"/>
  <c r="M281" i="1"/>
  <c r="N281" i="1" s="1"/>
  <c r="O281" i="1" s="1"/>
  <c r="P281" i="1" s="1"/>
  <c r="T289" i="1"/>
  <c r="U289" i="1" s="1"/>
  <c r="M297" i="1"/>
  <c r="N297" i="1" s="1"/>
  <c r="O297" i="1" s="1"/>
  <c r="P297" i="1" s="1"/>
  <c r="T297" i="1"/>
  <c r="U297" i="1" s="1"/>
  <c r="T305" i="1"/>
  <c r="U305" i="1" s="1"/>
  <c r="M313" i="1"/>
  <c r="N313" i="1" s="1"/>
  <c r="O313" i="1" s="1"/>
  <c r="P313" i="1" s="1"/>
  <c r="T313" i="1"/>
  <c r="U313" i="1" s="1"/>
  <c r="T329" i="1"/>
  <c r="U329" i="1" s="1"/>
  <c r="T337" i="1"/>
  <c r="U337" i="1" s="1"/>
  <c r="T345" i="1"/>
  <c r="U345" i="1" s="1"/>
  <c r="M353" i="1"/>
  <c r="N353" i="1" s="1"/>
  <c r="T353" i="1"/>
  <c r="U353" i="1" s="1"/>
  <c r="M361" i="1"/>
  <c r="N361" i="1" s="1"/>
  <c r="T361" i="1"/>
  <c r="U361" i="1" s="1"/>
  <c r="M369" i="1"/>
  <c r="N369" i="1" s="1"/>
  <c r="O369" i="1" s="1"/>
  <c r="P369" i="1" s="1"/>
  <c r="T369" i="1"/>
  <c r="U369" i="1" s="1"/>
  <c r="M377" i="1"/>
  <c r="N377" i="1" s="1"/>
  <c r="O377" i="1" s="1"/>
  <c r="P377" i="1" s="1"/>
  <c r="T377" i="1"/>
  <c r="U377" i="1" s="1"/>
  <c r="M385" i="1"/>
  <c r="N385" i="1" s="1"/>
  <c r="T385" i="1"/>
  <c r="U385" i="1" s="1"/>
  <c r="T393" i="1"/>
  <c r="U393" i="1" s="1"/>
  <c r="T401" i="1"/>
  <c r="U401" i="1" s="1"/>
  <c r="T417" i="1"/>
  <c r="U417" i="1" s="1"/>
  <c r="T425" i="1"/>
  <c r="U425" i="1" s="1"/>
  <c r="T433" i="1"/>
  <c r="U433" i="1" s="1"/>
  <c r="T441" i="1"/>
  <c r="U441" i="1" s="1"/>
  <c r="T449" i="1"/>
  <c r="U449" i="1" s="1"/>
  <c r="T457" i="1"/>
  <c r="U457" i="1" s="1"/>
  <c r="T465" i="1"/>
  <c r="U465" i="1" s="1"/>
  <c r="T481" i="1"/>
  <c r="U481" i="1" s="1"/>
  <c r="T489" i="1"/>
  <c r="U489" i="1" s="1"/>
  <c r="T497" i="1"/>
  <c r="U497" i="1" s="1"/>
  <c r="T505" i="1"/>
  <c r="U505" i="1" s="1"/>
  <c r="T521" i="1"/>
  <c r="U521" i="1" s="1"/>
  <c r="T529" i="1"/>
  <c r="U529" i="1" s="1"/>
  <c r="T537" i="1"/>
  <c r="U537" i="1" s="1"/>
  <c r="T545" i="1"/>
  <c r="U545" i="1" s="1"/>
  <c r="T561" i="1"/>
  <c r="U561" i="1" s="1"/>
  <c r="T569" i="1"/>
  <c r="U569" i="1" s="1"/>
  <c r="T577" i="1"/>
  <c r="U577" i="1" s="1"/>
  <c r="T593" i="1"/>
  <c r="U593" i="1" s="1"/>
  <c r="T601" i="1"/>
  <c r="U601" i="1" s="1"/>
  <c r="T609" i="1"/>
  <c r="U609" i="1" s="1"/>
  <c r="T617" i="1"/>
  <c r="U617" i="1" s="1"/>
  <c r="T625" i="1"/>
  <c r="U625" i="1" s="1"/>
  <c r="T633" i="1"/>
  <c r="U633" i="1" s="1"/>
  <c r="T641" i="1"/>
  <c r="U641" i="1" s="1"/>
  <c r="T649" i="1"/>
  <c r="U649" i="1" s="1"/>
  <c r="T665" i="1"/>
  <c r="U665" i="1" s="1"/>
  <c r="T673" i="1"/>
  <c r="U673" i="1" s="1"/>
  <c r="T681" i="1"/>
  <c r="U681" i="1" s="1"/>
  <c r="T689" i="1"/>
  <c r="U689" i="1" s="1"/>
  <c r="T697" i="1"/>
  <c r="U697" i="1" s="1"/>
  <c r="T705" i="1"/>
  <c r="U705" i="1" s="1"/>
  <c r="T713" i="1"/>
  <c r="U713" i="1" s="1"/>
  <c r="T721" i="1"/>
  <c r="U721" i="1" s="1"/>
  <c r="T737" i="1"/>
  <c r="U737" i="1" s="1"/>
  <c r="T745" i="1"/>
  <c r="U745" i="1" s="1"/>
  <c r="T753" i="1"/>
  <c r="U753" i="1" s="1"/>
  <c r="T761" i="1"/>
  <c r="U761" i="1" s="1"/>
  <c r="T769" i="1"/>
  <c r="U769" i="1" s="1"/>
  <c r="T777" i="1"/>
  <c r="U777" i="1" s="1"/>
  <c r="T785" i="1"/>
  <c r="U785" i="1" s="1"/>
  <c r="T793" i="1"/>
  <c r="U793" i="1" s="1"/>
  <c r="T801" i="1"/>
  <c r="U801" i="1" s="1"/>
  <c r="U809" i="1"/>
  <c r="T817" i="1"/>
  <c r="U817" i="1" s="1"/>
  <c r="M825" i="1"/>
  <c r="T825" i="1"/>
  <c r="U825" i="1" s="1"/>
  <c r="T833" i="1"/>
  <c r="U833" i="1" s="1"/>
  <c r="T841" i="1"/>
  <c r="U841" i="1" s="1"/>
  <c r="U63" i="1"/>
  <c r="T96" i="1"/>
  <c r="U96" i="1" s="1"/>
  <c r="T115" i="1"/>
  <c r="U115" i="1" s="1"/>
  <c r="T129" i="1"/>
  <c r="U129" i="1" s="1"/>
  <c r="T166" i="1"/>
  <c r="U166" i="1" s="1"/>
  <c r="T360" i="1"/>
  <c r="U360" i="1" s="1"/>
  <c r="U585" i="1"/>
  <c r="U729" i="1"/>
  <c r="T149" i="1"/>
  <c r="U149" i="1" s="1"/>
  <c r="V149" i="1" s="1"/>
  <c r="T229" i="1"/>
  <c r="U229" i="1" s="1"/>
  <c r="M285" i="1"/>
  <c r="N285" i="1" s="1"/>
  <c r="O285" i="1" s="1"/>
  <c r="P285" i="1" s="1"/>
  <c r="T285" i="1"/>
  <c r="U285" i="1" s="1"/>
  <c r="M333" i="1"/>
  <c r="N333" i="1" s="1"/>
  <c r="O333" i="1" s="1"/>
  <c r="P333" i="1" s="1"/>
  <c r="T333" i="1"/>
  <c r="U333" i="1" s="1"/>
  <c r="T469" i="1"/>
  <c r="U469" i="1" s="1"/>
  <c r="T517" i="1"/>
  <c r="U517" i="1" s="1"/>
  <c r="T549" i="1"/>
  <c r="U549" i="1" s="1"/>
  <c r="M589" i="1"/>
  <c r="T589" i="1"/>
  <c r="U589" i="1" s="1"/>
  <c r="T717" i="1"/>
  <c r="U717" i="1" s="1"/>
  <c r="T757" i="1"/>
  <c r="U757" i="1" s="1"/>
  <c r="M813" i="1"/>
  <c r="N813" i="1" s="1"/>
  <c r="O813" i="1" s="1"/>
  <c r="P813" i="1" s="1"/>
  <c r="T173" i="1"/>
  <c r="U173" i="1" s="1"/>
  <c r="V173" i="1" s="1"/>
  <c r="M30" i="1"/>
  <c r="N30" i="1" s="1"/>
  <c r="O30" i="1" s="1"/>
  <c r="T30" i="1"/>
  <c r="U30" i="1" s="1"/>
  <c r="M78" i="1"/>
  <c r="N78" i="1" s="1"/>
  <c r="M94" i="1"/>
  <c r="N94" i="1" s="1"/>
  <c r="O94" i="1" s="1"/>
  <c r="P94" i="1" s="1"/>
  <c r="T94" i="1"/>
  <c r="U94" i="1" s="1"/>
  <c r="M134" i="1"/>
  <c r="Q134" i="1" s="1"/>
  <c r="M158" i="1"/>
  <c r="N158" i="1" s="1"/>
  <c r="O158" i="1" s="1"/>
  <c r="P158" i="1" s="1"/>
  <c r="T158" i="1"/>
  <c r="U158" i="1" s="1"/>
  <c r="M198" i="1"/>
  <c r="N198" i="1" s="1"/>
  <c r="T198" i="1"/>
  <c r="U198" i="1" s="1"/>
  <c r="M214" i="1"/>
  <c r="N214" i="1" s="1"/>
  <c r="O214" i="1" s="1"/>
  <c r="P214" i="1" s="1"/>
  <c r="M246" i="1"/>
  <c r="N246" i="1" s="1"/>
  <c r="T246" i="1"/>
  <c r="U246" i="1" s="1"/>
  <c r="T318" i="1"/>
  <c r="U318" i="1" s="1"/>
  <c r="T342" i="1"/>
  <c r="U342" i="1" s="1"/>
  <c r="T382" i="1"/>
  <c r="U382" i="1" s="1"/>
  <c r="T414" i="1"/>
  <c r="U414" i="1" s="1"/>
  <c r="T430" i="1"/>
  <c r="U430" i="1" s="1"/>
  <c r="M462" i="1"/>
  <c r="N462" i="1" s="1"/>
  <c r="O462" i="1" s="1"/>
  <c r="P462" i="1" s="1"/>
  <c r="T462" i="1"/>
  <c r="U462" i="1" s="1"/>
  <c r="T494" i="1"/>
  <c r="U494" i="1" s="1"/>
  <c r="T526" i="1"/>
  <c r="U526" i="1" s="1"/>
  <c r="T558" i="1"/>
  <c r="U558" i="1" s="1"/>
  <c r="T574" i="1"/>
  <c r="U574" i="1" s="1"/>
  <c r="T598" i="1"/>
  <c r="U598" i="1" s="1"/>
  <c r="T630" i="1"/>
  <c r="U630" i="1" s="1"/>
  <c r="T662" i="1"/>
  <c r="U662" i="1" s="1"/>
  <c r="T686" i="1"/>
  <c r="U686" i="1" s="1"/>
  <c r="T718" i="1"/>
  <c r="U718" i="1" s="1"/>
  <c r="T758" i="1"/>
  <c r="U758" i="1" s="1"/>
  <c r="T782" i="1"/>
  <c r="U782" i="1" s="1"/>
  <c r="T822" i="1"/>
  <c r="U822" i="1" s="1"/>
  <c r="U685" i="1"/>
  <c r="T47" i="1"/>
  <c r="U47" i="1" s="1"/>
  <c r="T87" i="1"/>
  <c r="U87" i="1" s="1"/>
  <c r="M127" i="1"/>
  <c r="N127" i="1" s="1"/>
  <c r="T127" i="1"/>
  <c r="U127" i="1" s="1"/>
  <c r="M191" i="1"/>
  <c r="N191" i="1" s="1"/>
  <c r="O191" i="1" s="1"/>
  <c r="P191" i="1" s="1"/>
  <c r="M255" i="1"/>
  <c r="N255" i="1" s="1"/>
  <c r="O255" i="1" s="1"/>
  <c r="P255" i="1" s="1"/>
  <c r="T255" i="1"/>
  <c r="U255" i="1" s="1"/>
  <c r="T279" i="1"/>
  <c r="U279" i="1" s="1"/>
  <c r="M327" i="1"/>
  <c r="N327" i="1" s="1"/>
  <c r="O327" i="1" s="1"/>
  <c r="P327" i="1" s="1"/>
  <c r="T327" i="1"/>
  <c r="U327" i="1" s="1"/>
  <c r="M367" i="1"/>
  <c r="N367" i="1" s="1"/>
  <c r="O367" i="1" s="1"/>
  <c r="P367" i="1" s="1"/>
  <c r="T367" i="1"/>
  <c r="U367" i="1" s="1"/>
  <c r="T415" i="1"/>
  <c r="U415" i="1" s="1"/>
  <c r="T455" i="1"/>
  <c r="U455" i="1" s="1"/>
  <c r="T487" i="1"/>
  <c r="U487" i="1" s="1"/>
  <c r="T527" i="1"/>
  <c r="U527" i="1" s="1"/>
  <c r="T567" i="1"/>
  <c r="U567" i="1" s="1"/>
  <c r="T615" i="1"/>
  <c r="U615" i="1" s="1"/>
  <c r="T663" i="1"/>
  <c r="U663" i="1" s="1"/>
  <c r="T695" i="1"/>
  <c r="U695" i="1" s="1"/>
  <c r="T743" i="1"/>
  <c r="U743" i="1" s="1"/>
  <c r="T791" i="1"/>
  <c r="U791" i="1" s="1"/>
  <c r="T839" i="1"/>
  <c r="U839" i="1" s="1"/>
  <c r="M16" i="1"/>
  <c r="N16" i="1" s="1"/>
  <c r="O16" i="1" s="1"/>
  <c r="P16" i="1" s="1"/>
  <c r="T16" i="1"/>
  <c r="U16" i="1" s="1"/>
  <c r="M56" i="1"/>
  <c r="N56" i="1" s="1"/>
  <c r="O56" i="1" s="1"/>
  <c r="P56" i="1" s="1"/>
  <c r="T56" i="1"/>
  <c r="U56" i="1" s="1"/>
  <c r="M88" i="1"/>
  <c r="N88" i="1" s="1"/>
  <c r="O88" i="1" s="1"/>
  <c r="P88" i="1" s="1"/>
  <c r="T88" i="1"/>
  <c r="U88" i="1" s="1"/>
  <c r="M2" i="1"/>
  <c r="Q2" i="1" s="1"/>
  <c r="M10" i="1"/>
  <c r="N10" i="1" s="1"/>
  <c r="O10" i="1" s="1"/>
  <c r="P10" i="1" s="1"/>
  <c r="T10" i="1"/>
  <c r="U10" i="1" s="1"/>
  <c r="T34" i="1"/>
  <c r="U34" i="1" s="1"/>
  <c r="T50" i="1"/>
  <c r="U50" i="1" s="1"/>
  <c r="M58" i="1"/>
  <c r="N58" i="1" s="1"/>
  <c r="O58" i="1" s="1"/>
  <c r="P58" i="1" s="1"/>
  <c r="M74" i="1"/>
  <c r="N74" i="1" s="1"/>
  <c r="O74" i="1" s="1"/>
  <c r="P74" i="1" s="1"/>
  <c r="T74" i="1"/>
  <c r="U74" i="1" s="1"/>
  <c r="M90" i="1"/>
  <c r="N90" i="1" s="1"/>
  <c r="O90" i="1" s="1"/>
  <c r="P90" i="1" s="1"/>
  <c r="M106" i="1"/>
  <c r="N106" i="1" s="1"/>
  <c r="O106" i="1" s="1"/>
  <c r="P106" i="1" s="1"/>
  <c r="T106" i="1"/>
  <c r="U106" i="1" s="1"/>
  <c r="T114" i="1"/>
  <c r="U114" i="1" s="1"/>
  <c r="M122" i="1"/>
  <c r="N122" i="1" s="1"/>
  <c r="O122" i="1" s="1"/>
  <c r="T130" i="1"/>
  <c r="U130" i="1" s="1"/>
  <c r="M138" i="1"/>
  <c r="Q138" i="1" s="1"/>
  <c r="T138" i="1"/>
  <c r="U138" i="1" s="1"/>
  <c r="M146" i="1"/>
  <c r="Q146" i="1" s="1"/>
  <c r="T146" i="1"/>
  <c r="U146" i="1" s="1"/>
  <c r="M154" i="1"/>
  <c r="M162" i="1"/>
  <c r="N162" i="1" s="1"/>
  <c r="O162" i="1" s="1"/>
  <c r="P162" i="1" s="1"/>
  <c r="T162" i="1"/>
  <c r="U162" i="1" s="1"/>
  <c r="T170" i="1"/>
  <c r="U170" i="1" s="1"/>
  <c r="M178" i="1"/>
  <c r="N178" i="1" s="1"/>
  <c r="O178" i="1" s="1"/>
  <c r="P178" i="1" s="1"/>
  <c r="T186" i="1"/>
  <c r="U186" i="1" s="1"/>
  <c r="M194" i="1"/>
  <c r="N194" i="1" s="1"/>
  <c r="O194" i="1" s="1"/>
  <c r="P194" i="1" s="1"/>
  <c r="T194" i="1"/>
  <c r="U194" i="1" s="1"/>
  <c r="M210" i="1"/>
  <c r="T210" i="1"/>
  <c r="U210" i="1" s="1"/>
  <c r="M226" i="1"/>
  <c r="N226" i="1" s="1"/>
  <c r="O226" i="1" s="1"/>
  <c r="P226" i="1" s="1"/>
  <c r="U226" i="1"/>
  <c r="T234" i="1"/>
  <c r="U234" i="1" s="1"/>
  <c r="M242" i="1"/>
  <c r="N242" i="1" s="1"/>
  <c r="O242" i="1" s="1"/>
  <c r="P242" i="1" s="1"/>
  <c r="T250" i="1"/>
  <c r="U250" i="1" s="1"/>
  <c r="M258" i="1"/>
  <c r="T266" i="1"/>
  <c r="U266" i="1" s="1"/>
  <c r="U282" i="1"/>
  <c r="T290" i="1"/>
  <c r="U290" i="1" s="1"/>
  <c r="T298" i="1"/>
  <c r="U298" i="1" s="1"/>
  <c r="T306" i="1"/>
  <c r="U306" i="1" s="1"/>
  <c r="T314" i="1"/>
  <c r="U314" i="1" s="1"/>
  <c r="T322" i="1"/>
  <c r="U322" i="1" s="1"/>
  <c r="U330" i="1"/>
  <c r="T338" i="1"/>
  <c r="U338" i="1" s="1"/>
  <c r="T346" i="1"/>
  <c r="U346" i="1" s="1"/>
  <c r="T354" i="1"/>
  <c r="U354" i="1" s="1"/>
  <c r="T370" i="1"/>
  <c r="U370" i="1" s="1"/>
  <c r="T378" i="1"/>
  <c r="U378" i="1" s="1"/>
  <c r="T386" i="1"/>
  <c r="U386" i="1" s="1"/>
  <c r="U394" i="1"/>
  <c r="T402" i="1"/>
  <c r="U402" i="1" s="1"/>
  <c r="U410" i="1"/>
  <c r="T418" i="1"/>
  <c r="U418" i="1" s="1"/>
  <c r="T426" i="1"/>
  <c r="U426" i="1" s="1"/>
  <c r="T434" i="1"/>
  <c r="U434" i="1" s="1"/>
  <c r="T442" i="1"/>
  <c r="U442" i="1" s="1"/>
  <c r="T450" i="1"/>
  <c r="U450" i="1" s="1"/>
  <c r="U458" i="1"/>
  <c r="T466" i="1"/>
  <c r="U466" i="1" s="1"/>
  <c r="U474" i="1"/>
  <c r="T482" i="1"/>
  <c r="U482" i="1" s="1"/>
  <c r="T490" i="1"/>
  <c r="U490" i="1" s="1"/>
  <c r="T498" i="1"/>
  <c r="U498" i="1" s="1"/>
  <c r="T506" i="1"/>
  <c r="U506" i="1" s="1"/>
  <c r="T514" i="1"/>
  <c r="U514" i="1" s="1"/>
  <c r="T522" i="1"/>
  <c r="U522" i="1" s="1"/>
  <c r="T530" i="1"/>
  <c r="U530" i="1" s="1"/>
  <c r="T538" i="1"/>
  <c r="U538" i="1" s="1"/>
  <c r="T546" i="1"/>
  <c r="U546" i="1" s="1"/>
  <c r="T554" i="1"/>
  <c r="U554" i="1" s="1"/>
  <c r="T562" i="1"/>
  <c r="U562" i="1" s="1"/>
  <c r="T578" i="1"/>
  <c r="U578" i="1" s="1"/>
  <c r="T586" i="1"/>
  <c r="U586" i="1" s="1"/>
  <c r="T594" i="1"/>
  <c r="U594" i="1" s="1"/>
  <c r="T602" i="1"/>
  <c r="U602" i="1" s="1"/>
  <c r="T610" i="1"/>
  <c r="U610" i="1" s="1"/>
  <c r="T626" i="1"/>
  <c r="U626" i="1" s="1"/>
  <c r="T634" i="1"/>
  <c r="U634" i="1" s="1"/>
  <c r="T642" i="1"/>
  <c r="U642" i="1" s="1"/>
  <c r="T650" i="1"/>
  <c r="U650" i="1" s="1"/>
  <c r="T658" i="1"/>
  <c r="U658" i="1" s="1"/>
  <c r="T666" i="1"/>
  <c r="U666" i="1" s="1"/>
  <c r="T674" i="1"/>
  <c r="U674" i="1" s="1"/>
  <c r="T682" i="1"/>
  <c r="U682" i="1" s="1"/>
  <c r="T690" i="1"/>
  <c r="U690" i="1" s="1"/>
  <c r="T698" i="1"/>
  <c r="U698" i="1" s="1"/>
  <c r="T706" i="1"/>
  <c r="U706" i="1" s="1"/>
  <c r="T714" i="1"/>
  <c r="U714" i="1" s="1"/>
  <c r="T722" i="1"/>
  <c r="U722" i="1" s="1"/>
  <c r="T730" i="1"/>
  <c r="U730" i="1" s="1"/>
  <c r="T738" i="1"/>
  <c r="U738" i="1" s="1"/>
  <c r="T746" i="1"/>
  <c r="U746" i="1" s="1"/>
  <c r="T754" i="1"/>
  <c r="U754" i="1" s="1"/>
  <c r="T762" i="1"/>
  <c r="U762" i="1" s="1"/>
  <c r="T770" i="1"/>
  <c r="U770" i="1" s="1"/>
  <c r="T778" i="1"/>
  <c r="U778" i="1" s="1"/>
  <c r="T786" i="1"/>
  <c r="U786" i="1" s="1"/>
  <c r="T794" i="1"/>
  <c r="U794" i="1" s="1"/>
  <c r="T802" i="1"/>
  <c r="U802" i="1" s="1"/>
  <c r="T810" i="1"/>
  <c r="U810" i="1" s="1"/>
  <c r="T818" i="1"/>
  <c r="U818" i="1" s="1"/>
  <c r="T826" i="1"/>
  <c r="U826" i="1" s="1"/>
  <c r="T834" i="1"/>
  <c r="U834" i="1" s="1"/>
  <c r="T842" i="1"/>
  <c r="U842" i="1" s="1"/>
  <c r="T13" i="1"/>
  <c r="U13" i="1" s="1"/>
  <c r="V13" i="1" s="1"/>
  <c r="T46" i="1"/>
  <c r="U46" i="1" s="1"/>
  <c r="T64" i="1"/>
  <c r="U64" i="1" s="1"/>
  <c r="T97" i="1"/>
  <c r="U97" i="1" s="1"/>
  <c r="T134" i="1"/>
  <c r="U134" i="1" s="1"/>
  <c r="T167" i="1"/>
  <c r="U167" i="1" s="1"/>
  <c r="T214" i="1"/>
  <c r="U214" i="1" s="1"/>
  <c r="U242" i="1"/>
  <c r="T257" i="1"/>
  <c r="U257" i="1" s="1"/>
  <c r="T274" i="1"/>
  <c r="U274" i="1" s="1"/>
  <c r="T310" i="1"/>
  <c r="U310" i="1" s="1"/>
  <c r="T362" i="1"/>
  <c r="U362" i="1" s="1"/>
  <c r="T432" i="1"/>
  <c r="U432" i="1" s="1"/>
  <c r="T551" i="1"/>
  <c r="U551" i="1" s="1"/>
  <c r="T590" i="1"/>
  <c r="U590" i="1" s="1"/>
  <c r="T646" i="1"/>
  <c r="U646" i="1" s="1"/>
  <c r="R13" i="1"/>
  <c r="T5" i="1"/>
  <c r="U5" i="1" s="1"/>
  <c r="V5" i="1" s="1"/>
  <c r="T21" i="1"/>
  <c r="U21" i="1" s="1"/>
  <c r="V21" i="1" s="1"/>
  <c r="T53" i="1"/>
  <c r="U53" i="1" s="1"/>
  <c r="V53" i="1" s="1"/>
  <c r="T85" i="1"/>
  <c r="U85" i="1" s="1"/>
  <c r="V85" i="1" s="1"/>
  <c r="T125" i="1"/>
  <c r="U125" i="1" s="1"/>
  <c r="V125" i="1" s="1"/>
  <c r="T157" i="1"/>
  <c r="U157" i="1" s="1"/>
  <c r="M189" i="1"/>
  <c r="N189" i="1" s="1"/>
  <c r="T189" i="1"/>
  <c r="U189" i="1" s="1"/>
  <c r="M221" i="1"/>
  <c r="N221" i="1" s="1"/>
  <c r="T221" i="1"/>
  <c r="U221" i="1" s="1"/>
  <c r="M253" i="1"/>
  <c r="N253" i="1" s="1"/>
  <c r="M269" i="1"/>
  <c r="N269" i="1" s="1"/>
  <c r="O269" i="1" s="1"/>
  <c r="P269" i="1" s="1"/>
  <c r="M293" i="1"/>
  <c r="N293" i="1" s="1"/>
  <c r="O293" i="1" s="1"/>
  <c r="P293" i="1" s="1"/>
  <c r="M309" i="1"/>
  <c r="N309" i="1" s="1"/>
  <c r="O309" i="1" s="1"/>
  <c r="P309" i="1" s="1"/>
  <c r="M341" i="1"/>
  <c r="M365" i="1"/>
  <c r="N365" i="1" s="1"/>
  <c r="O365" i="1" s="1"/>
  <c r="P365" i="1" s="1"/>
  <c r="T365" i="1"/>
  <c r="U365" i="1" s="1"/>
  <c r="T389" i="1"/>
  <c r="U389" i="1" s="1"/>
  <c r="T493" i="1"/>
  <c r="U493" i="1" s="1"/>
  <c r="M509" i="1"/>
  <c r="T509" i="1"/>
  <c r="U509" i="1" s="1"/>
  <c r="T533" i="1"/>
  <c r="U533" i="1" s="1"/>
  <c r="T557" i="1"/>
  <c r="U557" i="1" s="1"/>
  <c r="T581" i="1"/>
  <c r="U581" i="1" s="1"/>
  <c r="V581" i="1" s="1"/>
  <c r="T621" i="1"/>
  <c r="U621" i="1" s="1"/>
  <c r="T653" i="1"/>
  <c r="U653" i="1" s="1"/>
  <c r="T677" i="1"/>
  <c r="U677" i="1" s="1"/>
  <c r="T709" i="1"/>
  <c r="U709" i="1" s="1"/>
  <c r="V709" i="1" s="1"/>
  <c r="T733" i="1"/>
  <c r="U733" i="1" s="1"/>
  <c r="T765" i="1"/>
  <c r="U765" i="1" s="1"/>
  <c r="T789" i="1"/>
  <c r="U789" i="1" s="1"/>
  <c r="T821" i="1"/>
  <c r="U821" i="1" s="1"/>
  <c r="T349" i="1"/>
  <c r="U349" i="1" s="1"/>
  <c r="T445" i="1"/>
  <c r="U445" i="1" s="1"/>
  <c r="T605" i="1"/>
  <c r="U605" i="1" s="1"/>
  <c r="T22" i="1"/>
  <c r="U22" i="1" s="1"/>
  <c r="M62" i="1"/>
  <c r="N62" i="1" s="1"/>
  <c r="O62" i="1" s="1"/>
  <c r="P62" i="1" s="1"/>
  <c r="T62" i="1"/>
  <c r="U62" i="1" s="1"/>
  <c r="M126" i="1"/>
  <c r="N126" i="1" s="1"/>
  <c r="O126" i="1" s="1"/>
  <c r="P126" i="1" s="1"/>
  <c r="T126" i="1"/>
  <c r="U126" i="1" s="1"/>
  <c r="M182" i="1"/>
  <c r="N182" i="1" s="1"/>
  <c r="O182" i="1" s="1"/>
  <c r="P182" i="1" s="1"/>
  <c r="T182" i="1"/>
  <c r="U182" i="1" s="1"/>
  <c r="M230" i="1"/>
  <c r="N230" i="1" s="1"/>
  <c r="O230" i="1" s="1"/>
  <c r="P230" i="1" s="1"/>
  <c r="T230" i="1"/>
  <c r="U230" i="1" s="1"/>
  <c r="M254" i="1"/>
  <c r="N254" i="1" s="1"/>
  <c r="O254" i="1" s="1"/>
  <c r="P254" i="1" s="1"/>
  <c r="T254" i="1"/>
  <c r="U254" i="1" s="1"/>
  <c r="T278" i="1"/>
  <c r="U278" i="1" s="1"/>
  <c r="U294" i="1"/>
  <c r="T326" i="1"/>
  <c r="U326" i="1" s="1"/>
  <c r="T334" i="1"/>
  <c r="U334" i="1" s="1"/>
  <c r="T366" i="1"/>
  <c r="U366" i="1" s="1"/>
  <c r="M374" i="1"/>
  <c r="N374" i="1" s="1"/>
  <c r="O374" i="1" s="1"/>
  <c r="P374" i="1" s="1"/>
  <c r="T374" i="1"/>
  <c r="U374" i="1" s="1"/>
  <c r="T406" i="1"/>
  <c r="U406" i="1" s="1"/>
  <c r="T438" i="1"/>
  <c r="U438" i="1" s="1"/>
  <c r="T454" i="1"/>
  <c r="U454" i="1" s="1"/>
  <c r="T478" i="1"/>
  <c r="U478" i="1" s="1"/>
  <c r="T502" i="1"/>
  <c r="U502" i="1" s="1"/>
  <c r="T542" i="1"/>
  <c r="U542" i="1" s="1"/>
  <c r="T566" i="1"/>
  <c r="U566" i="1" s="1"/>
  <c r="T606" i="1"/>
  <c r="U606" i="1" s="1"/>
  <c r="T622" i="1"/>
  <c r="U622" i="1" s="1"/>
  <c r="T638" i="1"/>
  <c r="U638" i="1" s="1"/>
  <c r="T654" i="1"/>
  <c r="U654" i="1" s="1"/>
  <c r="T670" i="1"/>
  <c r="U670" i="1" s="1"/>
  <c r="T694" i="1"/>
  <c r="U694" i="1" s="1"/>
  <c r="T710" i="1"/>
  <c r="U710" i="1" s="1"/>
  <c r="T726" i="1"/>
  <c r="U726" i="1" s="1"/>
  <c r="T742" i="1"/>
  <c r="U742" i="1" s="1"/>
  <c r="T766" i="1"/>
  <c r="U766" i="1" s="1"/>
  <c r="T798" i="1"/>
  <c r="U798" i="1" s="1"/>
  <c r="T806" i="1"/>
  <c r="U806" i="1" s="1"/>
  <c r="T830" i="1"/>
  <c r="U830" i="1" s="1"/>
  <c r="T15" i="1"/>
  <c r="U15" i="1" s="1"/>
  <c r="T55" i="1"/>
  <c r="U55" i="1" s="1"/>
  <c r="T119" i="1"/>
  <c r="U119" i="1" s="1"/>
  <c r="M183" i="1"/>
  <c r="N183" i="1" s="1"/>
  <c r="O183" i="1" s="1"/>
  <c r="P183" i="1" s="1"/>
  <c r="T183" i="1"/>
  <c r="U183" i="1" s="1"/>
  <c r="T239" i="1"/>
  <c r="U239" i="1" s="1"/>
  <c r="M271" i="1"/>
  <c r="N271" i="1" s="1"/>
  <c r="T271" i="1"/>
  <c r="U271" i="1" s="1"/>
  <c r="T303" i="1"/>
  <c r="U303" i="1" s="1"/>
  <c r="M343" i="1"/>
  <c r="N343" i="1" s="1"/>
  <c r="O343" i="1" s="1"/>
  <c r="P343" i="1" s="1"/>
  <c r="T343" i="1"/>
  <c r="U343" i="1" s="1"/>
  <c r="M383" i="1"/>
  <c r="T431" i="1"/>
  <c r="U431" i="1" s="1"/>
  <c r="T479" i="1"/>
  <c r="U479" i="1" s="1"/>
  <c r="T543" i="1"/>
  <c r="U543" i="1" s="1"/>
  <c r="T591" i="1"/>
  <c r="U591" i="1" s="1"/>
  <c r="T639" i="1"/>
  <c r="U639" i="1" s="1"/>
  <c r="T703" i="1"/>
  <c r="U703" i="1" s="1"/>
  <c r="T751" i="1"/>
  <c r="U751" i="1" s="1"/>
  <c r="T831" i="1"/>
  <c r="U831" i="1" s="1"/>
  <c r="M24" i="1"/>
  <c r="N24" i="1" s="1"/>
  <c r="O24" i="1" s="1"/>
  <c r="P24" i="1" s="1"/>
  <c r="T24" i="1"/>
  <c r="U24" i="1" s="1"/>
  <c r="T72" i="1"/>
  <c r="U72" i="1" s="1"/>
  <c r="T104" i="1"/>
  <c r="U104" i="1" s="1"/>
  <c r="T144" i="1"/>
  <c r="U144" i="1" s="1"/>
  <c r="T168" i="1"/>
  <c r="U168" i="1" s="1"/>
  <c r="T200" i="1"/>
  <c r="U200" i="1" s="1"/>
  <c r="T18" i="1"/>
  <c r="U18" i="1" s="1"/>
  <c r="M26" i="1"/>
  <c r="N26" i="1" s="1"/>
  <c r="O26" i="1" s="1"/>
  <c r="P26" i="1" s="1"/>
  <c r="T42" i="1"/>
  <c r="U42" i="1" s="1"/>
  <c r="T66" i="1"/>
  <c r="U66" i="1" s="1"/>
  <c r="T82" i="1"/>
  <c r="U82" i="1" s="1"/>
  <c r="T98" i="1"/>
  <c r="U98" i="1" s="1"/>
  <c r="T3" i="1"/>
  <c r="U3" i="1" s="1"/>
  <c r="T11" i="1"/>
  <c r="U11" i="1" s="1"/>
  <c r="U27" i="1"/>
  <c r="T35" i="1"/>
  <c r="U35" i="1" s="1"/>
  <c r="T43" i="1"/>
  <c r="U43" i="1" s="1"/>
  <c r="U59" i="1"/>
  <c r="T67" i="1"/>
  <c r="U67" i="1" s="1"/>
  <c r="T75" i="1"/>
  <c r="U75" i="1" s="1"/>
  <c r="U91" i="1"/>
  <c r="T99" i="1"/>
  <c r="U99" i="1" s="1"/>
  <c r="T107" i="1"/>
  <c r="U107" i="1" s="1"/>
  <c r="U123" i="1"/>
  <c r="T131" i="1"/>
  <c r="U131" i="1" s="1"/>
  <c r="T139" i="1"/>
  <c r="U139" i="1" s="1"/>
  <c r="U155" i="1"/>
  <c r="T163" i="1"/>
  <c r="U163" i="1" s="1"/>
  <c r="T171" i="1"/>
  <c r="U171" i="1" s="1"/>
  <c r="T187" i="1"/>
  <c r="U187" i="1" s="1"/>
  <c r="U203" i="1"/>
  <c r="T211" i="1"/>
  <c r="U211" i="1" s="1"/>
  <c r="T227" i="1"/>
  <c r="U227" i="1" s="1"/>
  <c r="T235" i="1"/>
  <c r="U235" i="1" s="1"/>
  <c r="T243" i="1"/>
  <c r="U243" i="1" s="1"/>
  <c r="T259" i="1"/>
  <c r="U259" i="1" s="1"/>
  <c r="T267" i="1"/>
  <c r="U267" i="1" s="1"/>
  <c r="T283" i="1"/>
  <c r="U283" i="1" s="1"/>
  <c r="T291" i="1"/>
  <c r="U291" i="1" s="1"/>
  <c r="U299" i="1"/>
  <c r="T307" i="1"/>
  <c r="U307" i="1" s="1"/>
  <c r="T315" i="1"/>
  <c r="U315" i="1" s="1"/>
  <c r="T323" i="1"/>
  <c r="U323" i="1" s="1"/>
  <c r="T331" i="1"/>
  <c r="U331" i="1" s="1"/>
  <c r="T347" i="1"/>
  <c r="U347" i="1" s="1"/>
  <c r="T355" i="1"/>
  <c r="U355" i="1" s="1"/>
  <c r="T363" i="1"/>
  <c r="U363" i="1" s="1"/>
  <c r="T379" i="1"/>
  <c r="U379" i="1" s="1"/>
  <c r="T387" i="1"/>
  <c r="U387" i="1" s="1"/>
  <c r="T395" i="1"/>
  <c r="U395" i="1" s="1"/>
  <c r="T403" i="1"/>
  <c r="U403" i="1" s="1"/>
  <c r="T411" i="1"/>
  <c r="U411" i="1" s="1"/>
  <c r="T427" i="1"/>
  <c r="U427" i="1" s="1"/>
  <c r="T443" i="1"/>
  <c r="U443" i="1" s="1"/>
  <c r="T451" i="1"/>
  <c r="U451" i="1" s="1"/>
  <c r="T459" i="1"/>
  <c r="U459" i="1" s="1"/>
  <c r="T467" i="1"/>
  <c r="U467" i="1" s="1"/>
  <c r="T475" i="1"/>
  <c r="U475" i="1" s="1"/>
  <c r="T491" i="1"/>
  <c r="U491" i="1" s="1"/>
  <c r="T507" i="1"/>
  <c r="U507" i="1" s="1"/>
  <c r="T515" i="1"/>
  <c r="U515" i="1" s="1"/>
  <c r="T523" i="1"/>
  <c r="U523" i="1" s="1"/>
  <c r="T539" i="1"/>
  <c r="U539" i="1" s="1"/>
  <c r="T547" i="1"/>
  <c r="U547" i="1" s="1"/>
  <c r="T555" i="1"/>
  <c r="U555" i="1" s="1"/>
  <c r="T563" i="1"/>
  <c r="U563" i="1" s="1"/>
  <c r="T579" i="1"/>
  <c r="U579" i="1" s="1"/>
  <c r="T587" i="1"/>
  <c r="U587" i="1" s="1"/>
  <c r="T595" i="1"/>
  <c r="U595" i="1" s="1"/>
  <c r="T611" i="1"/>
  <c r="U611" i="1" s="1"/>
  <c r="T619" i="1"/>
  <c r="U619" i="1" s="1"/>
  <c r="T627" i="1"/>
  <c r="U627" i="1" s="1"/>
  <c r="T635" i="1"/>
  <c r="U635" i="1" s="1"/>
  <c r="T643" i="1"/>
  <c r="U643" i="1" s="1"/>
  <c r="T651" i="1"/>
  <c r="U651" i="1" s="1"/>
  <c r="T659" i="1"/>
  <c r="U659" i="1" s="1"/>
  <c r="T667" i="1"/>
  <c r="U667" i="1" s="1"/>
  <c r="T675" i="1"/>
  <c r="U675" i="1" s="1"/>
  <c r="T683" i="1"/>
  <c r="U683" i="1" s="1"/>
  <c r="T691" i="1"/>
  <c r="U691" i="1" s="1"/>
  <c r="T699" i="1"/>
  <c r="U699" i="1" s="1"/>
  <c r="T707" i="1"/>
  <c r="U707" i="1" s="1"/>
  <c r="T723" i="1"/>
  <c r="U723" i="1" s="1"/>
  <c r="T731" i="1"/>
  <c r="U731" i="1" s="1"/>
  <c r="T739" i="1"/>
  <c r="U739" i="1" s="1"/>
  <c r="T747" i="1"/>
  <c r="U747" i="1" s="1"/>
  <c r="T755" i="1"/>
  <c r="U755" i="1" s="1"/>
  <c r="T763" i="1"/>
  <c r="U763" i="1" s="1"/>
  <c r="T771" i="1"/>
  <c r="U771" i="1" s="1"/>
  <c r="T779" i="1"/>
  <c r="U779" i="1" s="1"/>
  <c r="T787" i="1"/>
  <c r="U787" i="1" s="1"/>
  <c r="T795" i="1"/>
  <c r="U795" i="1" s="1"/>
  <c r="T803" i="1"/>
  <c r="U803" i="1" s="1"/>
  <c r="T811" i="1"/>
  <c r="U811" i="1" s="1"/>
  <c r="T819" i="1"/>
  <c r="U819" i="1" s="1"/>
  <c r="T827" i="1"/>
  <c r="U827" i="1" s="1"/>
  <c r="T835" i="1"/>
  <c r="U835" i="1" s="1"/>
  <c r="T14" i="1"/>
  <c r="U14" i="1" s="1"/>
  <c r="T32" i="1"/>
  <c r="U32" i="1" s="1"/>
  <c r="T51" i="1"/>
  <c r="U51" i="1" s="1"/>
  <c r="T65" i="1"/>
  <c r="U65" i="1" s="1"/>
  <c r="U83" i="1"/>
  <c r="T102" i="1"/>
  <c r="U102" i="1" s="1"/>
  <c r="T135" i="1"/>
  <c r="U135" i="1" s="1"/>
  <c r="T153" i="1"/>
  <c r="U153" i="1" s="1"/>
  <c r="T184" i="1"/>
  <c r="U184" i="1" s="1"/>
  <c r="T201" i="1"/>
  <c r="U201" i="1" s="1"/>
  <c r="T231" i="1"/>
  <c r="U231" i="1" s="1"/>
  <c r="T258" i="1"/>
  <c r="U258" i="1" s="1"/>
  <c r="T311" i="1"/>
  <c r="U311" i="1" s="1"/>
  <c r="T552" i="1"/>
  <c r="U552" i="1" s="1"/>
  <c r="T603" i="1"/>
  <c r="U603" i="1" s="1"/>
  <c r="T657" i="1"/>
  <c r="U657" i="1" s="1"/>
  <c r="M77" i="1"/>
  <c r="Q77" i="1" s="1"/>
  <c r="T101" i="1"/>
  <c r="U101" i="1" s="1"/>
  <c r="V101" i="1" s="1"/>
  <c r="T133" i="1"/>
  <c r="U133" i="1" s="1"/>
  <c r="V133" i="1" s="1"/>
  <c r="M213" i="1"/>
  <c r="N213" i="1" s="1"/>
  <c r="O213" i="1" s="1"/>
  <c r="P213" i="1" s="1"/>
  <c r="T277" i="1"/>
  <c r="U277" i="1" s="1"/>
  <c r="M301" i="1"/>
  <c r="Q301" i="1" s="1"/>
  <c r="T325" i="1"/>
  <c r="U325" i="1" s="1"/>
  <c r="M357" i="1"/>
  <c r="N357" i="1" s="1"/>
  <c r="O357" i="1" s="1"/>
  <c r="P357" i="1" s="1"/>
  <c r="T357" i="1"/>
  <c r="U357" i="1" s="1"/>
  <c r="M373" i="1"/>
  <c r="N373" i="1" s="1"/>
  <c r="O373" i="1" s="1"/>
  <c r="P373" i="1" s="1"/>
  <c r="T373" i="1"/>
  <c r="U373" i="1" s="1"/>
  <c r="T413" i="1"/>
  <c r="U413" i="1" s="1"/>
  <c r="T437" i="1"/>
  <c r="U437" i="1" s="1"/>
  <c r="T453" i="1"/>
  <c r="U453" i="1" s="1"/>
  <c r="T485" i="1"/>
  <c r="U485" i="1" s="1"/>
  <c r="T501" i="1"/>
  <c r="U501" i="1" s="1"/>
  <c r="T541" i="1"/>
  <c r="U541" i="1" s="1"/>
  <c r="M597" i="1"/>
  <c r="N597" i="1" s="1"/>
  <c r="O597" i="1" s="1"/>
  <c r="P597" i="1" s="1"/>
  <c r="T597" i="1"/>
  <c r="U597" i="1" s="1"/>
  <c r="T613" i="1"/>
  <c r="U613" i="1" s="1"/>
  <c r="T629" i="1"/>
  <c r="U629" i="1" s="1"/>
  <c r="T669" i="1"/>
  <c r="U669" i="1" s="1"/>
  <c r="T725" i="1"/>
  <c r="U725" i="1" s="1"/>
  <c r="T741" i="1"/>
  <c r="U741" i="1" s="1"/>
  <c r="M781" i="1"/>
  <c r="N781" i="1" s="1"/>
  <c r="O781" i="1" s="1"/>
  <c r="P781" i="1" s="1"/>
  <c r="T781" i="1"/>
  <c r="U781" i="1" s="1"/>
  <c r="T797" i="1"/>
  <c r="U797" i="1" s="1"/>
  <c r="T829" i="1"/>
  <c r="U829" i="1" s="1"/>
  <c r="T143" i="1"/>
  <c r="U143" i="1" s="1"/>
  <c r="T175" i="1"/>
  <c r="U175" i="1" s="1"/>
  <c r="M287" i="1"/>
  <c r="Q287" i="1" s="1"/>
  <c r="M335" i="1"/>
  <c r="N335" i="1" s="1"/>
  <c r="O335" i="1" s="1"/>
  <c r="P335" i="1" s="1"/>
  <c r="T335" i="1"/>
  <c r="U335" i="1" s="1"/>
  <c r="T399" i="1"/>
  <c r="U399" i="1" s="1"/>
  <c r="T495" i="1"/>
  <c r="U495" i="1" s="1"/>
  <c r="T535" i="1"/>
  <c r="U535" i="1" s="1"/>
  <c r="T575" i="1"/>
  <c r="U575" i="1" s="1"/>
  <c r="T671" i="1"/>
  <c r="U671" i="1" s="1"/>
  <c r="T711" i="1"/>
  <c r="U711" i="1" s="1"/>
  <c r="T735" i="1"/>
  <c r="U735" i="1" s="1"/>
  <c r="T775" i="1"/>
  <c r="U775" i="1" s="1"/>
  <c r="T799" i="1"/>
  <c r="U799" i="1" s="1"/>
  <c r="M40" i="1"/>
  <c r="N40" i="1" s="1"/>
  <c r="O40" i="1" s="1"/>
  <c r="P40" i="1" s="1"/>
  <c r="T40" i="1"/>
  <c r="U40" i="1" s="1"/>
  <c r="M4" i="1"/>
  <c r="N4" i="1" s="1"/>
  <c r="O4" i="1" s="1"/>
  <c r="P4" i="1" s="1"/>
  <c r="T4" i="1"/>
  <c r="U4" i="1" s="1"/>
  <c r="M20" i="1"/>
  <c r="T28" i="1"/>
  <c r="U28" i="1" s="1"/>
  <c r="M36" i="1"/>
  <c r="N36" i="1" s="1"/>
  <c r="O36" i="1" s="1"/>
  <c r="P36" i="1" s="1"/>
  <c r="T36" i="1"/>
  <c r="U36" i="1" s="1"/>
  <c r="T60" i="1"/>
  <c r="U60" i="1" s="1"/>
  <c r="T68" i="1"/>
  <c r="U68" i="1" s="1"/>
  <c r="M76" i="1"/>
  <c r="N76" i="1" s="1"/>
  <c r="O76" i="1" s="1"/>
  <c r="P76" i="1" s="1"/>
  <c r="M92" i="1"/>
  <c r="T92" i="1"/>
  <c r="U92" i="1" s="1"/>
  <c r="T100" i="1"/>
  <c r="U100" i="1" s="1"/>
  <c r="M108" i="1"/>
  <c r="Q108" i="1" s="1"/>
  <c r="T124" i="1"/>
  <c r="U124" i="1" s="1"/>
  <c r="T132" i="1"/>
  <c r="U132" i="1" s="1"/>
  <c r="T156" i="1"/>
  <c r="U156" i="1" s="1"/>
  <c r="T164" i="1"/>
  <c r="U164" i="1" s="1"/>
  <c r="M172" i="1"/>
  <c r="N172" i="1" s="1"/>
  <c r="O172" i="1" s="1"/>
  <c r="P172" i="1" s="1"/>
  <c r="M180" i="1"/>
  <c r="N180" i="1" s="1"/>
  <c r="O180" i="1" s="1"/>
  <c r="P180" i="1" s="1"/>
  <c r="U180" i="1"/>
  <c r="T188" i="1"/>
  <c r="U188" i="1" s="1"/>
  <c r="M196" i="1"/>
  <c r="N196" i="1" s="1"/>
  <c r="O196" i="1" s="1"/>
  <c r="P196" i="1" s="1"/>
  <c r="M204" i="1"/>
  <c r="N204" i="1" s="1"/>
  <c r="O204" i="1" s="1"/>
  <c r="P204" i="1" s="1"/>
  <c r="T204" i="1"/>
  <c r="U204" i="1" s="1"/>
  <c r="M212" i="1"/>
  <c r="N212" i="1" s="1"/>
  <c r="O212" i="1" s="1"/>
  <c r="P212" i="1" s="1"/>
  <c r="T212" i="1"/>
  <c r="U212" i="1" s="1"/>
  <c r="T228" i="1"/>
  <c r="U228" i="1" s="1"/>
  <c r="M236" i="1"/>
  <c r="N236" i="1" s="1"/>
  <c r="O236" i="1" s="1"/>
  <c r="P236" i="1" s="1"/>
  <c r="M244" i="1"/>
  <c r="T244" i="1"/>
  <c r="U244" i="1" s="1"/>
  <c r="M260" i="1"/>
  <c r="N260" i="1" s="1"/>
  <c r="O260" i="1" s="1"/>
  <c r="P260" i="1" s="1"/>
  <c r="T260" i="1"/>
  <c r="U260" i="1" s="1"/>
  <c r="M268" i="1"/>
  <c r="T276" i="1"/>
  <c r="U276" i="1" s="1"/>
  <c r="T284" i="1"/>
  <c r="U284" i="1" s="1"/>
  <c r="T300" i="1"/>
  <c r="U300" i="1" s="1"/>
  <c r="T308" i="1"/>
  <c r="U308" i="1" s="1"/>
  <c r="T316" i="1"/>
  <c r="U316" i="1" s="1"/>
  <c r="T324" i="1"/>
  <c r="U324" i="1" s="1"/>
  <c r="T348" i="1"/>
  <c r="U348" i="1" s="1"/>
  <c r="M356" i="1"/>
  <c r="N356" i="1" s="1"/>
  <c r="O356" i="1" s="1"/>
  <c r="P356" i="1" s="1"/>
  <c r="T356" i="1"/>
  <c r="U356" i="1" s="1"/>
  <c r="T364" i="1"/>
  <c r="U364" i="1" s="1"/>
  <c r="T380" i="1"/>
  <c r="U380" i="1" s="1"/>
  <c r="T388" i="1"/>
  <c r="U388" i="1" s="1"/>
  <c r="T404" i="1"/>
  <c r="U404" i="1" s="1"/>
  <c r="T412" i="1"/>
  <c r="U412" i="1" s="1"/>
  <c r="T420" i="1"/>
  <c r="U420" i="1" s="1"/>
  <c r="M428" i="1"/>
  <c r="N428" i="1" s="1"/>
  <c r="O428" i="1" s="1"/>
  <c r="P428" i="1" s="1"/>
  <c r="T428" i="1"/>
  <c r="U428" i="1" s="1"/>
  <c r="T436" i="1"/>
  <c r="U436" i="1" s="1"/>
  <c r="T444" i="1"/>
  <c r="U444" i="1" s="1"/>
  <c r="T452" i="1"/>
  <c r="U452" i="1" s="1"/>
  <c r="T468" i="1"/>
  <c r="U468" i="1" s="1"/>
  <c r="T476" i="1"/>
  <c r="U476" i="1" s="1"/>
  <c r="T484" i="1"/>
  <c r="U484" i="1" s="1"/>
  <c r="T492" i="1"/>
  <c r="U492" i="1" s="1"/>
  <c r="T508" i="1"/>
  <c r="U508" i="1" s="1"/>
  <c r="M516" i="1"/>
  <c r="N516" i="1" s="1"/>
  <c r="O516" i="1" s="1"/>
  <c r="P516" i="1" s="1"/>
  <c r="T516" i="1"/>
  <c r="U516" i="1" s="1"/>
  <c r="M524" i="1"/>
  <c r="N524" i="1" s="1"/>
  <c r="O524" i="1" s="1"/>
  <c r="P524" i="1" s="1"/>
  <c r="T524" i="1"/>
  <c r="U524" i="1" s="1"/>
  <c r="M532" i="1"/>
  <c r="M540" i="1"/>
  <c r="N540" i="1" s="1"/>
  <c r="O540" i="1" s="1"/>
  <c r="P540" i="1" s="1"/>
  <c r="T540" i="1"/>
  <c r="U540" i="1" s="1"/>
  <c r="T548" i="1"/>
  <c r="U548" i="1" s="1"/>
  <c r="T556" i="1"/>
  <c r="U556" i="1" s="1"/>
  <c r="T564" i="1"/>
  <c r="U564" i="1" s="1"/>
  <c r="T572" i="1"/>
  <c r="U572" i="1" s="1"/>
  <c r="T580" i="1"/>
  <c r="U580" i="1" s="1"/>
  <c r="T588" i="1"/>
  <c r="U588" i="1" s="1"/>
  <c r="T596" i="1"/>
  <c r="U596" i="1" s="1"/>
  <c r="T612" i="1"/>
  <c r="U612" i="1" s="1"/>
  <c r="T620" i="1"/>
  <c r="U620" i="1" s="1"/>
  <c r="T628" i="1"/>
  <c r="U628" i="1" s="1"/>
  <c r="T636" i="1"/>
  <c r="U636" i="1" s="1"/>
  <c r="T644" i="1"/>
  <c r="U644" i="1" s="1"/>
  <c r="T652" i="1"/>
  <c r="U652" i="1" s="1"/>
  <c r="T660" i="1"/>
  <c r="U660" i="1" s="1"/>
  <c r="T668" i="1"/>
  <c r="U668" i="1" s="1"/>
  <c r="T676" i="1"/>
  <c r="U676" i="1" s="1"/>
  <c r="M684" i="1"/>
  <c r="N684" i="1" s="1"/>
  <c r="O684" i="1" s="1"/>
  <c r="P684" i="1" s="1"/>
  <c r="T692" i="1"/>
  <c r="U692" i="1" s="1"/>
  <c r="T700" i="1"/>
  <c r="U700" i="1" s="1"/>
  <c r="T708" i="1"/>
  <c r="U708" i="1" s="1"/>
  <c r="T716" i="1"/>
  <c r="U716" i="1" s="1"/>
  <c r="T724" i="1"/>
  <c r="U724" i="1" s="1"/>
  <c r="T732" i="1"/>
  <c r="U732" i="1" s="1"/>
  <c r="T740" i="1"/>
  <c r="U740" i="1" s="1"/>
  <c r="T748" i="1"/>
  <c r="U748" i="1" s="1"/>
  <c r="T756" i="1"/>
  <c r="U756" i="1" s="1"/>
  <c r="T764" i="1"/>
  <c r="U764" i="1" s="1"/>
  <c r="T772" i="1"/>
  <c r="U772" i="1" s="1"/>
  <c r="T780" i="1"/>
  <c r="U780" i="1" s="1"/>
  <c r="T788" i="1"/>
  <c r="U788" i="1" s="1"/>
  <c r="T796" i="1"/>
  <c r="U796" i="1" s="1"/>
  <c r="T804" i="1"/>
  <c r="U804" i="1" s="1"/>
  <c r="T812" i="1"/>
  <c r="U812" i="1" s="1"/>
  <c r="T820" i="1"/>
  <c r="U820" i="1" s="1"/>
  <c r="T828" i="1"/>
  <c r="U828" i="1" s="1"/>
  <c r="T836" i="1"/>
  <c r="U836" i="1" s="1"/>
  <c r="T844" i="1"/>
  <c r="U844" i="1" s="1"/>
  <c r="T2" i="1"/>
  <c r="U2" i="1" s="1"/>
  <c r="V2" i="1" s="1"/>
  <c r="T19" i="1"/>
  <c r="U19" i="1" s="1"/>
  <c r="T33" i="1"/>
  <c r="U33" i="1" s="1"/>
  <c r="T70" i="1"/>
  <c r="U70" i="1" s="1"/>
  <c r="T84" i="1"/>
  <c r="U84" i="1" s="1"/>
  <c r="T103" i="1"/>
  <c r="U103" i="1" s="1"/>
  <c r="T121" i="1"/>
  <c r="U121" i="1" s="1"/>
  <c r="T154" i="1"/>
  <c r="U154" i="1" s="1"/>
  <c r="T172" i="1"/>
  <c r="U172" i="1" s="1"/>
  <c r="T202" i="1"/>
  <c r="U202" i="1" s="1"/>
  <c r="T218" i="1"/>
  <c r="U218" i="1" s="1"/>
  <c r="T232" i="1"/>
  <c r="U232" i="1" s="1"/>
  <c r="T247" i="1"/>
  <c r="U247" i="1" s="1"/>
  <c r="T275" i="1"/>
  <c r="U275" i="1" s="1"/>
  <c r="T293" i="1"/>
  <c r="U293" i="1" s="1"/>
  <c r="T319" i="1"/>
  <c r="U319" i="1" s="1"/>
  <c r="T341" i="1"/>
  <c r="U341" i="1" s="1"/>
  <c r="T371" i="1"/>
  <c r="U371" i="1" s="1"/>
  <c r="T435" i="1"/>
  <c r="U435" i="1" s="1"/>
  <c r="T473" i="1"/>
  <c r="U473" i="1" s="1"/>
  <c r="T513" i="1"/>
  <c r="U513" i="1" s="1"/>
  <c r="T553" i="1"/>
  <c r="U553" i="1" s="1"/>
  <c r="T604" i="1"/>
  <c r="U604" i="1" s="1"/>
  <c r="T684" i="1"/>
  <c r="U684" i="1" s="1"/>
  <c r="M245" i="1"/>
  <c r="N245" i="1" s="1"/>
  <c r="M173" i="1"/>
  <c r="N173" i="1" s="1"/>
  <c r="O173" i="1" s="1"/>
  <c r="P173" i="1" s="1"/>
  <c r="Q13" i="1"/>
  <c r="Q223" i="1"/>
  <c r="Q102" i="1"/>
  <c r="M228" i="1"/>
  <c r="N228" i="1" s="1"/>
  <c r="O228" i="1" s="1"/>
  <c r="P228" i="1" s="1"/>
  <c r="M19" i="1"/>
  <c r="N19" i="1" s="1"/>
  <c r="O19" i="1" s="1"/>
  <c r="P19" i="1" s="1"/>
  <c r="M75" i="1"/>
  <c r="N75" i="1" s="1"/>
  <c r="M123" i="1"/>
  <c r="N123" i="1" s="1"/>
  <c r="M147" i="1"/>
  <c r="N147" i="1" s="1"/>
  <c r="M155" i="1"/>
  <c r="Q155" i="1" s="1"/>
  <c r="M179" i="1"/>
  <c r="M203" i="1"/>
  <c r="M227" i="1"/>
  <c r="N227" i="1" s="1"/>
  <c r="O227" i="1" s="1"/>
  <c r="P227" i="1" s="1"/>
  <c r="M259" i="1"/>
  <c r="N259" i="1" s="1"/>
  <c r="O259" i="1" s="1"/>
  <c r="P259" i="1" s="1"/>
  <c r="M299" i="1"/>
  <c r="N299" i="1" s="1"/>
  <c r="O299" i="1" s="1"/>
  <c r="P299" i="1" s="1"/>
  <c r="M331" i="1"/>
  <c r="N331" i="1" s="1"/>
  <c r="O331" i="1" s="1"/>
  <c r="P331" i="1" s="1"/>
  <c r="M355" i="1"/>
  <c r="Q355" i="1" s="1"/>
  <c r="M387" i="1"/>
  <c r="M411" i="1"/>
  <c r="M427" i="1"/>
  <c r="Q427" i="1" s="1"/>
  <c r="M459" i="1"/>
  <c r="N459" i="1" s="1"/>
  <c r="M483" i="1"/>
  <c r="N483" i="1" s="1"/>
  <c r="O483" i="1" s="1"/>
  <c r="P483" i="1" s="1"/>
  <c r="M523" i="1"/>
  <c r="N523" i="1" s="1"/>
  <c r="O523" i="1" s="1"/>
  <c r="P523" i="1" s="1"/>
  <c r="M547" i="1"/>
  <c r="N547" i="1" s="1"/>
  <c r="O547" i="1" s="1"/>
  <c r="P547" i="1" s="1"/>
  <c r="M571" i="1"/>
  <c r="M603" i="1"/>
  <c r="N603" i="1" s="1"/>
  <c r="M627" i="1"/>
  <c r="Q627" i="1" s="1"/>
  <c r="M651" i="1"/>
  <c r="N651" i="1" s="1"/>
  <c r="O651" i="1" s="1"/>
  <c r="P651" i="1" s="1"/>
  <c r="M675" i="1"/>
  <c r="Q675" i="1" s="1"/>
  <c r="M707" i="1"/>
  <c r="N707" i="1" s="1"/>
  <c r="O707" i="1" s="1"/>
  <c r="P707" i="1" s="1"/>
  <c r="M731" i="1"/>
  <c r="Q731" i="1" s="1"/>
  <c r="M763" i="1"/>
  <c r="N763" i="1" s="1"/>
  <c r="O763" i="1" s="1"/>
  <c r="P763" i="1" s="1"/>
  <c r="M811" i="1"/>
  <c r="N811" i="1" s="1"/>
  <c r="O811" i="1" s="1"/>
  <c r="P811" i="1" s="1"/>
  <c r="M835" i="1"/>
  <c r="M27" i="1"/>
  <c r="Q27" i="1" s="1"/>
  <c r="M51" i="1"/>
  <c r="N51" i="1" s="1"/>
  <c r="M83" i="1"/>
  <c r="N83" i="1" s="1"/>
  <c r="O83" i="1" s="1"/>
  <c r="P83" i="1" s="1"/>
  <c r="M107" i="1"/>
  <c r="Q107" i="1" s="1"/>
  <c r="M187" i="1"/>
  <c r="N187" i="1" s="1"/>
  <c r="O187" i="1" s="1"/>
  <c r="P187" i="1" s="1"/>
  <c r="M211" i="1"/>
  <c r="M243" i="1"/>
  <c r="N243" i="1" s="1"/>
  <c r="M275" i="1"/>
  <c r="N275" i="1" s="1"/>
  <c r="M315" i="1"/>
  <c r="M339" i="1"/>
  <c r="N339" i="1" s="1"/>
  <c r="O339" i="1" s="1"/>
  <c r="P339" i="1" s="1"/>
  <c r="M371" i="1"/>
  <c r="Q371" i="1" s="1"/>
  <c r="M403" i="1"/>
  <c r="N403" i="1" s="1"/>
  <c r="M435" i="1"/>
  <c r="Q435" i="1" s="1"/>
  <c r="M451" i="1"/>
  <c r="M475" i="1"/>
  <c r="M499" i="1"/>
  <c r="N499" i="1" s="1"/>
  <c r="O499" i="1" s="1"/>
  <c r="P499" i="1" s="1"/>
  <c r="M515" i="1"/>
  <c r="N515" i="1" s="1"/>
  <c r="O515" i="1" s="1"/>
  <c r="P515" i="1" s="1"/>
  <c r="M531" i="1"/>
  <c r="M563" i="1"/>
  <c r="N563" i="1" s="1"/>
  <c r="O563" i="1" s="1"/>
  <c r="P563" i="1" s="1"/>
  <c r="M595" i="1"/>
  <c r="N595" i="1" s="1"/>
  <c r="O595" i="1" s="1"/>
  <c r="P595" i="1" s="1"/>
  <c r="M619" i="1"/>
  <c r="N619" i="1" s="1"/>
  <c r="O619" i="1" s="1"/>
  <c r="P619" i="1" s="1"/>
  <c r="M643" i="1"/>
  <c r="Q643" i="1" s="1"/>
  <c r="M691" i="1"/>
  <c r="N691" i="1" s="1"/>
  <c r="M715" i="1"/>
  <c r="N715" i="1" s="1"/>
  <c r="O715" i="1" s="1"/>
  <c r="P715" i="1" s="1"/>
  <c r="M747" i="1"/>
  <c r="N747" i="1" s="1"/>
  <c r="O747" i="1" s="1"/>
  <c r="P747" i="1" s="1"/>
  <c r="M771" i="1"/>
  <c r="N771" i="1" s="1"/>
  <c r="O771" i="1" s="1"/>
  <c r="P771" i="1" s="1"/>
  <c r="M795" i="1"/>
  <c r="M827" i="1"/>
  <c r="N827" i="1" s="1"/>
  <c r="O827" i="1" s="1"/>
  <c r="P827" i="1" s="1"/>
  <c r="M3" i="1"/>
  <c r="Q3" i="1" s="1"/>
  <c r="M35" i="1"/>
  <c r="N35" i="1" s="1"/>
  <c r="M59" i="1"/>
  <c r="Q59" i="1" s="1"/>
  <c r="M91" i="1"/>
  <c r="Q91" i="1" s="1"/>
  <c r="M115" i="1"/>
  <c r="N115" i="1" s="1"/>
  <c r="O115" i="1" s="1"/>
  <c r="P115" i="1" s="1"/>
  <c r="M139" i="1"/>
  <c r="N139" i="1" s="1"/>
  <c r="M163" i="1"/>
  <c r="Q163" i="1" s="1"/>
  <c r="M195" i="1"/>
  <c r="N195" i="1" s="1"/>
  <c r="O195" i="1" s="1"/>
  <c r="P195" i="1" s="1"/>
  <c r="M235" i="1"/>
  <c r="N235" i="1" s="1"/>
  <c r="M267" i="1"/>
  <c r="N267" i="1" s="1"/>
  <c r="M291" i="1"/>
  <c r="N291" i="1" s="1"/>
  <c r="O291" i="1" s="1"/>
  <c r="M323" i="1"/>
  <c r="N323" i="1" s="1"/>
  <c r="O323" i="1" s="1"/>
  <c r="P323" i="1" s="1"/>
  <c r="M347" i="1"/>
  <c r="M379" i="1"/>
  <c r="N379" i="1" s="1"/>
  <c r="O379" i="1" s="1"/>
  <c r="P379" i="1" s="1"/>
  <c r="M395" i="1"/>
  <c r="Q395" i="1" s="1"/>
  <c r="M419" i="1"/>
  <c r="Q419" i="1" s="1"/>
  <c r="M443" i="1"/>
  <c r="N443" i="1" s="1"/>
  <c r="M467" i="1"/>
  <c r="N467" i="1" s="1"/>
  <c r="M491" i="1"/>
  <c r="N491" i="1" s="1"/>
  <c r="O491" i="1" s="1"/>
  <c r="P491" i="1" s="1"/>
  <c r="M507" i="1"/>
  <c r="N507" i="1" s="1"/>
  <c r="O507" i="1" s="1"/>
  <c r="P507" i="1" s="1"/>
  <c r="M539" i="1"/>
  <c r="N539" i="1" s="1"/>
  <c r="O539" i="1" s="1"/>
  <c r="P539" i="1" s="1"/>
  <c r="M587" i="1"/>
  <c r="M659" i="1"/>
  <c r="Q659" i="1" s="1"/>
  <c r="M699" i="1"/>
  <c r="Q699" i="1" s="1"/>
  <c r="M739" i="1"/>
  <c r="N739" i="1" s="1"/>
  <c r="M787" i="1"/>
  <c r="N787" i="1" s="1"/>
  <c r="M819" i="1"/>
  <c r="M11" i="1"/>
  <c r="N11" i="1" s="1"/>
  <c r="O11" i="1" s="1"/>
  <c r="P11" i="1" s="1"/>
  <c r="M43" i="1"/>
  <c r="N43" i="1" s="1"/>
  <c r="M67" i="1"/>
  <c r="N67" i="1" s="1"/>
  <c r="M99" i="1"/>
  <c r="N99" i="1" s="1"/>
  <c r="M131" i="1"/>
  <c r="N131" i="1" s="1"/>
  <c r="O131" i="1" s="1"/>
  <c r="P131" i="1" s="1"/>
  <c r="M171" i="1"/>
  <c r="N171" i="1" s="1"/>
  <c r="M219" i="1"/>
  <c r="M251" i="1"/>
  <c r="M283" i="1"/>
  <c r="N283" i="1" s="1"/>
  <c r="O283" i="1" s="1"/>
  <c r="P283" i="1" s="1"/>
  <c r="M307" i="1"/>
  <c r="N307" i="1" s="1"/>
  <c r="O307" i="1" s="1"/>
  <c r="M363" i="1"/>
  <c r="N363" i="1" s="1"/>
  <c r="M555" i="1"/>
  <c r="N555" i="1" s="1"/>
  <c r="O555" i="1" s="1"/>
  <c r="P555" i="1" s="1"/>
  <c r="M579" i="1"/>
  <c r="N579" i="1" s="1"/>
  <c r="O579" i="1" s="1"/>
  <c r="P579" i="1" s="1"/>
  <c r="M611" i="1"/>
  <c r="N611" i="1" s="1"/>
  <c r="M635" i="1"/>
  <c r="Q635" i="1" s="1"/>
  <c r="M667" i="1"/>
  <c r="Q667" i="1" s="1"/>
  <c r="M683" i="1"/>
  <c r="N683" i="1" s="1"/>
  <c r="M723" i="1"/>
  <c r="N723" i="1" s="1"/>
  <c r="O723" i="1" s="1"/>
  <c r="P723" i="1" s="1"/>
  <c r="M755" i="1"/>
  <c r="N755" i="1" s="1"/>
  <c r="O755" i="1" s="1"/>
  <c r="P755" i="1" s="1"/>
  <c r="M779" i="1"/>
  <c r="N779" i="1" s="1"/>
  <c r="O779" i="1" s="1"/>
  <c r="P779" i="1" s="1"/>
  <c r="M803" i="1"/>
  <c r="N803" i="1" s="1"/>
  <c r="O803" i="1" s="1"/>
  <c r="P803" i="1" s="1"/>
  <c r="M843" i="1"/>
  <c r="M44" i="1"/>
  <c r="N44" i="1" s="1"/>
  <c r="O44" i="1" s="1"/>
  <c r="P44" i="1" s="1"/>
  <c r="M116" i="1"/>
  <c r="N116" i="1" s="1"/>
  <c r="O116" i="1" s="1"/>
  <c r="P116" i="1" s="1"/>
  <c r="M148" i="1"/>
  <c r="Q148" i="1" s="1"/>
  <c r="M220" i="1"/>
  <c r="M252" i="1"/>
  <c r="N252" i="1" s="1"/>
  <c r="O252" i="1" s="1"/>
  <c r="P252" i="1" s="1"/>
  <c r="M308" i="1"/>
  <c r="N308" i="1" s="1"/>
  <c r="M372" i="1"/>
  <c r="M436" i="1"/>
  <c r="N436" i="1" s="1"/>
  <c r="M564" i="1"/>
  <c r="M732" i="1"/>
  <c r="N732" i="1" s="1"/>
  <c r="O732" i="1" s="1"/>
  <c r="P732" i="1" s="1"/>
  <c r="M804" i="1"/>
  <c r="N804" i="1" s="1"/>
  <c r="O804" i="1" s="1"/>
  <c r="P804" i="1" s="1"/>
  <c r="M29" i="1"/>
  <c r="Q29" i="1" s="1"/>
  <c r="M109" i="1"/>
  <c r="Q109" i="1" s="1"/>
  <c r="M197" i="1"/>
  <c r="M229" i="1"/>
  <c r="M261" i="1"/>
  <c r="N261" i="1" s="1"/>
  <c r="M277" i="1"/>
  <c r="M389" i="1"/>
  <c r="N389" i="1" s="1"/>
  <c r="O389" i="1" s="1"/>
  <c r="P389" i="1" s="1"/>
  <c r="M397" i="1"/>
  <c r="N397" i="1" s="1"/>
  <c r="O397" i="1" s="1"/>
  <c r="P397" i="1" s="1"/>
  <c r="M405" i="1"/>
  <c r="N405" i="1" s="1"/>
  <c r="O405" i="1" s="1"/>
  <c r="P405" i="1" s="1"/>
  <c r="M413" i="1"/>
  <c r="N413" i="1" s="1"/>
  <c r="O413" i="1" s="1"/>
  <c r="P413" i="1" s="1"/>
  <c r="M421" i="1"/>
  <c r="M429" i="1"/>
  <c r="N429" i="1" s="1"/>
  <c r="O429" i="1" s="1"/>
  <c r="P429" i="1" s="1"/>
  <c r="M437" i="1"/>
  <c r="N437" i="1" s="1"/>
  <c r="M445" i="1"/>
  <c r="N445" i="1" s="1"/>
  <c r="M453" i="1"/>
  <c r="N453" i="1" s="1"/>
  <c r="O453" i="1" s="1"/>
  <c r="P453" i="1" s="1"/>
  <c r="M461" i="1"/>
  <c r="N461" i="1" s="1"/>
  <c r="O461" i="1" s="1"/>
  <c r="P461" i="1" s="1"/>
  <c r="M469" i="1"/>
  <c r="M477" i="1"/>
  <c r="N477" i="1" s="1"/>
  <c r="O477" i="1" s="1"/>
  <c r="P477" i="1" s="1"/>
  <c r="M485" i="1"/>
  <c r="M493" i="1"/>
  <c r="M501" i="1"/>
  <c r="N501" i="1" s="1"/>
  <c r="M517" i="1"/>
  <c r="M525" i="1"/>
  <c r="N525" i="1" s="1"/>
  <c r="O525" i="1" s="1"/>
  <c r="P525" i="1" s="1"/>
  <c r="M533" i="1"/>
  <c r="N533" i="1" s="1"/>
  <c r="O533" i="1" s="1"/>
  <c r="P533" i="1" s="1"/>
  <c r="M541" i="1"/>
  <c r="N541" i="1" s="1"/>
  <c r="O541" i="1" s="1"/>
  <c r="P541" i="1" s="1"/>
  <c r="M549" i="1"/>
  <c r="N549" i="1" s="1"/>
  <c r="O549" i="1" s="1"/>
  <c r="P549" i="1" s="1"/>
  <c r="M557" i="1"/>
  <c r="N557" i="1" s="1"/>
  <c r="O557" i="1" s="1"/>
  <c r="P557" i="1" s="1"/>
  <c r="M565" i="1"/>
  <c r="N565" i="1" s="1"/>
  <c r="O565" i="1" s="1"/>
  <c r="P565" i="1" s="1"/>
  <c r="M573" i="1"/>
  <c r="N573" i="1" s="1"/>
  <c r="M581" i="1"/>
  <c r="N581" i="1" s="1"/>
  <c r="M605" i="1"/>
  <c r="N605" i="1" s="1"/>
  <c r="O605" i="1" s="1"/>
  <c r="P605" i="1" s="1"/>
  <c r="M613" i="1"/>
  <c r="N613" i="1" s="1"/>
  <c r="O613" i="1" s="1"/>
  <c r="P613" i="1" s="1"/>
  <c r="M621" i="1"/>
  <c r="N621" i="1" s="1"/>
  <c r="O621" i="1" s="1"/>
  <c r="P621" i="1" s="1"/>
  <c r="M629" i="1"/>
  <c r="M637" i="1"/>
  <c r="N637" i="1" s="1"/>
  <c r="O637" i="1" s="1"/>
  <c r="P637" i="1" s="1"/>
  <c r="M645" i="1"/>
  <c r="N645" i="1" s="1"/>
  <c r="O645" i="1" s="1"/>
  <c r="P645" i="1" s="1"/>
  <c r="M653" i="1"/>
  <c r="N653" i="1" s="1"/>
  <c r="O653" i="1" s="1"/>
  <c r="P653" i="1" s="1"/>
  <c r="M661" i="1"/>
  <c r="M669" i="1"/>
  <c r="M677" i="1"/>
  <c r="N677" i="1" s="1"/>
  <c r="M685" i="1"/>
  <c r="N685" i="1" s="1"/>
  <c r="O685" i="1" s="1"/>
  <c r="P685" i="1" s="1"/>
  <c r="M693" i="1"/>
  <c r="Q693" i="1" s="1"/>
  <c r="M701" i="1"/>
  <c r="N701" i="1" s="1"/>
  <c r="O701" i="1" s="1"/>
  <c r="P701" i="1" s="1"/>
  <c r="M709" i="1"/>
  <c r="N709" i="1" s="1"/>
  <c r="M717" i="1"/>
  <c r="M725" i="1"/>
  <c r="N725" i="1" s="1"/>
  <c r="M733" i="1"/>
  <c r="N733" i="1" s="1"/>
  <c r="O733" i="1" s="1"/>
  <c r="P733" i="1" s="1"/>
  <c r="M741" i="1"/>
  <c r="Q741" i="1" s="1"/>
  <c r="M749" i="1"/>
  <c r="N749" i="1" s="1"/>
  <c r="O749" i="1" s="1"/>
  <c r="P749" i="1" s="1"/>
  <c r="M757" i="1"/>
  <c r="M765" i="1"/>
  <c r="N765" i="1" s="1"/>
  <c r="O765" i="1" s="1"/>
  <c r="P765" i="1" s="1"/>
  <c r="M773" i="1"/>
  <c r="N773" i="1" s="1"/>
  <c r="O773" i="1" s="1"/>
  <c r="P773" i="1" s="1"/>
  <c r="M789" i="1"/>
  <c r="N789" i="1" s="1"/>
  <c r="M797" i="1"/>
  <c r="N797" i="1" s="1"/>
  <c r="O797" i="1" s="1"/>
  <c r="P797" i="1" s="1"/>
  <c r="M805" i="1"/>
  <c r="M821" i="1"/>
  <c r="N821" i="1" s="1"/>
  <c r="O821" i="1" s="1"/>
  <c r="P821" i="1" s="1"/>
  <c r="M829" i="1"/>
  <c r="N829" i="1" s="1"/>
  <c r="O829" i="1" s="1"/>
  <c r="P829" i="1" s="1"/>
  <c r="M837" i="1"/>
  <c r="N837" i="1" s="1"/>
  <c r="O837" i="1" s="1"/>
  <c r="P837" i="1" s="1"/>
  <c r="Q174" i="1"/>
  <c r="Q369" i="1"/>
  <c r="Q381" i="1"/>
  <c r="Q432" i="1"/>
  <c r="M72" i="1"/>
  <c r="N72" i="1" s="1"/>
  <c r="M12" i="1"/>
  <c r="M316" i="1"/>
  <c r="M364" i="1"/>
  <c r="M404" i="1"/>
  <c r="N404" i="1" s="1"/>
  <c r="O404" i="1" s="1"/>
  <c r="P404" i="1" s="1"/>
  <c r="M452" i="1"/>
  <c r="M588" i="1"/>
  <c r="N588" i="1" s="1"/>
  <c r="M644" i="1"/>
  <c r="M724" i="1"/>
  <c r="N724" i="1" s="1"/>
  <c r="M772" i="1"/>
  <c r="N772" i="1" s="1"/>
  <c r="O772" i="1" s="1"/>
  <c r="P772" i="1" s="1"/>
  <c r="M844" i="1"/>
  <c r="M53" i="1"/>
  <c r="Q53" i="1" s="1"/>
  <c r="M141" i="1"/>
  <c r="N141" i="1" s="1"/>
  <c r="O141" i="1" s="1"/>
  <c r="P141" i="1" s="1"/>
  <c r="M22" i="1"/>
  <c r="Q22" i="1" s="1"/>
  <c r="M270" i="1"/>
  <c r="M278" i="1"/>
  <c r="Q278" i="1" s="1"/>
  <c r="M286" i="1"/>
  <c r="Q286" i="1" s="1"/>
  <c r="M294" i="1"/>
  <c r="Q294" i="1" s="1"/>
  <c r="M302" i="1"/>
  <c r="N302" i="1" s="1"/>
  <c r="M310" i="1"/>
  <c r="N310" i="1" s="1"/>
  <c r="M318" i="1"/>
  <c r="M326" i="1"/>
  <c r="Q326" i="1" s="1"/>
  <c r="M334" i="1"/>
  <c r="N334" i="1" s="1"/>
  <c r="O334" i="1" s="1"/>
  <c r="P334" i="1" s="1"/>
  <c r="M342" i="1"/>
  <c r="N342" i="1" s="1"/>
  <c r="M350" i="1"/>
  <c r="N350" i="1" s="1"/>
  <c r="O350" i="1" s="1"/>
  <c r="P350" i="1" s="1"/>
  <c r="M358" i="1"/>
  <c r="N358" i="1" s="1"/>
  <c r="O358" i="1" s="1"/>
  <c r="P358" i="1" s="1"/>
  <c r="M366" i="1"/>
  <c r="M382" i="1"/>
  <c r="Q382" i="1" s="1"/>
  <c r="M398" i="1"/>
  <c r="N398" i="1" s="1"/>
  <c r="O398" i="1" s="1"/>
  <c r="P398" i="1" s="1"/>
  <c r="M406" i="1"/>
  <c r="N406" i="1" s="1"/>
  <c r="O406" i="1" s="1"/>
  <c r="P406" i="1" s="1"/>
  <c r="M414" i="1"/>
  <c r="M422" i="1"/>
  <c r="N422" i="1" s="1"/>
  <c r="M430" i="1"/>
  <c r="N430" i="1" s="1"/>
  <c r="O430" i="1" s="1"/>
  <c r="P430" i="1" s="1"/>
  <c r="M438" i="1"/>
  <c r="N438" i="1" s="1"/>
  <c r="O438" i="1" s="1"/>
  <c r="P438" i="1" s="1"/>
  <c r="M446" i="1"/>
  <c r="M454" i="1"/>
  <c r="N454" i="1" s="1"/>
  <c r="M478" i="1"/>
  <c r="N478" i="1" s="1"/>
  <c r="M486" i="1"/>
  <c r="N486" i="1" s="1"/>
  <c r="O486" i="1" s="1"/>
  <c r="P486" i="1" s="1"/>
  <c r="M494" i="1"/>
  <c r="N494" i="1" s="1"/>
  <c r="M502" i="1"/>
  <c r="M510" i="1"/>
  <c r="N510" i="1" s="1"/>
  <c r="O510" i="1" s="1"/>
  <c r="P510" i="1" s="1"/>
  <c r="M518" i="1"/>
  <c r="M526" i="1"/>
  <c r="M534" i="1"/>
  <c r="N534" i="1" s="1"/>
  <c r="O534" i="1" s="1"/>
  <c r="P534" i="1" s="1"/>
  <c r="M542" i="1"/>
  <c r="N542" i="1" s="1"/>
  <c r="O542" i="1" s="1"/>
  <c r="P542" i="1" s="1"/>
  <c r="M550" i="1"/>
  <c r="M566" i="1"/>
  <c r="N566" i="1" s="1"/>
  <c r="M574" i="1"/>
  <c r="N574" i="1" s="1"/>
  <c r="O574" i="1" s="1"/>
  <c r="P574" i="1" s="1"/>
  <c r="M582" i="1"/>
  <c r="N582" i="1" s="1"/>
  <c r="O582" i="1" s="1"/>
  <c r="P582" i="1" s="1"/>
  <c r="M590" i="1"/>
  <c r="M598" i="1"/>
  <c r="N598" i="1" s="1"/>
  <c r="O598" i="1" s="1"/>
  <c r="P598" i="1" s="1"/>
  <c r="M606" i="1"/>
  <c r="N606" i="1" s="1"/>
  <c r="O606" i="1" s="1"/>
  <c r="P606" i="1" s="1"/>
  <c r="M614" i="1"/>
  <c r="N614" i="1" s="1"/>
  <c r="O614" i="1" s="1"/>
  <c r="P614" i="1" s="1"/>
  <c r="M622" i="1"/>
  <c r="N622" i="1" s="1"/>
  <c r="O622" i="1" s="1"/>
  <c r="P622" i="1" s="1"/>
  <c r="M630" i="1"/>
  <c r="N630" i="1" s="1"/>
  <c r="M638" i="1"/>
  <c r="M646" i="1"/>
  <c r="N646" i="1" s="1"/>
  <c r="O646" i="1" s="1"/>
  <c r="P646" i="1" s="1"/>
  <c r="M654" i="1"/>
  <c r="N654" i="1" s="1"/>
  <c r="O654" i="1" s="1"/>
  <c r="P654" i="1" s="1"/>
  <c r="M662" i="1"/>
  <c r="N662" i="1" s="1"/>
  <c r="O662" i="1" s="1"/>
  <c r="P662" i="1" s="1"/>
  <c r="M670" i="1"/>
  <c r="N670" i="1" s="1"/>
  <c r="O670" i="1" s="1"/>
  <c r="P670" i="1" s="1"/>
  <c r="M678" i="1"/>
  <c r="N678" i="1" s="1"/>
  <c r="O678" i="1" s="1"/>
  <c r="P678" i="1" s="1"/>
  <c r="M686" i="1"/>
  <c r="M694" i="1"/>
  <c r="N694" i="1" s="1"/>
  <c r="M702" i="1"/>
  <c r="N702" i="1" s="1"/>
  <c r="M710" i="1"/>
  <c r="N710" i="1" s="1"/>
  <c r="O710" i="1" s="1"/>
  <c r="P710" i="1" s="1"/>
  <c r="M718" i="1"/>
  <c r="N718" i="1" s="1"/>
  <c r="O718" i="1" s="1"/>
  <c r="P718" i="1" s="1"/>
  <c r="M726" i="1"/>
  <c r="M734" i="1"/>
  <c r="N734" i="1" s="1"/>
  <c r="O734" i="1" s="1"/>
  <c r="P734" i="1" s="1"/>
  <c r="M742" i="1"/>
  <c r="N742" i="1" s="1"/>
  <c r="O742" i="1" s="1"/>
  <c r="P742" i="1" s="1"/>
  <c r="M750" i="1"/>
  <c r="M758" i="1"/>
  <c r="N758" i="1" s="1"/>
  <c r="O758" i="1" s="1"/>
  <c r="P758" i="1" s="1"/>
  <c r="M766" i="1"/>
  <c r="M774" i="1"/>
  <c r="N774" i="1" s="1"/>
  <c r="O774" i="1" s="1"/>
  <c r="P774" i="1" s="1"/>
  <c r="M782" i="1"/>
  <c r="N782" i="1" s="1"/>
  <c r="O782" i="1" s="1"/>
  <c r="P782" i="1" s="1"/>
  <c r="M790" i="1"/>
  <c r="M798" i="1"/>
  <c r="N798" i="1" s="1"/>
  <c r="O798" i="1" s="1"/>
  <c r="P798" i="1" s="1"/>
  <c r="M806" i="1"/>
  <c r="N806" i="1" s="1"/>
  <c r="O806" i="1" s="1"/>
  <c r="P806" i="1" s="1"/>
  <c r="M814" i="1"/>
  <c r="N814" i="1" s="1"/>
  <c r="M822" i="1"/>
  <c r="N822" i="1" s="1"/>
  <c r="M830" i="1"/>
  <c r="N830" i="1" s="1"/>
  <c r="O830" i="1" s="1"/>
  <c r="P830" i="1" s="1"/>
  <c r="M838" i="1"/>
  <c r="N838" i="1" s="1"/>
  <c r="Q30" i="1"/>
  <c r="M28" i="1"/>
  <c r="Q28" i="1" s="1"/>
  <c r="M132" i="1"/>
  <c r="Q132" i="1" s="1"/>
  <c r="M188" i="1"/>
  <c r="N188" i="1" s="1"/>
  <c r="O188" i="1" s="1"/>
  <c r="P188" i="1" s="1"/>
  <c r="M300" i="1"/>
  <c r="Q300" i="1" s="1"/>
  <c r="M348" i="1"/>
  <c r="M396" i="1"/>
  <c r="N396" i="1" s="1"/>
  <c r="M444" i="1"/>
  <c r="N444" i="1" s="1"/>
  <c r="O444" i="1" s="1"/>
  <c r="P444" i="1" s="1"/>
  <c r="M484" i="1"/>
  <c r="N484" i="1" s="1"/>
  <c r="O484" i="1" s="1"/>
  <c r="P484" i="1" s="1"/>
  <c r="M508" i="1"/>
  <c r="N508" i="1" s="1"/>
  <c r="O508" i="1" s="1"/>
  <c r="P508" i="1" s="1"/>
  <c r="M556" i="1"/>
  <c r="N556" i="1" s="1"/>
  <c r="O556" i="1" s="1"/>
  <c r="P556" i="1" s="1"/>
  <c r="M604" i="1"/>
  <c r="N604" i="1" s="1"/>
  <c r="O604" i="1" s="1"/>
  <c r="P604" i="1" s="1"/>
  <c r="M660" i="1"/>
  <c r="N660" i="1" s="1"/>
  <c r="O660" i="1" s="1"/>
  <c r="P660" i="1" s="1"/>
  <c r="M716" i="1"/>
  <c r="M764" i="1"/>
  <c r="N764" i="1" s="1"/>
  <c r="M812" i="1"/>
  <c r="N812" i="1" s="1"/>
  <c r="O812" i="1" s="1"/>
  <c r="P812" i="1" s="1"/>
  <c r="M61" i="1"/>
  <c r="Q61" i="1" s="1"/>
  <c r="M93" i="1"/>
  <c r="N93" i="1" s="1"/>
  <c r="O93" i="1" s="1"/>
  <c r="P93" i="1" s="1"/>
  <c r="M149" i="1"/>
  <c r="Q149" i="1" s="1"/>
  <c r="M7" i="1"/>
  <c r="M47" i="1"/>
  <c r="N47" i="1" s="1"/>
  <c r="M79" i="1"/>
  <c r="N79" i="1" s="1"/>
  <c r="O79" i="1" s="1"/>
  <c r="P79" i="1" s="1"/>
  <c r="M119" i="1"/>
  <c r="Q119" i="1" s="1"/>
  <c r="M135" i="1"/>
  <c r="N135" i="1" s="1"/>
  <c r="M143" i="1"/>
  <c r="Q143" i="1" s="1"/>
  <c r="M151" i="1"/>
  <c r="M159" i="1"/>
  <c r="Q159" i="1" s="1"/>
  <c r="M167" i="1"/>
  <c r="N167" i="1" s="1"/>
  <c r="O167" i="1" s="1"/>
  <c r="P167" i="1" s="1"/>
  <c r="M175" i="1"/>
  <c r="Q175" i="1" s="1"/>
  <c r="M199" i="1"/>
  <c r="N199" i="1" s="1"/>
  <c r="M207" i="1"/>
  <c r="N207" i="1" s="1"/>
  <c r="M215" i="1"/>
  <c r="N215" i="1" s="1"/>
  <c r="M231" i="1"/>
  <c r="M239" i="1"/>
  <c r="M247" i="1"/>
  <c r="Q247" i="1" s="1"/>
  <c r="M263" i="1"/>
  <c r="N263" i="1" s="1"/>
  <c r="O263" i="1" s="1"/>
  <c r="P263" i="1" s="1"/>
  <c r="M279" i="1"/>
  <c r="N279" i="1" s="1"/>
  <c r="O279" i="1" s="1"/>
  <c r="P279" i="1" s="1"/>
  <c r="M295" i="1"/>
  <c r="M303" i="1"/>
  <c r="Q303" i="1" s="1"/>
  <c r="M311" i="1"/>
  <c r="M319" i="1"/>
  <c r="Q319" i="1" s="1"/>
  <c r="M359" i="1"/>
  <c r="M375" i="1"/>
  <c r="N375" i="1" s="1"/>
  <c r="M391" i="1"/>
  <c r="N391" i="1" s="1"/>
  <c r="M399" i="1"/>
  <c r="N399" i="1" s="1"/>
  <c r="O399" i="1" s="1"/>
  <c r="P399" i="1" s="1"/>
  <c r="M407" i="1"/>
  <c r="N407" i="1" s="1"/>
  <c r="M415" i="1"/>
  <c r="N415" i="1" s="1"/>
  <c r="M423" i="1"/>
  <c r="N423" i="1" s="1"/>
  <c r="O423" i="1" s="1"/>
  <c r="P423" i="1" s="1"/>
  <c r="M431" i="1"/>
  <c r="M439" i="1"/>
  <c r="N439" i="1" s="1"/>
  <c r="O439" i="1" s="1"/>
  <c r="P439" i="1" s="1"/>
  <c r="M447" i="1"/>
  <c r="N447" i="1" s="1"/>
  <c r="O447" i="1" s="1"/>
  <c r="P447" i="1" s="1"/>
  <c r="M455" i="1"/>
  <c r="M463" i="1"/>
  <c r="N463" i="1" s="1"/>
  <c r="O463" i="1" s="1"/>
  <c r="P463" i="1" s="1"/>
  <c r="M471" i="1"/>
  <c r="M479" i="1"/>
  <c r="M487" i="1"/>
  <c r="N487" i="1" s="1"/>
  <c r="O487" i="1" s="1"/>
  <c r="P487" i="1" s="1"/>
  <c r="M495" i="1"/>
  <c r="M503" i="1"/>
  <c r="M511" i="1"/>
  <c r="M519" i="1"/>
  <c r="N519" i="1" s="1"/>
  <c r="O519" i="1" s="1"/>
  <c r="P519" i="1" s="1"/>
  <c r="M527" i="1"/>
  <c r="N527" i="1" s="1"/>
  <c r="O527" i="1" s="1"/>
  <c r="P527" i="1" s="1"/>
  <c r="M535" i="1"/>
  <c r="N535" i="1" s="1"/>
  <c r="M543" i="1"/>
  <c r="N543" i="1" s="1"/>
  <c r="M551" i="1"/>
  <c r="M559" i="1"/>
  <c r="N559" i="1" s="1"/>
  <c r="O559" i="1" s="1"/>
  <c r="P559" i="1" s="1"/>
  <c r="M567" i="1"/>
  <c r="N567" i="1" s="1"/>
  <c r="O567" i="1" s="1"/>
  <c r="P567" i="1" s="1"/>
  <c r="M575" i="1"/>
  <c r="M583" i="1"/>
  <c r="N583" i="1" s="1"/>
  <c r="O583" i="1" s="1"/>
  <c r="P583" i="1" s="1"/>
  <c r="M591" i="1"/>
  <c r="M599" i="1"/>
  <c r="N599" i="1" s="1"/>
  <c r="M607" i="1"/>
  <c r="N607" i="1" s="1"/>
  <c r="M615" i="1"/>
  <c r="N615" i="1" s="1"/>
  <c r="M623" i="1"/>
  <c r="N623" i="1" s="1"/>
  <c r="M631" i="1"/>
  <c r="Q631" i="1" s="1"/>
  <c r="M639" i="1"/>
  <c r="Q639" i="1" s="1"/>
  <c r="M647" i="1"/>
  <c r="M655" i="1"/>
  <c r="N655" i="1" s="1"/>
  <c r="O655" i="1" s="1"/>
  <c r="P655" i="1" s="1"/>
  <c r="M663" i="1"/>
  <c r="N663" i="1" s="1"/>
  <c r="M671" i="1"/>
  <c r="N671" i="1" s="1"/>
  <c r="M679" i="1"/>
  <c r="N679" i="1" s="1"/>
  <c r="M687" i="1"/>
  <c r="N687" i="1" s="1"/>
  <c r="M695" i="1"/>
  <c r="N695" i="1" s="1"/>
  <c r="M703" i="1"/>
  <c r="M711" i="1"/>
  <c r="Q711" i="1" s="1"/>
  <c r="M719" i="1"/>
  <c r="N719" i="1" s="1"/>
  <c r="O719" i="1" s="1"/>
  <c r="P719" i="1" s="1"/>
  <c r="M727" i="1"/>
  <c r="N727" i="1" s="1"/>
  <c r="M735" i="1"/>
  <c r="N735" i="1" s="1"/>
  <c r="M743" i="1"/>
  <c r="N743" i="1" s="1"/>
  <c r="M751" i="1"/>
  <c r="N751" i="1" s="1"/>
  <c r="O751" i="1" s="1"/>
  <c r="P751" i="1" s="1"/>
  <c r="M759" i="1"/>
  <c r="N759" i="1" s="1"/>
  <c r="O759" i="1" s="1"/>
  <c r="P759" i="1" s="1"/>
  <c r="M767" i="1"/>
  <c r="N767" i="1" s="1"/>
  <c r="O767" i="1" s="1"/>
  <c r="P767" i="1" s="1"/>
  <c r="M775" i="1"/>
  <c r="N775" i="1" s="1"/>
  <c r="O775" i="1" s="1"/>
  <c r="P775" i="1" s="1"/>
  <c r="M783" i="1"/>
  <c r="N783" i="1" s="1"/>
  <c r="O783" i="1" s="1"/>
  <c r="P783" i="1" s="1"/>
  <c r="M791" i="1"/>
  <c r="M799" i="1"/>
  <c r="M807" i="1"/>
  <c r="N807" i="1" s="1"/>
  <c r="O807" i="1" s="1"/>
  <c r="P807" i="1" s="1"/>
  <c r="M815" i="1"/>
  <c r="N815" i="1" s="1"/>
  <c r="O815" i="1" s="1"/>
  <c r="P815" i="1" s="1"/>
  <c r="M823" i="1"/>
  <c r="M831" i="1"/>
  <c r="N831" i="1" s="1"/>
  <c r="O831" i="1" s="1"/>
  <c r="P831" i="1" s="1"/>
  <c r="M839" i="1"/>
  <c r="N839" i="1" s="1"/>
  <c r="O839" i="1" s="1"/>
  <c r="P839" i="1" s="1"/>
  <c r="Q230" i="1"/>
  <c r="Q238" i="1"/>
  <c r="M325" i="1"/>
  <c r="M52" i="1"/>
  <c r="N52" i="1" s="1"/>
  <c r="M68" i="1"/>
  <c r="N68" i="1" s="1"/>
  <c r="M100" i="1"/>
  <c r="N100" i="1" s="1"/>
  <c r="M140" i="1"/>
  <c r="Q140" i="1" s="1"/>
  <c r="M292" i="1"/>
  <c r="N292" i="1" s="1"/>
  <c r="O292" i="1" s="1"/>
  <c r="P292" i="1" s="1"/>
  <c r="M324" i="1"/>
  <c r="N324" i="1" s="1"/>
  <c r="M388" i="1"/>
  <c r="N388" i="1" s="1"/>
  <c r="O388" i="1" s="1"/>
  <c r="P388" i="1" s="1"/>
  <c r="M412" i="1"/>
  <c r="M468" i="1"/>
  <c r="M572" i="1"/>
  <c r="N572" i="1" s="1"/>
  <c r="M612" i="1"/>
  <c r="N612" i="1" s="1"/>
  <c r="O612" i="1" s="1"/>
  <c r="P612" i="1" s="1"/>
  <c r="M652" i="1"/>
  <c r="M676" i="1"/>
  <c r="N676" i="1" s="1"/>
  <c r="O676" i="1" s="1"/>
  <c r="P676" i="1" s="1"/>
  <c r="M700" i="1"/>
  <c r="N700" i="1" s="1"/>
  <c r="O700" i="1" s="1"/>
  <c r="P700" i="1" s="1"/>
  <c r="M740" i="1"/>
  <c r="N740" i="1" s="1"/>
  <c r="O740" i="1" s="1"/>
  <c r="P740" i="1" s="1"/>
  <c r="M780" i="1"/>
  <c r="N780" i="1" s="1"/>
  <c r="O780" i="1" s="1"/>
  <c r="P780" i="1" s="1"/>
  <c r="M836" i="1"/>
  <c r="N836" i="1" s="1"/>
  <c r="M45" i="1"/>
  <c r="M101" i="1"/>
  <c r="N101" i="1" s="1"/>
  <c r="M157" i="1"/>
  <c r="Q157" i="1" s="1"/>
  <c r="M6" i="1"/>
  <c r="N6" i="1" s="1"/>
  <c r="O6" i="1" s="1"/>
  <c r="P6" i="1" s="1"/>
  <c r="M38" i="1"/>
  <c r="Q38" i="1" s="1"/>
  <c r="M39" i="1"/>
  <c r="M71" i="1"/>
  <c r="Q71" i="1" s="1"/>
  <c r="M95" i="1"/>
  <c r="N95" i="1" s="1"/>
  <c r="M111" i="1"/>
  <c r="N111" i="1" s="1"/>
  <c r="M48" i="1"/>
  <c r="M64" i="1"/>
  <c r="Q64" i="1" s="1"/>
  <c r="M80" i="1"/>
  <c r="N80" i="1" s="1"/>
  <c r="O80" i="1" s="1"/>
  <c r="P80" i="1" s="1"/>
  <c r="M96" i="1"/>
  <c r="M104" i="1"/>
  <c r="N104" i="1" s="1"/>
  <c r="O104" i="1" s="1"/>
  <c r="P104" i="1" s="1"/>
  <c r="M112" i="1"/>
  <c r="Q112" i="1" s="1"/>
  <c r="M136" i="1"/>
  <c r="N136" i="1" s="1"/>
  <c r="M144" i="1"/>
  <c r="Q144" i="1" s="1"/>
  <c r="M152" i="1"/>
  <c r="Q152" i="1" s="1"/>
  <c r="M160" i="1"/>
  <c r="Q160" i="1" s="1"/>
  <c r="M176" i="1"/>
  <c r="Q176" i="1" s="1"/>
  <c r="M192" i="1"/>
  <c r="M200" i="1"/>
  <c r="Q200" i="1" s="1"/>
  <c r="M208" i="1"/>
  <c r="Q208" i="1" s="1"/>
  <c r="M224" i="1"/>
  <c r="M240" i="1"/>
  <c r="N240" i="1" s="1"/>
  <c r="M248" i="1"/>
  <c r="Q248" i="1" s="1"/>
  <c r="M256" i="1"/>
  <c r="N256" i="1" s="1"/>
  <c r="O256" i="1" s="1"/>
  <c r="P256" i="1" s="1"/>
  <c r="M264" i="1"/>
  <c r="M272" i="1"/>
  <c r="N272" i="1" s="1"/>
  <c r="O272" i="1" s="1"/>
  <c r="P272" i="1" s="1"/>
  <c r="M280" i="1"/>
  <c r="M296" i="1"/>
  <c r="N296" i="1" s="1"/>
  <c r="M304" i="1"/>
  <c r="N304" i="1" s="1"/>
  <c r="O304" i="1" s="1"/>
  <c r="P304" i="1" s="1"/>
  <c r="M312" i="1"/>
  <c r="Q312" i="1" s="1"/>
  <c r="M320" i="1"/>
  <c r="M328" i="1"/>
  <c r="M336" i="1"/>
  <c r="N336" i="1" s="1"/>
  <c r="O336" i="1" s="1"/>
  <c r="P336" i="1" s="1"/>
  <c r="M344" i="1"/>
  <c r="Q344" i="1" s="1"/>
  <c r="M376" i="1"/>
  <c r="Q376" i="1" s="1"/>
  <c r="M392" i="1"/>
  <c r="N392" i="1" s="1"/>
  <c r="M408" i="1"/>
  <c r="N408" i="1" s="1"/>
  <c r="O408" i="1" s="1"/>
  <c r="P408" i="1" s="1"/>
  <c r="M416" i="1"/>
  <c r="M424" i="1"/>
  <c r="N424" i="1" s="1"/>
  <c r="O424" i="1" s="1"/>
  <c r="P424" i="1" s="1"/>
  <c r="M440" i="1"/>
  <c r="N440" i="1" s="1"/>
  <c r="O440" i="1" s="1"/>
  <c r="P440" i="1" s="1"/>
  <c r="M448" i="1"/>
  <c r="M456" i="1"/>
  <c r="N456" i="1" s="1"/>
  <c r="O456" i="1" s="1"/>
  <c r="P456" i="1" s="1"/>
  <c r="M464" i="1"/>
  <c r="N464" i="1" s="1"/>
  <c r="O464" i="1" s="1"/>
  <c r="P464" i="1" s="1"/>
  <c r="M472" i="1"/>
  <c r="M480" i="1"/>
  <c r="M488" i="1"/>
  <c r="N488" i="1" s="1"/>
  <c r="O488" i="1" s="1"/>
  <c r="P488" i="1" s="1"/>
  <c r="M496" i="1"/>
  <c r="N496" i="1" s="1"/>
  <c r="O496" i="1" s="1"/>
  <c r="P496" i="1" s="1"/>
  <c r="M504" i="1"/>
  <c r="N504" i="1" s="1"/>
  <c r="O504" i="1" s="1"/>
  <c r="P504" i="1" s="1"/>
  <c r="M552" i="1"/>
  <c r="M560" i="1"/>
  <c r="N560" i="1" s="1"/>
  <c r="M568" i="1"/>
  <c r="M576" i="1"/>
  <c r="N576" i="1" s="1"/>
  <c r="M584" i="1"/>
  <c r="N584" i="1" s="1"/>
  <c r="O584" i="1" s="1"/>
  <c r="P584" i="1" s="1"/>
  <c r="M592" i="1"/>
  <c r="N592" i="1" s="1"/>
  <c r="O592" i="1" s="1"/>
  <c r="P592" i="1" s="1"/>
  <c r="M600" i="1"/>
  <c r="N600" i="1" s="1"/>
  <c r="O600" i="1" s="1"/>
  <c r="P600" i="1" s="1"/>
  <c r="M608" i="1"/>
  <c r="N608" i="1" s="1"/>
  <c r="O608" i="1" s="1"/>
  <c r="P608" i="1" s="1"/>
  <c r="M616" i="1"/>
  <c r="N616" i="1" s="1"/>
  <c r="O616" i="1" s="1"/>
  <c r="P616" i="1" s="1"/>
  <c r="M624" i="1"/>
  <c r="N624" i="1" s="1"/>
  <c r="O624" i="1" s="1"/>
  <c r="P624" i="1" s="1"/>
  <c r="M632" i="1"/>
  <c r="M640" i="1"/>
  <c r="N640" i="1" s="1"/>
  <c r="M648" i="1"/>
  <c r="M656" i="1"/>
  <c r="M664" i="1"/>
  <c r="N664" i="1" s="1"/>
  <c r="O664" i="1" s="1"/>
  <c r="P664" i="1" s="1"/>
  <c r="M672" i="1"/>
  <c r="N672" i="1" s="1"/>
  <c r="M680" i="1"/>
  <c r="N680" i="1" s="1"/>
  <c r="O680" i="1" s="1"/>
  <c r="P680" i="1" s="1"/>
  <c r="M688" i="1"/>
  <c r="N688" i="1" s="1"/>
  <c r="O688" i="1" s="1"/>
  <c r="P688" i="1" s="1"/>
  <c r="M696" i="1"/>
  <c r="M704" i="1"/>
  <c r="N704" i="1" s="1"/>
  <c r="M712" i="1"/>
  <c r="M720" i="1"/>
  <c r="N720" i="1" s="1"/>
  <c r="O720" i="1" s="1"/>
  <c r="P720" i="1" s="1"/>
  <c r="M736" i="1"/>
  <c r="N736" i="1" s="1"/>
  <c r="O736" i="1" s="1"/>
  <c r="P736" i="1" s="1"/>
  <c r="M744" i="1"/>
  <c r="N744" i="1" s="1"/>
  <c r="O744" i="1" s="1"/>
  <c r="P744" i="1" s="1"/>
  <c r="M752" i="1"/>
  <c r="M760" i="1"/>
  <c r="M768" i="1"/>
  <c r="N768" i="1" s="1"/>
  <c r="M776" i="1"/>
  <c r="N776" i="1" s="1"/>
  <c r="M784" i="1"/>
  <c r="N784" i="1" s="1"/>
  <c r="O784" i="1" s="1"/>
  <c r="P784" i="1" s="1"/>
  <c r="M792" i="1"/>
  <c r="N792" i="1" s="1"/>
  <c r="O792" i="1" s="1"/>
  <c r="P792" i="1" s="1"/>
  <c r="M800" i="1"/>
  <c r="N800" i="1" s="1"/>
  <c r="M808" i="1"/>
  <c r="N808" i="1" s="1"/>
  <c r="O808" i="1" s="1"/>
  <c r="P808" i="1" s="1"/>
  <c r="M816" i="1"/>
  <c r="N816" i="1" s="1"/>
  <c r="O816" i="1" s="1"/>
  <c r="P816" i="1" s="1"/>
  <c r="M824" i="1"/>
  <c r="M832" i="1"/>
  <c r="M840" i="1"/>
  <c r="N840" i="1" s="1"/>
  <c r="Q54" i="1"/>
  <c r="M5" i="1"/>
  <c r="M128" i="1"/>
  <c r="M164" i="1"/>
  <c r="N164" i="1" s="1"/>
  <c r="M276" i="1"/>
  <c r="N276" i="1" s="1"/>
  <c r="O276" i="1" s="1"/>
  <c r="P276" i="1" s="1"/>
  <c r="M340" i="1"/>
  <c r="M380" i="1"/>
  <c r="M420" i="1"/>
  <c r="N420" i="1" s="1"/>
  <c r="O420" i="1" s="1"/>
  <c r="P420" i="1" s="1"/>
  <c r="M460" i="1"/>
  <c r="M492" i="1"/>
  <c r="N492" i="1" s="1"/>
  <c r="O492" i="1" s="1"/>
  <c r="P492" i="1" s="1"/>
  <c r="M500" i="1"/>
  <c r="N500" i="1" s="1"/>
  <c r="O500" i="1" s="1"/>
  <c r="P500" i="1" s="1"/>
  <c r="M548" i="1"/>
  <c r="N548" i="1" s="1"/>
  <c r="O548" i="1" s="1"/>
  <c r="P548" i="1" s="1"/>
  <c r="M596" i="1"/>
  <c r="N596" i="1" s="1"/>
  <c r="O596" i="1" s="1"/>
  <c r="P596" i="1" s="1"/>
  <c r="M636" i="1"/>
  <c r="N636" i="1" s="1"/>
  <c r="M692" i="1"/>
  <c r="N692" i="1" s="1"/>
  <c r="O692" i="1" s="1"/>
  <c r="P692" i="1" s="1"/>
  <c r="M748" i="1"/>
  <c r="M796" i="1"/>
  <c r="N796" i="1" s="1"/>
  <c r="O796" i="1" s="1"/>
  <c r="P796" i="1" s="1"/>
  <c r="M828" i="1"/>
  <c r="M37" i="1"/>
  <c r="N37" i="1" s="1"/>
  <c r="M69" i="1"/>
  <c r="N69" i="1" s="1"/>
  <c r="M85" i="1"/>
  <c r="N85" i="1" s="1"/>
  <c r="M125" i="1"/>
  <c r="Q125" i="1" s="1"/>
  <c r="M133" i="1"/>
  <c r="Q133" i="1" s="1"/>
  <c r="M165" i="1"/>
  <c r="N165" i="1" s="1"/>
  <c r="M23" i="1"/>
  <c r="M55" i="1"/>
  <c r="Q55" i="1" s="1"/>
  <c r="M33" i="1"/>
  <c r="M49" i="1"/>
  <c r="N49" i="1" s="1"/>
  <c r="O49" i="1" s="1"/>
  <c r="P49" i="1" s="1"/>
  <c r="M65" i="1"/>
  <c r="Q65" i="1" s="1"/>
  <c r="M81" i="1"/>
  <c r="M89" i="1"/>
  <c r="M97" i="1"/>
  <c r="Q97" i="1" s="1"/>
  <c r="M105" i="1"/>
  <c r="Q105" i="1" s="1"/>
  <c r="M113" i="1"/>
  <c r="M121" i="1"/>
  <c r="N121" i="1" s="1"/>
  <c r="O121" i="1" s="1"/>
  <c r="P121" i="1" s="1"/>
  <c r="M129" i="1"/>
  <c r="N129" i="1" s="1"/>
  <c r="M137" i="1"/>
  <c r="Q137" i="1" s="1"/>
  <c r="M145" i="1"/>
  <c r="M153" i="1"/>
  <c r="M161" i="1"/>
  <c r="N161" i="1" s="1"/>
  <c r="O161" i="1" s="1"/>
  <c r="P161" i="1" s="1"/>
  <c r="M177" i="1"/>
  <c r="Q177" i="1" s="1"/>
  <c r="M193" i="1"/>
  <c r="N193" i="1" s="1"/>
  <c r="O193" i="1" s="1"/>
  <c r="P193" i="1" s="1"/>
  <c r="M209" i="1"/>
  <c r="N209" i="1" s="1"/>
  <c r="M225" i="1"/>
  <c r="Q225" i="1" s="1"/>
  <c r="M241" i="1"/>
  <c r="Q241" i="1" s="1"/>
  <c r="M257" i="1"/>
  <c r="Q257" i="1" s="1"/>
  <c r="M273" i="1"/>
  <c r="M289" i="1"/>
  <c r="N289" i="1" s="1"/>
  <c r="O289" i="1" s="1"/>
  <c r="P289" i="1" s="1"/>
  <c r="M305" i="1"/>
  <c r="M321" i="1"/>
  <c r="Q321" i="1" s="1"/>
  <c r="M329" i="1"/>
  <c r="Q329" i="1" s="1"/>
  <c r="M337" i="1"/>
  <c r="N337" i="1" s="1"/>
  <c r="O337" i="1" s="1"/>
  <c r="P337" i="1" s="1"/>
  <c r="M345" i="1"/>
  <c r="Q345" i="1" s="1"/>
  <c r="M393" i="1"/>
  <c r="N393" i="1" s="1"/>
  <c r="M401" i="1"/>
  <c r="M409" i="1"/>
  <c r="M417" i="1"/>
  <c r="N417" i="1" s="1"/>
  <c r="O417" i="1" s="1"/>
  <c r="P417" i="1" s="1"/>
  <c r="M425" i="1"/>
  <c r="N425" i="1" s="1"/>
  <c r="O425" i="1" s="1"/>
  <c r="P425" i="1" s="1"/>
  <c r="M433" i="1"/>
  <c r="N433" i="1" s="1"/>
  <c r="O433" i="1" s="1"/>
  <c r="P433" i="1" s="1"/>
  <c r="M441" i="1"/>
  <c r="N441" i="1" s="1"/>
  <c r="O441" i="1" s="1"/>
  <c r="P441" i="1" s="1"/>
  <c r="M449" i="1"/>
  <c r="M457" i="1"/>
  <c r="N457" i="1" s="1"/>
  <c r="M465" i="1"/>
  <c r="N465" i="1" s="1"/>
  <c r="O465" i="1" s="1"/>
  <c r="P465" i="1" s="1"/>
  <c r="M473" i="1"/>
  <c r="M481" i="1"/>
  <c r="M489" i="1"/>
  <c r="N489" i="1" s="1"/>
  <c r="O489" i="1" s="1"/>
  <c r="P489" i="1" s="1"/>
  <c r="M497" i="1"/>
  <c r="N497" i="1" s="1"/>
  <c r="O497" i="1" s="1"/>
  <c r="P497" i="1" s="1"/>
  <c r="M505" i="1"/>
  <c r="N505" i="1" s="1"/>
  <c r="O505" i="1" s="1"/>
  <c r="P505" i="1" s="1"/>
  <c r="M513" i="1"/>
  <c r="M521" i="1"/>
  <c r="N521" i="1" s="1"/>
  <c r="M529" i="1"/>
  <c r="N529" i="1" s="1"/>
  <c r="M537" i="1"/>
  <c r="M545" i="1"/>
  <c r="M553" i="1"/>
  <c r="M561" i="1"/>
  <c r="M569" i="1"/>
  <c r="M577" i="1"/>
  <c r="M585" i="1"/>
  <c r="Q585" i="1" s="1"/>
  <c r="M593" i="1"/>
  <c r="Q593" i="1" s="1"/>
  <c r="M601" i="1"/>
  <c r="Q601" i="1" s="1"/>
  <c r="M609" i="1"/>
  <c r="N609" i="1" s="1"/>
  <c r="M617" i="1"/>
  <c r="M625" i="1"/>
  <c r="M633" i="1"/>
  <c r="Q633" i="1" s="1"/>
  <c r="M641" i="1"/>
  <c r="N641" i="1" s="1"/>
  <c r="O641" i="1" s="1"/>
  <c r="P641" i="1" s="1"/>
  <c r="M649" i="1"/>
  <c r="N649" i="1" s="1"/>
  <c r="M657" i="1"/>
  <c r="M665" i="1"/>
  <c r="N665" i="1" s="1"/>
  <c r="M673" i="1"/>
  <c r="M681" i="1"/>
  <c r="N681" i="1" s="1"/>
  <c r="O681" i="1" s="1"/>
  <c r="P681" i="1" s="1"/>
  <c r="M689" i="1"/>
  <c r="N689" i="1" s="1"/>
  <c r="O689" i="1" s="1"/>
  <c r="P689" i="1" s="1"/>
  <c r="M697" i="1"/>
  <c r="N697" i="1" s="1"/>
  <c r="O697" i="1" s="1"/>
  <c r="P697" i="1" s="1"/>
  <c r="M705" i="1"/>
  <c r="N705" i="1" s="1"/>
  <c r="O705" i="1" s="1"/>
  <c r="P705" i="1" s="1"/>
  <c r="M713" i="1"/>
  <c r="N713" i="1" s="1"/>
  <c r="M721" i="1"/>
  <c r="N721" i="1" s="1"/>
  <c r="M729" i="1"/>
  <c r="M737" i="1"/>
  <c r="M745" i="1"/>
  <c r="N745" i="1" s="1"/>
  <c r="O745" i="1" s="1"/>
  <c r="P745" i="1" s="1"/>
  <c r="M753" i="1"/>
  <c r="N753" i="1" s="1"/>
  <c r="M761" i="1"/>
  <c r="N761" i="1" s="1"/>
  <c r="O761" i="1" s="1"/>
  <c r="P761" i="1" s="1"/>
  <c r="M769" i="1"/>
  <c r="N769" i="1" s="1"/>
  <c r="O769" i="1" s="1"/>
  <c r="P769" i="1" s="1"/>
  <c r="M777" i="1"/>
  <c r="M785" i="1"/>
  <c r="M793" i="1"/>
  <c r="N793" i="1" s="1"/>
  <c r="O793" i="1" s="1"/>
  <c r="P793" i="1" s="1"/>
  <c r="M801" i="1"/>
  <c r="N801" i="1" s="1"/>
  <c r="O801" i="1" s="1"/>
  <c r="P801" i="1" s="1"/>
  <c r="M809" i="1"/>
  <c r="M817" i="1"/>
  <c r="N817" i="1" s="1"/>
  <c r="O817" i="1" s="1"/>
  <c r="P817" i="1" s="1"/>
  <c r="M833" i="1"/>
  <c r="N833" i="1" s="1"/>
  <c r="O833" i="1" s="1"/>
  <c r="P833" i="1" s="1"/>
  <c r="M841" i="1"/>
  <c r="N841" i="1" s="1"/>
  <c r="O841" i="1" s="1"/>
  <c r="P841" i="1" s="1"/>
  <c r="Q198" i="1"/>
  <c r="Q540" i="1"/>
  <c r="M168" i="1"/>
  <c r="N168" i="1" s="1"/>
  <c r="M558" i="1"/>
  <c r="N558" i="1" s="1"/>
  <c r="M60" i="1"/>
  <c r="Q60" i="1" s="1"/>
  <c r="M84" i="1"/>
  <c r="Q84" i="1" s="1"/>
  <c r="M124" i="1"/>
  <c r="Q124" i="1" s="1"/>
  <c r="M156" i="1"/>
  <c r="N156" i="1" s="1"/>
  <c r="M284" i="1"/>
  <c r="M332" i="1"/>
  <c r="N332" i="1" s="1"/>
  <c r="O332" i="1" s="1"/>
  <c r="P332" i="1" s="1"/>
  <c r="M476" i="1"/>
  <c r="M580" i="1"/>
  <c r="N580" i="1" s="1"/>
  <c r="M620" i="1"/>
  <c r="N620" i="1" s="1"/>
  <c r="M628" i="1"/>
  <c r="N628" i="1" s="1"/>
  <c r="M668" i="1"/>
  <c r="N668" i="1" s="1"/>
  <c r="M708" i="1"/>
  <c r="M756" i="1"/>
  <c r="N756" i="1" s="1"/>
  <c r="O756" i="1" s="1"/>
  <c r="P756" i="1" s="1"/>
  <c r="M788" i="1"/>
  <c r="N788" i="1" s="1"/>
  <c r="O788" i="1" s="1"/>
  <c r="P788" i="1" s="1"/>
  <c r="M820" i="1"/>
  <c r="M117" i="1"/>
  <c r="Q117" i="1" s="1"/>
  <c r="M15" i="1"/>
  <c r="Q15" i="1" s="1"/>
  <c r="M31" i="1"/>
  <c r="Q31" i="1" s="1"/>
  <c r="M63" i="1"/>
  <c r="Q63" i="1" s="1"/>
  <c r="M87" i="1"/>
  <c r="Q87" i="1" s="1"/>
  <c r="M103" i="1"/>
  <c r="N103" i="1" s="1"/>
  <c r="O103" i="1" s="1"/>
  <c r="P103" i="1" s="1"/>
  <c r="M25" i="1"/>
  <c r="Q25" i="1" s="1"/>
  <c r="M41" i="1"/>
  <c r="N41" i="1" s="1"/>
  <c r="M57" i="1"/>
  <c r="Q57" i="1" s="1"/>
  <c r="M73" i="1"/>
  <c r="Q73" i="1" s="1"/>
  <c r="M18" i="1"/>
  <c r="Q18" i="1" s="1"/>
  <c r="M34" i="1"/>
  <c r="Q34" i="1" s="1"/>
  <c r="M42" i="1"/>
  <c r="M50" i="1"/>
  <c r="N50" i="1" s="1"/>
  <c r="M66" i="1"/>
  <c r="Q66" i="1" s="1"/>
  <c r="M82" i="1"/>
  <c r="Q82" i="1" s="1"/>
  <c r="M98" i="1"/>
  <c r="N98" i="1" s="1"/>
  <c r="O98" i="1" s="1"/>
  <c r="P98" i="1" s="1"/>
  <c r="M114" i="1"/>
  <c r="N114" i="1" s="1"/>
  <c r="O114" i="1" s="1"/>
  <c r="P114" i="1" s="1"/>
  <c r="M130" i="1"/>
  <c r="N130" i="1" s="1"/>
  <c r="O130" i="1" s="1"/>
  <c r="P130" i="1" s="1"/>
  <c r="M170" i="1"/>
  <c r="Q170" i="1" s="1"/>
  <c r="M186" i="1"/>
  <c r="Q186" i="1" s="1"/>
  <c r="M202" i="1"/>
  <c r="Q202" i="1" s="1"/>
  <c r="M218" i="1"/>
  <c r="Q218" i="1" s="1"/>
  <c r="M234" i="1"/>
  <c r="Q234" i="1" s="1"/>
  <c r="M250" i="1"/>
  <c r="M266" i="1"/>
  <c r="Q266" i="1" s="1"/>
  <c r="M274" i="1"/>
  <c r="Q274" i="1" s="1"/>
  <c r="M282" i="1"/>
  <c r="N282" i="1" s="1"/>
  <c r="O282" i="1" s="1"/>
  <c r="P282" i="1" s="1"/>
  <c r="M290" i="1"/>
  <c r="Q290" i="1" s="1"/>
  <c r="M298" i="1"/>
  <c r="M306" i="1"/>
  <c r="N306" i="1" s="1"/>
  <c r="M314" i="1"/>
  <c r="Q314" i="1" s="1"/>
  <c r="M322" i="1"/>
  <c r="Q322" i="1" s="1"/>
  <c r="M330" i="1"/>
  <c r="Q330" i="1" s="1"/>
  <c r="M338" i="1"/>
  <c r="N338" i="1" s="1"/>
  <c r="O338" i="1" s="1"/>
  <c r="P338" i="1" s="1"/>
  <c r="M346" i="1"/>
  <c r="M354" i="1"/>
  <c r="N354" i="1" s="1"/>
  <c r="M362" i="1"/>
  <c r="Q362" i="1" s="1"/>
  <c r="M370" i="1"/>
  <c r="N370" i="1" s="1"/>
  <c r="M378" i="1"/>
  <c r="Q378" i="1" s="1"/>
  <c r="M386" i="1"/>
  <c r="Q386" i="1" s="1"/>
  <c r="M394" i="1"/>
  <c r="Q394" i="1" s="1"/>
  <c r="M402" i="1"/>
  <c r="N402" i="1" s="1"/>
  <c r="M410" i="1"/>
  <c r="N410" i="1" s="1"/>
  <c r="M418" i="1"/>
  <c r="N418" i="1" s="1"/>
  <c r="M426" i="1"/>
  <c r="Q426" i="1" s="1"/>
  <c r="M434" i="1"/>
  <c r="N434" i="1" s="1"/>
  <c r="M442" i="1"/>
  <c r="N442" i="1" s="1"/>
  <c r="M450" i="1"/>
  <c r="Q450" i="1" s="1"/>
  <c r="M458" i="1"/>
  <c r="Q458" i="1" s="1"/>
  <c r="M466" i="1"/>
  <c r="Q466" i="1" s="1"/>
  <c r="M474" i="1"/>
  <c r="N474" i="1" s="1"/>
  <c r="O474" i="1" s="1"/>
  <c r="P474" i="1" s="1"/>
  <c r="M482" i="1"/>
  <c r="N482" i="1" s="1"/>
  <c r="M490" i="1"/>
  <c r="N490" i="1" s="1"/>
  <c r="M498" i="1"/>
  <c r="N498" i="1" s="1"/>
  <c r="M506" i="1"/>
  <c r="N506" i="1" s="1"/>
  <c r="M514" i="1"/>
  <c r="M522" i="1"/>
  <c r="N522" i="1" s="1"/>
  <c r="O522" i="1" s="1"/>
  <c r="P522" i="1" s="1"/>
  <c r="M530" i="1"/>
  <c r="N530" i="1" s="1"/>
  <c r="O530" i="1" s="1"/>
  <c r="P530" i="1" s="1"/>
  <c r="M538" i="1"/>
  <c r="M546" i="1"/>
  <c r="N546" i="1" s="1"/>
  <c r="O546" i="1" s="1"/>
  <c r="P546" i="1" s="1"/>
  <c r="M554" i="1"/>
  <c r="N554" i="1" s="1"/>
  <c r="O554" i="1" s="1"/>
  <c r="P554" i="1" s="1"/>
  <c r="M562" i="1"/>
  <c r="N562" i="1" s="1"/>
  <c r="M570" i="1"/>
  <c r="N570" i="1" s="1"/>
  <c r="M578" i="1"/>
  <c r="N578" i="1" s="1"/>
  <c r="O578" i="1" s="1"/>
  <c r="P578" i="1" s="1"/>
  <c r="M586" i="1"/>
  <c r="N586" i="1" s="1"/>
  <c r="M594" i="1"/>
  <c r="M602" i="1"/>
  <c r="M610" i="1"/>
  <c r="N610" i="1" s="1"/>
  <c r="M618" i="1"/>
  <c r="N618" i="1" s="1"/>
  <c r="O618" i="1" s="1"/>
  <c r="P618" i="1" s="1"/>
  <c r="M626" i="1"/>
  <c r="N626" i="1" s="1"/>
  <c r="M634" i="1"/>
  <c r="N634" i="1" s="1"/>
  <c r="M642" i="1"/>
  <c r="N642" i="1" s="1"/>
  <c r="O642" i="1" s="1"/>
  <c r="P642" i="1" s="1"/>
  <c r="M650" i="1"/>
  <c r="N650" i="1" s="1"/>
  <c r="O650" i="1" s="1"/>
  <c r="P650" i="1" s="1"/>
  <c r="M658" i="1"/>
  <c r="N658" i="1" s="1"/>
  <c r="O658" i="1" s="1"/>
  <c r="P658" i="1" s="1"/>
  <c r="M666" i="1"/>
  <c r="N666" i="1" s="1"/>
  <c r="O666" i="1" s="1"/>
  <c r="P666" i="1" s="1"/>
  <c r="M674" i="1"/>
  <c r="N674" i="1" s="1"/>
  <c r="O674" i="1" s="1"/>
  <c r="P674" i="1" s="1"/>
  <c r="M682" i="1"/>
  <c r="N682" i="1" s="1"/>
  <c r="O682" i="1" s="1"/>
  <c r="P682" i="1" s="1"/>
  <c r="M690" i="1"/>
  <c r="M698" i="1"/>
  <c r="N698" i="1" s="1"/>
  <c r="M706" i="1"/>
  <c r="N706" i="1" s="1"/>
  <c r="O706" i="1" s="1"/>
  <c r="P706" i="1" s="1"/>
  <c r="M714" i="1"/>
  <c r="M722" i="1"/>
  <c r="N722" i="1" s="1"/>
  <c r="O722" i="1" s="1"/>
  <c r="P722" i="1" s="1"/>
  <c r="M730" i="1"/>
  <c r="N730" i="1" s="1"/>
  <c r="O730" i="1" s="1"/>
  <c r="P730" i="1" s="1"/>
  <c r="M738" i="1"/>
  <c r="N738" i="1" s="1"/>
  <c r="O738" i="1" s="1"/>
  <c r="P738" i="1" s="1"/>
  <c r="M746" i="1"/>
  <c r="M754" i="1"/>
  <c r="N754" i="1" s="1"/>
  <c r="M762" i="1"/>
  <c r="N762" i="1" s="1"/>
  <c r="O762" i="1" s="1"/>
  <c r="P762" i="1" s="1"/>
  <c r="M770" i="1"/>
  <c r="N770" i="1" s="1"/>
  <c r="O770" i="1" s="1"/>
  <c r="P770" i="1" s="1"/>
  <c r="M778" i="1"/>
  <c r="N778" i="1" s="1"/>
  <c r="O778" i="1" s="1"/>
  <c r="P778" i="1" s="1"/>
  <c r="M786" i="1"/>
  <c r="N786" i="1" s="1"/>
  <c r="O786" i="1" s="1"/>
  <c r="P786" i="1" s="1"/>
  <c r="M794" i="1"/>
  <c r="N794" i="1" s="1"/>
  <c r="O794" i="1" s="1"/>
  <c r="P794" i="1" s="1"/>
  <c r="M802" i="1"/>
  <c r="N802" i="1" s="1"/>
  <c r="O802" i="1" s="1"/>
  <c r="P802" i="1" s="1"/>
  <c r="M810" i="1"/>
  <c r="N810" i="1" s="1"/>
  <c r="O810" i="1" s="1"/>
  <c r="P810" i="1" s="1"/>
  <c r="M818" i="1"/>
  <c r="N818" i="1" s="1"/>
  <c r="M826" i="1"/>
  <c r="N826" i="1" s="1"/>
  <c r="O826" i="1" s="1"/>
  <c r="P826" i="1" s="1"/>
  <c r="M834" i="1"/>
  <c r="N834" i="1" s="1"/>
  <c r="M842" i="1"/>
  <c r="N842" i="1" s="1"/>
  <c r="O842" i="1" s="1"/>
  <c r="P842" i="1" s="1"/>
  <c r="Q217" i="1"/>
  <c r="Q293" i="1"/>
  <c r="M21" i="1"/>
  <c r="Q21" i="1" s="1"/>
  <c r="P14" i="1"/>
  <c r="O54" i="1"/>
  <c r="P30" i="1"/>
  <c r="N46" i="1"/>
  <c r="N166" i="1"/>
  <c r="O102" i="1"/>
  <c r="P102" i="1" s="1"/>
  <c r="O198" i="1"/>
  <c r="P198" i="1" s="1"/>
  <c r="O223" i="1"/>
  <c r="P223" i="1" s="1"/>
  <c r="N509" i="1"/>
  <c r="Q509" i="1"/>
  <c r="N184" i="1"/>
  <c r="V773" i="1"/>
  <c r="V645" i="1"/>
  <c r="V165" i="1"/>
  <c r="V141" i="1"/>
  <c r="V109" i="1"/>
  <c r="V93" i="1"/>
  <c r="V77" i="1"/>
  <c r="V61" i="1"/>
  <c r="V45" i="1"/>
  <c r="Q269" i="1" l="1"/>
  <c r="Q14" i="1"/>
  <c r="Q190" i="1"/>
  <c r="Q181" i="1"/>
  <c r="Q309" i="1"/>
  <c r="Q260" i="1"/>
  <c r="Q222" i="1"/>
  <c r="Q118" i="1"/>
  <c r="Q213" i="1"/>
  <c r="Q70" i="1"/>
  <c r="Q58" i="1"/>
  <c r="Q32" i="1"/>
  <c r="Q470" i="1"/>
  <c r="Q544" i="1"/>
  <c r="Q281" i="1"/>
  <c r="Q512" i="1"/>
  <c r="Q254" i="1"/>
  <c r="Q352" i="1"/>
  <c r="Q237" i="1"/>
  <c r="Q373" i="1"/>
  <c r="Q10" i="1"/>
  <c r="Q201" i="1"/>
  <c r="Q106" i="1"/>
  <c r="Q17" i="1"/>
  <c r="Q351" i="1"/>
  <c r="N142" i="1"/>
  <c r="O142" i="1" s="1"/>
  <c r="P142" i="1" s="1"/>
  <c r="Q814" i="1"/>
  <c r="Q88" i="1"/>
  <c r="Q178" i="1"/>
  <c r="R432" i="1"/>
  <c r="Q813" i="1"/>
  <c r="Q40" i="1"/>
  <c r="Q37" i="1"/>
  <c r="Q271" i="1"/>
  <c r="Q361" i="1"/>
  <c r="N2" i="1"/>
  <c r="O2" i="1" s="1"/>
  <c r="P2" i="1" s="1"/>
  <c r="Q255" i="1"/>
  <c r="N146" i="1"/>
  <c r="O146" i="1" s="1"/>
  <c r="P146" i="1" s="1"/>
  <c r="Q194" i="1"/>
  <c r="Q182" i="1"/>
  <c r="R254" i="1"/>
  <c r="Q196" i="1"/>
  <c r="N134" i="1"/>
  <c r="O134" i="1" s="1"/>
  <c r="Q684" i="1"/>
  <c r="Q357" i="1"/>
  <c r="N287" i="1"/>
  <c r="O287" i="1" s="1"/>
  <c r="P287" i="1" s="1"/>
  <c r="N138" i="1"/>
  <c r="O138" i="1" s="1"/>
  <c r="P138" i="1" s="1"/>
  <c r="Q333" i="1"/>
  <c r="Q249" i="1"/>
  <c r="Q242" i="1"/>
  <c r="Q365" i="1"/>
  <c r="Q74" i="1"/>
  <c r="R524" i="1"/>
  <c r="R313" i="1"/>
  <c r="Q110" i="1"/>
  <c r="Q62" i="1"/>
  <c r="Q191" i="1"/>
  <c r="R365" i="1"/>
  <c r="Q297" i="1"/>
  <c r="Q26" i="1"/>
  <c r="Q368" i="1"/>
  <c r="Q56" i="1"/>
  <c r="Q183" i="1"/>
  <c r="Q597" i="1"/>
  <c r="Q360" i="1"/>
  <c r="R728" i="1"/>
  <c r="Q24" i="1"/>
  <c r="N108" i="1"/>
  <c r="O108" i="1" s="1"/>
  <c r="Q162" i="1"/>
  <c r="Q516" i="1"/>
  <c r="Q36" i="1"/>
  <c r="Q528" i="1"/>
  <c r="Q253" i="1"/>
  <c r="N77" i="1"/>
  <c r="O77" i="1" s="1"/>
  <c r="P77" i="1" s="1"/>
  <c r="Q288" i="1"/>
  <c r="R260" i="1"/>
  <c r="Q246" i="1"/>
  <c r="R269" i="1"/>
  <c r="Q127" i="1"/>
  <c r="Q226" i="1"/>
  <c r="Q377" i="1"/>
  <c r="Q86" i="1"/>
  <c r="R781" i="1"/>
  <c r="R226" i="1"/>
  <c r="R367" i="1"/>
  <c r="R528" i="1"/>
  <c r="Q233" i="1"/>
  <c r="Q204" i="1"/>
  <c r="R32" i="1"/>
  <c r="Q8" i="1"/>
  <c r="Q221" i="1"/>
  <c r="Q180" i="1"/>
  <c r="R214" i="1"/>
  <c r="Q353" i="1"/>
  <c r="Q385" i="1"/>
  <c r="Q285" i="1"/>
  <c r="Q524" i="1"/>
  <c r="Q428" i="1"/>
  <c r="R249" i="1"/>
  <c r="Q390" i="1"/>
  <c r="Q317" i="1"/>
  <c r="Q78" i="1"/>
  <c r="Q356" i="1"/>
  <c r="R516" i="1"/>
  <c r="R40" i="1"/>
  <c r="R230" i="1"/>
  <c r="Q16" i="1"/>
  <c r="Q76" i="1"/>
  <c r="R540" i="1"/>
  <c r="R178" i="1"/>
  <c r="R169" i="1"/>
  <c r="R520" i="1"/>
  <c r="R368" i="1"/>
  <c r="R206" i="1"/>
  <c r="Q94" i="1"/>
  <c r="Q185" i="1"/>
  <c r="Q262" i="1"/>
  <c r="Q343" i="1"/>
  <c r="Q214" i="1"/>
  <c r="Q4" i="1"/>
  <c r="Q327" i="1"/>
  <c r="R293" i="1"/>
  <c r="Q126" i="1"/>
  <c r="Q172" i="1"/>
  <c r="Q120" i="1"/>
  <c r="Q384" i="1"/>
  <c r="Q462" i="1"/>
  <c r="R428" i="1"/>
  <c r="R512" i="1"/>
  <c r="R381" i="1"/>
  <c r="R237" i="1"/>
  <c r="R343" i="1"/>
  <c r="R684" i="1"/>
  <c r="R180" i="1"/>
  <c r="R194" i="1"/>
  <c r="R8" i="1"/>
  <c r="R190" i="1"/>
  <c r="R374" i="1"/>
  <c r="R262" i="1"/>
  <c r="R76" i="1"/>
  <c r="R4" i="1"/>
  <c r="R373" i="1"/>
  <c r="R196" i="1"/>
  <c r="R281" i="1"/>
  <c r="R233" i="1"/>
  <c r="R9" i="1"/>
  <c r="R120" i="1"/>
  <c r="R205" i="1"/>
  <c r="R788" i="1"/>
  <c r="R116" i="1"/>
  <c r="R779" i="1"/>
  <c r="R539" i="1"/>
  <c r="R751" i="1"/>
  <c r="R182" i="1"/>
  <c r="R642" i="1"/>
  <c r="R530" i="1"/>
  <c r="R474" i="1"/>
  <c r="R88" i="1"/>
  <c r="R681" i="1"/>
  <c r="R425" i="1"/>
  <c r="R297" i="1"/>
  <c r="R121" i="1"/>
  <c r="R238" i="1"/>
  <c r="R525" i="1"/>
  <c r="R317" i="1"/>
  <c r="R536" i="1"/>
  <c r="R646" i="1"/>
  <c r="R510" i="1"/>
  <c r="R556" i="1"/>
  <c r="R292" i="1"/>
  <c r="R104" i="1"/>
  <c r="R461" i="1"/>
  <c r="R130" i="1"/>
  <c r="R662" i="1"/>
  <c r="R549" i="1"/>
  <c r="R465" i="1"/>
  <c r="R792" i="1"/>
  <c r="R424" i="1"/>
  <c r="R719" i="1"/>
  <c r="R783" i="1"/>
  <c r="R837" i="1"/>
  <c r="R236" i="1"/>
  <c r="R204" i="1"/>
  <c r="R771" i="1"/>
  <c r="R162" i="1"/>
  <c r="R462" i="1"/>
  <c r="R813" i="1"/>
  <c r="R817" i="1"/>
  <c r="R369" i="1"/>
  <c r="R201" i="1"/>
  <c r="R749" i="1"/>
  <c r="R93" i="1"/>
  <c r="R223" i="1"/>
  <c r="R614" i="1"/>
  <c r="R470" i="1"/>
  <c r="R660" i="1"/>
  <c r="R596" i="1"/>
  <c r="R447" i="1"/>
  <c r="R103" i="1"/>
  <c r="R613" i="1"/>
  <c r="R811" i="1"/>
  <c r="R707" i="1"/>
  <c r="R579" i="1"/>
  <c r="R291" i="1"/>
  <c r="R227" i="1"/>
  <c r="R26" i="1"/>
  <c r="R126" i="1"/>
  <c r="R557" i="1"/>
  <c r="R802" i="1"/>
  <c r="R255" i="1"/>
  <c r="R705" i="1"/>
  <c r="R289" i="1"/>
  <c r="R423" i="1"/>
  <c r="R784" i="1"/>
  <c r="R464" i="1"/>
  <c r="R336" i="1"/>
  <c r="R80" i="1"/>
  <c r="R332" i="1"/>
  <c r="R829" i="1"/>
  <c r="R397" i="1"/>
  <c r="R507" i="1"/>
  <c r="R821" i="1"/>
  <c r="R666" i="1"/>
  <c r="R554" i="1"/>
  <c r="R94" i="1"/>
  <c r="R761" i="1"/>
  <c r="R734" i="1"/>
  <c r="Q715" i="1"/>
  <c r="Q515" i="1"/>
  <c r="Q335" i="1"/>
  <c r="R756" i="1"/>
  <c r="R11" i="1"/>
  <c r="R710" i="1"/>
  <c r="R606" i="1"/>
  <c r="R62" i="1"/>
  <c r="R653" i="1"/>
  <c r="R16" i="1"/>
  <c r="R333" i="1"/>
  <c r="R497" i="1"/>
  <c r="R193" i="1"/>
  <c r="R161" i="1"/>
  <c r="R351" i="1"/>
  <c r="R349" i="1"/>
  <c r="R664" i="1"/>
  <c r="R544" i="1"/>
  <c r="R496" i="1"/>
  <c r="R360" i="1"/>
  <c r="R463" i="1"/>
  <c r="R444" i="1"/>
  <c r="R747" i="1"/>
  <c r="R323" i="1"/>
  <c r="R131" i="1"/>
  <c r="R831" i="1"/>
  <c r="R786" i="1"/>
  <c r="R282" i="1"/>
  <c r="R718" i="1"/>
  <c r="R433" i="1"/>
  <c r="R774" i="1"/>
  <c r="R600" i="1"/>
  <c r="R534" i="1"/>
  <c r="Q236" i="1"/>
  <c r="R508" i="1"/>
  <c r="R212" i="1"/>
  <c r="R188" i="1"/>
  <c r="R797" i="1"/>
  <c r="R685" i="1"/>
  <c r="R259" i="1"/>
  <c r="R187" i="1"/>
  <c r="R621" i="1"/>
  <c r="R309" i="1"/>
  <c r="R738" i="1"/>
  <c r="R527" i="1"/>
  <c r="R327" i="1"/>
  <c r="R198" i="1"/>
  <c r="R30" i="1"/>
  <c r="R793" i="1"/>
  <c r="R377" i="1"/>
  <c r="R217" i="1"/>
  <c r="R185" i="1"/>
  <c r="R583" i="1"/>
  <c r="R181" i="1"/>
  <c r="R488" i="1"/>
  <c r="R384" i="1"/>
  <c r="R352" i="1"/>
  <c r="R6" i="1"/>
  <c r="O72" i="1"/>
  <c r="P72" i="1" s="1"/>
  <c r="N268" i="1"/>
  <c r="Q268" i="1"/>
  <c r="N210" i="1"/>
  <c r="Q210" i="1"/>
  <c r="R758" i="1"/>
  <c r="O246" i="1"/>
  <c r="P246" i="1" s="1"/>
  <c r="O735" i="1"/>
  <c r="P735" i="1" s="1"/>
  <c r="O607" i="1"/>
  <c r="P607" i="1" s="1"/>
  <c r="O543" i="1"/>
  <c r="P543" i="1" s="1"/>
  <c r="O415" i="1"/>
  <c r="P415" i="1" s="1"/>
  <c r="O764" i="1"/>
  <c r="P764" i="1" s="1"/>
  <c r="P122" i="1"/>
  <c r="R122" i="1"/>
  <c r="N825" i="1"/>
  <c r="Q825" i="1"/>
  <c r="N400" i="1"/>
  <c r="Q400" i="1"/>
  <c r="O342" i="1"/>
  <c r="P342" i="1" s="1"/>
  <c r="R70" i="1"/>
  <c r="O822" i="1"/>
  <c r="P822" i="1" s="1"/>
  <c r="O694" i="1"/>
  <c r="P694" i="1" s="1"/>
  <c r="O630" i="1"/>
  <c r="P630" i="1" s="1"/>
  <c r="O566" i="1"/>
  <c r="P566" i="1" s="1"/>
  <c r="O588" i="1"/>
  <c r="P588" i="1" s="1"/>
  <c r="O698" i="1"/>
  <c r="P698" i="1" s="1"/>
  <c r="O634" i="1"/>
  <c r="P634" i="1" s="1"/>
  <c r="O41" i="1"/>
  <c r="P41" i="1" s="1"/>
  <c r="O620" i="1"/>
  <c r="P620" i="1" s="1"/>
  <c r="O727" i="1"/>
  <c r="P727" i="1" s="1"/>
  <c r="O599" i="1"/>
  <c r="P599" i="1" s="1"/>
  <c r="O535" i="1"/>
  <c r="P535" i="1" s="1"/>
  <c r="N532" i="1"/>
  <c r="Q532" i="1"/>
  <c r="R44" i="1"/>
  <c r="Q154" i="1"/>
  <c r="N154" i="1"/>
  <c r="O154" i="1" s="1"/>
  <c r="P154" i="1" s="1"/>
  <c r="R574" i="1"/>
  <c r="R216" i="1"/>
  <c r="P54" i="1"/>
  <c r="R54" i="1"/>
  <c r="P86" i="1"/>
  <c r="R86" i="1"/>
  <c r="O818" i="1"/>
  <c r="P818" i="1" s="1"/>
  <c r="O754" i="1"/>
  <c r="P754" i="1" s="1"/>
  <c r="O626" i="1"/>
  <c r="P626" i="1" s="1"/>
  <c r="O562" i="1"/>
  <c r="P562" i="1" s="1"/>
  <c r="O558" i="1"/>
  <c r="P558" i="1" s="1"/>
  <c r="Q189" i="1"/>
  <c r="O721" i="1"/>
  <c r="P721" i="1" s="1"/>
  <c r="O529" i="1"/>
  <c r="P529" i="1" s="1"/>
  <c r="O840" i="1"/>
  <c r="P840" i="1" s="1"/>
  <c r="O704" i="1"/>
  <c r="P704" i="1" s="1"/>
  <c r="O640" i="1"/>
  <c r="P640" i="1" s="1"/>
  <c r="O392" i="1"/>
  <c r="P392" i="1" s="1"/>
  <c r="O296" i="1"/>
  <c r="P296" i="1" s="1"/>
  <c r="O136" i="1"/>
  <c r="P136" i="1" s="1"/>
  <c r="O95" i="1"/>
  <c r="P95" i="1" s="1"/>
  <c r="O572" i="1"/>
  <c r="P572" i="1" s="1"/>
  <c r="O68" i="1"/>
  <c r="P68" i="1" s="1"/>
  <c r="Q92" i="1"/>
  <c r="N92" i="1"/>
  <c r="O92" i="1" s="1"/>
  <c r="P92" i="1" s="1"/>
  <c r="O271" i="1"/>
  <c r="P271" i="1" s="1"/>
  <c r="R830" i="1"/>
  <c r="N341" i="1"/>
  <c r="Q341" i="1"/>
  <c r="R762" i="1"/>
  <c r="O78" i="1"/>
  <c r="P78" i="1" s="1"/>
  <c r="O702" i="1"/>
  <c r="P702" i="1" s="1"/>
  <c r="O649" i="1"/>
  <c r="P649" i="1" s="1"/>
  <c r="O393" i="1"/>
  <c r="P393" i="1" s="1"/>
  <c r="O768" i="1"/>
  <c r="P768" i="1" s="1"/>
  <c r="O725" i="1"/>
  <c r="P725" i="1" s="1"/>
  <c r="O581" i="1"/>
  <c r="P581" i="1" s="1"/>
  <c r="O787" i="1"/>
  <c r="P787" i="1" s="1"/>
  <c r="O267" i="1"/>
  <c r="P267" i="1" s="1"/>
  <c r="O691" i="1"/>
  <c r="P691" i="1" s="1"/>
  <c r="O275" i="1"/>
  <c r="R275" i="1" s="1"/>
  <c r="R79" i="1"/>
  <c r="O390" i="1"/>
  <c r="P390" i="1" s="1"/>
  <c r="O422" i="1"/>
  <c r="P422" i="1" s="1"/>
  <c r="O189" i="1"/>
  <c r="P189" i="1" s="1"/>
  <c r="O713" i="1"/>
  <c r="P713" i="1" s="1"/>
  <c r="O457" i="1"/>
  <c r="P457" i="1" s="1"/>
  <c r="O288" i="1"/>
  <c r="P288" i="1" s="1"/>
  <c r="O836" i="1"/>
  <c r="P836" i="1" s="1"/>
  <c r="O789" i="1"/>
  <c r="P789" i="1" s="1"/>
  <c r="O573" i="1"/>
  <c r="P573" i="1" s="1"/>
  <c r="O501" i="1"/>
  <c r="P501" i="1" s="1"/>
  <c r="O437" i="1"/>
  <c r="P437" i="1" s="1"/>
  <c r="O171" i="1"/>
  <c r="P171" i="1" s="1"/>
  <c r="O739" i="1"/>
  <c r="P739" i="1" s="1"/>
  <c r="O443" i="1"/>
  <c r="P443" i="1" s="1"/>
  <c r="O235" i="1"/>
  <c r="P235" i="1" s="1"/>
  <c r="O243" i="1"/>
  <c r="R243" i="1" s="1"/>
  <c r="O245" i="1"/>
  <c r="P245" i="1" s="1"/>
  <c r="R499" i="1"/>
  <c r="N383" i="1"/>
  <c r="Q383" i="1"/>
  <c r="R826" i="1"/>
  <c r="R90" i="1"/>
  <c r="O353" i="1"/>
  <c r="P353" i="1" s="1"/>
  <c r="Q232" i="1"/>
  <c r="N232" i="1"/>
  <c r="O521" i="1"/>
  <c r="P521" i="1" s="1"/>
  <c r="R692" i="1"/>
  <c r="N244" i="1"/>
  <c r="Q244" i="1"/>
  <c r="N20" i="1"/>
  <c r="Q20" i="1"/>
  <c r="R334" i="1"/>
  <c r="N258" i="1"/>
  <c r="Q258" i="1"/>
  <c r="R158" i="1"/>
  <c r="N589" i="1"/>
  <c r="Q589" i="1"/>
  <c r="N265" i="1"/>
  <c r="Q265" i="1"/>
  <c r="R841" i="1"/>
  <c r="R456" i="1"/>
  <c r="R118" i="1"/>
  <c r="R597" i="1"/>
  <c r="Q349" i="1"/>
  <c r="Q206" i="1"/>
  <c r="Q169" i="1"/>
  <c r="Q212" i="1"/>
  <c r="R812" i="1"/>
  <c r="R780" i="1"/>
  <c r="R500" i="1"/>
  <c r="R404" i="1"/>
  <c r="R36" i="1"/>
  <c r="R775" i="1"/>
  <c r="R399" i="1"/>
  <c r="R565" i="1"/>
  <c r="R453" i="1"/>
  <c r="R563" i="1"/>
  <c r="R491" i="1"/>
  <c r="R115" i="1"/>
  <c r="R438" i="1"/>
  <c r="R842" i="1"/>
  <c r="R778" i="1"/>
  <c r="R682" i="1"/>
  <c r="R658" i="1"/>
  <c r="R578" i="1"/>
  <c r="R522" i="1"/>
  <c r="R74" i="1"/>
  <c r="R839" i="1"/>
  <c r="R487" i="1"/>
  <c r="R697" i="1"/>
  <c r="R641" i="1"/>
  <c r="R489" i="1"/>
  <c r="R477" i="1"/>
  <c r="R816" i="1"/>
  <c r="R720" i="1"/>
  <c r="R688" i="1"/>
  <c r="R624" i="1"/>
  <c r="R592" i="1"/>
  <c r="R256" i="1"/>
  <c r="R439" i="1"/>
  <c r="R398" i="1"/>
  <c r="R350" i="1"/>
  <c r="Q728" i="1"/>
  <c r="Q536" i="1"/>
  <c r="Q205" i="1"/>
  <c r="Q781" i="1"/>
  <c r="R548" i="1"/>
  <c r="R827" i="1"/>
  <c r="R763" i="1"/>
  <c r="R595" i="1"/>
  <c r="R523" i="1"/>
  <c r="R483" i="1"/>
  <c r="R379" i="1"/>
  <c r="R339" i="1"/>
  <c r="R283" i="1"/>
  <c r="R83" i="1"/>
  <c r="R806" i="1"/>
  <c r="R742" i="1"/>
  <c r="R670" i="1"/>
  <c r="R622" i="1"/>
  <c r="R533" i="1"/>
  <c r="R389" i="1"/>
  <c r="R730" i="1"/>
  <c r="R706" i="1"/>
  <c r="R546" i="1"/>
  <c r="R114" i="1"/>
  <c r="R10" i="1"/>
  <c r="R645" i="1"/>
  <c r="R429" i="1"/>
  <c r="R833" i="1"/>
  <c r="R417" i="1"/>
  <c r="R337" i="1"/>
  <c r="R486" i="1"/>
  <c r="R808" i="1"/>
  <c r="R744" i="1"/>
  <c r="R582" i="1"/>
  <c r="R222" i="1"/>
  <c r="R773" i="1"/>
  <c r="R803" i="1"/>
  <c r="N301" i="1"/>
  <c r="O301" i="1" s="1"/>
  <c r="P301" i="1" s="1"/>
  <c r="Q520" i="1"/>
  <c r="Q9" i="1"/>
  <c r="R804" i="1"/>
  <c r="R772" i="1"/>
  <c r="R740" i="1"/>
  <c r="R676" i="1"/>
  <c r="R612" i="1"/>
  <c r="R492" i="1"/>
  <c r="R356" i="1"/>
  <c r="R252" i="1"/>
  <c r="R228" i="1"/>
  <c r="R172" i="1"/>
  <c r="R335" i="1"/>
  <c r="R541" i="1"/>
  <c r="R357" i="1"/>
  <c r="R213" i="1"/>
  <c r="R555" i="1"/>
  <c r="R307" i="1"/>
  <c r="R24" i="1"/>
  <c r="R183" i="1"/>
  <c r="R765" i="1"/>
  <c r="R605" i="1"/>
  <c r="R794" i="1"/>
  <c r="R650" i="1"/>
  <c r="R242" i="1"/>
  <c r="R58" i="1"/>
  <c r="R56" i="1"/>
  <c r="R191" i="1"/>
  <c r="R782" i="1"/>
  <c r="R598" i="1"/>
  <c r="R285" i="1"/>
  <c r="R689" i="1"/>
  <c r="R17" i="1"/>
  <c r="R815" i="1"/>
  <c r="R655" i="1"/>
  <c r="R14" i="1"/>
  <c r="R173" i="1"/>
  <c r="R405" i="1"/>
  <c r="R680" i="1"/>
  <c r="R616" i="1"/>
  <c r="R584" i="1"/>
  <c r="R440" i="1"/>
  <c r="R408" i="1"/>
  <c r="R807" i="1"/>
  <c r="R174" i="1"/>
  <c r="Q216" i="1"/>
  <c r="Q313" i="1"/>
  <c r="R604" i="1"/>
  <c r="R388" i="1"/>
  <c r="R755" i="1"/>
  <c r="R723" i="1"/>
  <c r="R515" i="1"/>
  <c r="R331" i="1"/>
  <c r="R195" i="1"/>
  <c r="R19" i="1"/>
  <c r="R98" i="1"/>
  <c r="R102" i="1"/>
  <c r="R542" i="1"/>
  <c r="R406" i="1"/>
  <c r="R770" i="1"/>
  <c r="R722" i="1"/>
  <c r="R674" i="1"/>
  <c r="R618" i="1"/>
  <c r="R106" i="1"/>
  <c r="R430" i="1"/>
  <c r="R801" i="1"/>
  <c r="R745" i="1"/>
  <c r="R441" i="1"/>
  <c r="R141" i="1"/>
  <c r="R736" i="1"/>
  <c r="R504" i="1"/>
  <c r="R519" i="1"/>
  <c r="R358" i="1"/>
  <c r="R701" i="1"/>
  <c r="Q90" i="1"/>
  <c r="Q367" i="1"/>
  <c r="N150" i="1"/>
  <c r="O150" i="1" s="1"/>
  <c r="P150" i="1" s="1"/>
  <c r="Q158" i="1"/>
  <c r="Q374" i="1"/>
  <c r="Q122" i="1"/>
  <c r="R796" i="1"/>
  <c r="R732" i="1"/>
  <c r="R700" i="1"/>
  <c r="R484" i="1"/>
  <c r="R420" i="1"/>
  <c r="R276" i="1"/>
  <c r="R413" i="1"/>
  <c r="R715" i="1"/>
  <c r="R651" i="1"/>
  <c r="R619" i="1"/>
  <c r="R547" i="1"/>
  <c r="R299" i="1"/>
  <c r="R798" i="1"/>
  <c r="R654" i="1"/>
  <c r="R733" i="1"/>
  <c r="R810" i="1"/>
  <c r="R338" i="1"/>
  <c r="R567" i="1"/>
  <c r="R279" i="1"/>
  <c r="R167" i="1"/>
  <c r="R769" i="1"/>
  <c r="R505" i="1"/>
  <c r="R49" i="1"/>
  <c r="R759" i="1"/>
  <c r="R263" i="1"/>
  <c r="R608" i="1"/>
  <c r="R304" i="1"/>
  <c r="R272" i="1"/>
  <c r="R767" i="1"/>
  <c r="R559" i="1"/>
  <c r="R678" i="1"/>
  <c r="R637" i="1"/>
  <c r="Q121" i="1"/>
  <c r="Q308" i="1"/>
  <c r="Q47" i="1"/>
  <c r="Q334" i="1"/>
  <c r="Q804" i="1"/>
  <c r="Q43" i="1"/>
  <c r="Q771" i="1"/>
  <c r="Q841" i="1"/>
  <c r="Q424" i="1"/>
  <c r="Q541" i="1"/>
  <c r="Q413" i="1"/>
  <c r="Q628" i="1"/>
  <c r="Q527" i="1"/>
  <c r="Q240" i="1"/>
  <c r="Q402" i="1"/>
  <c r="Q437" i="1"/>
  <c r="Q408" i="1"/>
  <c r="Q302" i="1"/>
  <c r="Q279" i="1"/>
  <c r="Q52" i="1"/>
  <c r="Q199" i="1"/>
  <c r="Q557" i="1"/>
  <c r="N319" i="1"/>
  <c r="Q796" i="1"/>
  <c r="Q95" i="1"/>
  <c r="Q405" i="1"/>
  <c r="Q350" i="1"/>
  <c r="Q565" i="1"/>
  <c r="N29" i="1"/>
  <c r="N741" i="1"/>
  <c r="N639" i="1"/>
  <c r="Q193" i="1"/>
  <c r="Q276" i="1"/>
  <c r="Q188" i="1"/>
  <c r="Q547" i="1"/>
  <c r="Q289" i="1"/>
  <c r="Q581" i="1"/>
  <c r="Q801" i="1"/>
  <c r="Q464" i="1"/>
  <c r="Q6" i="1"/>
  <c r="Q504" i="1"/>
  <c r="Q815" i="1"/>
  <c r="Q782" i="1"/>
  <c r="Q167" i="1"/>
  <c r="Q263" i="1"/>
  <c r="Q80" i="1"/>
  <c r="Q425" i="1"/>
  <c r="Q704" i="1"/>
  <c r="N344" i="1"/>
  <c r="Q567" i="1"/>
  <c r="Q682" i="1"/>
  <c r="Q506" i="1"/>
  <c r="N274" i="1"/>
  <c r="Q671" i="1"/>
  <c r="Q838" i="1"/>
  <c r="Q702" i="1"/>
  <c r="Q611" i="1"/>
  <c r="Q573" i="1"/>
  <c r="Q778" i="1"/>
  <c r="N84" i="1"/>
  <c r="Q116" i="1"/>
  <c r="Q465" i="1"/>
  <c r="N176" i="1"/>
  <c r="Q501" i="1"/>
  <c r="N667" i="1"/>
  <c r="N659" i="1"/>
  <c r="N458" i="1"/>
  <c r="Q586" i="1"/>
  <c r="Q442" i="1"/>
  <c r="Q840" i="1"/>
  <c r="Q700" i="1"/>
  <c r="Q388" i="1"/>
  <c r="Q607" i="1"/>
  <c r="Q630" i="1"/>
  <c r="Q51" i="1"/>
  <c r="Q130" i="1"/>
  <c r="Q173" i="1"/>
  <c r="Q626" i="1"/>
  <c r="Q482" i="1"/>
  <c r="Q505" i="1"/>
  <c r="Q100" i="1"/>
  <c r="Q792" i="1"/>
  <c r="Q744" i="1"/>
  <c r="Q114" i="1"/>
  <c r="N362" i="1"/>
  <c r="Q306" i="1"/>
  <c r="Q207" i="1"/>
  <c r="Q164" i="1"/>
  <c r="Q687" i="1"/>
  <c r="Q755" i="1"/>
  <c r="Q215" i="1"/>
  <c r="Q618" i="1"/>
  <c r="N426" i="1"/>
  <c r="Q784" i="1"/>
  <c r="Q680" i="1"/>
  <c r="Q640" i="1"/>
  <c r="Q135" i="1"/>
  <c r="Q423" i="1"/>
  <c r="Q749" i="1"/>
  <c r="Q44" i="1"/>
  <c r="Q187" i="1"/>
  <c r="Q245" i="1"/>
  <c r="Q85" i="1"/>
  <c r="Q786" i="1"/>
  <c r="Q562" i="1"/>
  <c r="N117" i="1"/>
  <c r="Q407" i="1"/>
  <c r="Q272" i="1"/>
  <c r="Q141" i="1"/>
  <c r="Q649" i="1"/>
  <c r="Q816" i="1"/>
  <c r="Q836" i="1"/>
  <c r="N140" i="1"/>
  <c r="Q654" i="1"/>
  <c r="Q486" i="1"/>
  <c r="O407" i="1"/>
  <c r="P407" i="1" s="1"/>
  <c r="O111" i="1"/>
  <c r="P111" i="1" s="1"/>
  <c r="Q818" i="1"/>
  <c r="N601" i="1"/>
  <c r="Q497" i="1"/>
  <c r="Q161" i="1"/>
  <c r="Q719" i="1"/>
  <c r="N175" i="1"/>
  <c r="Q662" i="1"/>
  <c r="Q582" i="1"/>
  <c r="Q542" i="1"/>
  <c r="Q685" i="1"/>
  <c r="Q323" i="1"/>
  <c r="Q72" i="1"/>
  <c r="N693" i="1"/>
  <c r="Q101" i="1"/>
  <c r="Q706" i="1"/>
  <c r="Q666" i="1"/>
  <c r="Q642" i="1"/>
  <c r="Q474" i="1"/>
  <c r="Q252" i="1"/>
  <c r="Q769" i="1"/>
  <c r="Q529" i="1"/>
  <c r="N329" i="1"/>
  <c r="Q487" i="1"/>
  <c r="Q111" i="1"/>
  <c r="Q584" i="1"/>
  <c r="N71" i="1"/>
  <c r="Q759" i="1"/>
  <c r="Q599" i="1"/>
  <c r="Q304" i="1"/>
  <c r="Q830" i="1"/>
  <c r="Q614" i="1"/>
  <c r="Q445" i="1"/>
  <c r="N163" i="1"/>
  <c r="N27" i="1"/>
  <c r="Q523" i="1"/>
  <c r="Q75" i="1"/>
  <c r="N28" i="1"/>
  <c r="Q454" i="1"/>
  <c r="Q49" i="1"/>
  <c r="Q228" i="1"/>
  <c r="N60" i="1"/>
  <c r="N87" i="1"/>
  <c r="Q576" i="1"/>
  <c r="N711" i="1"/>
  <c r="N631" i="1"/>
  <c r="N149" i="1"/>
  <c r="Q812" i="1"/>
  <c r="Q574" i="1"/>
  <c r="Q103" i="1"/>
  <c r="Q683" i="1"/>
  <c r="Q171" i="1"/>
  <c r="Q811" i="1"/>
  <c r="Q483" i="1"/>
  <c r="N355" i="1"/>
  <c r="N61" i="1"/>
  <c r="Q418" i="1"/>
  <c r="N18" i="1"/>
  <c r="Q433" i="1"/>
  <c r="Q393" i="1"/>
  <c r="N160" i="1"/>
  <c r="Q612" i="1"/>
  <c r="Q370" i="1"/>
  <c r="Q678" i="1"/>
  <c r="Q478" i="1"/>
  <c r="N278" i="1"/>
  <c r="Q613" i="1"/>
  <c r="Q787" i="1"/>
  <c r="Q539" i="1"/>
  <c r="Q267" i="1"/>
  <c r="N643" i="1"/>
  <c r="N218" i="1"/>
  <c r="Q834" i="1"/>
  <c r="Q770" i="1"/>
  <c r="Q730" i="1"/>
  <c r="Q650" i="1"/>
  <c r="Q530" i="1"/>
  <c r="Q490" i="1"/>
  <c r="Q788" i="1"/>
  <c r="Q745" i="1"/>
  <c r="Q705" i="1"/>
  <c r="N177" i="1"/>
  <c r="Q50" i="1"/>
  <c r="Q688" i="1"/>
  <c r="Q783" i="1"/>
  <c r="Q735" i="1"/>
  <c r="Q535" i="1"/>
  <c r="Q484" i="1"/>
  <c r="Q718" i="1"/>
  <c r="Q598" i="1"/>
  <c r="Q733" i="1"/>
  <c r="Q429" i="1"/>
  <c r="Q803" i="1"/>
  <c r="Q307" i="1"/>
  <c r="Q379" i="1"/>
  <c r="Q747" i="1"/>
  <c r="Q275" i="1"/>
  <c r="N538" i="1"/>
  <c r="Q538" i="1"/>
  <c r="N211" i="1"/>
  <c r="Q211" i="1"/>
  <c r="N348" i="1"/>
  <c r="Q348" i="1"/>
  <c r="N197" i="1"/>
  <c r="Q197" i="1"/>
  <c r="O570" i="1"/>
  <c r="P570" i="1" s="1"/>
  <c r="Q250" i="1"/>
  <c r="N250" i="1"/>
  <c r="Q311" i="1"/>
  <c r="N311" i="1"/>
  <c r="Q231" i="1"/>
  <c r="N231" i="1"/>
  <c r="N485" i="1"/>
  <c r="Q485" i="1"/>
  <c r="N219" i="1"/>
  <c r="Q219" i="1"/>
  <c r="N179" i="1"/>
  <c r="Q179" i="1"/>
  <c r="N690" i="1"/>
  <c r="Q690" i="1"/>
  <c r="N760" i="1"/>
  <c r="Q760" i="1"/>
  <c r="Q96" i="1"/>
  <c r="N96" i="1"/>
  <c r="N714" i="1"/>
  <c r="Q714" i="1"/>
  <c r="N791" i="1"/>
  <c r="Q791" i="1"/>
  <c r="N703" i="1"/>
  <c r="Q703" i="1"/>
  <c r="O724" i="1"/>
  <c r="N819" i="1"/>
  <c r="Q819" i="1"/>
  <c r="N316" i="1"/>
  <c r="Q316" i="1"/>
  <c r="N746" i="1"/>
  <c r="Q746" i="1"/>
  <c r="Q298" i="1"/>
  <c r="N298" i="1"/>
  <c r="O636" i="1"/>
  <c r="P636" i="1" s="1"/>
  <c r="Q41" i="1"/>
  <c r="Q224" i="1"/>
  <c r="N224" i="1"/>
  <c r="O615" i="1"/>
  <c r="P615" i="1" s="1"/>
  <c r="N638" i="1"/>
  <c r="Q638" i="1"/>
  <c r="N518" i="1"/>
  <c r="Q518" i="1"/>
  <c r="N820" i="1"/>
  <c r="Q820" i="1"/>
  <c r="P110" i="1"/>
  <c r="O482" i="1"/>
  <c r="N648" i="1"/>
  <c r="Q648" i="1"/>
  <c r="N766" i="1"/>
  <c r="Q766" i="1"/>
  <c r="N270" i="1"/>
  <c r="Q270" i="1"/>
  <c r="N448" i="1"/>
  <c r="Q448" i="1"/>
  <c r="O611" i="1"/>
  <c r="P611" i="1" s="1"/>
  <c r="Q594" i="1"/>
  <c r="N594" i="1"/>
  <c r="N514" i="1"/>
  <c r="Q514" i="1"/>
  <c r="Q346" i="1"/>
  <c r="N346" i="1"/>
  <c r="Q145" i="1"/>
  <c r="N145" i="1"/>
  <c r="N552" i="1"/>
  <c r="Q552" i="1"/>
  <c r="Q280" i="1"/>
  <c r="N280" i="1"/>
  <c r="N550" i="1"/>
  <c r="Q550" i="1"/>
  <c r="N318" i="1"/>
  <c r="Q318" i="1"/>
  <c r="N366" i="1"/>
  <c r="Q366" i="1"/>
  <c r="Q411" i="1"/>
  <c r="N411" i="1"/>
  <c r="Q794" i="1"/>
  <c r="N394" i="1"/>
  <c r="N42" i="1"/>
  <c r="Q42" i="1"/>
  <c r="Q284" i="1"/>
  <c r="N284" i="1"/>
  <c r="N828" i="1"/>
  <c r="Q828" i="1"/>
  <c r="N328" i="1"/>
  <c r="Q328" i="1"/>
  <c r="Q45" i="1"/>
  <c r="N45" i="1"/>
  <c r="N471" i="1"/>
  <c r="Q471" i="1"/>
  <c r="O67" i="1"/>
  <c r="Q451" i="1"/>
  <c r="N451" i="1"/>
  <c r="O51" i="1"/>
  <c r="P51" i="1" s="1"/>
  <c r="N133" i="1"/>
  <c r="N152" i="1"/>
  <c r="Q615" i="1"/>
  <c r="N300" i="1"/>
  <c r="Q129" i="1"/>
  <c r="Q336" i="1"/>
  <c r="P307" i="1"/>
  <c r="Q420" i="1"/>
  <c r="Q98" i="1"/>
  <c r="Q606" i="1"/>
  <c r="Q842" i="1"/>
  <c r="N234" i="1"/>
  <c r="N34" i="1"/>
  <c r="Q358" i="1"/>
  <c r="N585" i="1"/>
  <c r="Q292" i="1"/>
  <c r="Q600" i="1"/>
  <c r="Q496" i="1"/>
  <c r="N376" i="1"/>
  <c r="N312" i="1"/>
  <c r="Q775" i="1"/>
  <c r="Q447" i="1"/>
  <c r="Q415" i="1"/>
  <c r="N143" i="1"/>
  <c r="Q604" i="1"/>
  <c r="Q806" i="1"/>
  <c r="Q774" i="1"/>
  <c r="Q742" i="1"/>
  <c r="Q710" i="1"/>
  <c r="Q622" i="1"/>
  <c r="Q566" i="1"/>
  <c r="Q797" i="1"/>
  <c r="Q653" i="1"/>
  <c r="Q621" i="1"/>
  <c r="N109" i="1"/>
  <c r="Q436" i="1"/>
  <c r="N148" i="1"/>
  <c r="Q579" i="1"/>
  <c r="Q131" i="1"/>
  <c r="Q11" i="1"/>
  <c r="Q443" i="1"/>
  <c r="Q115" i="1"/>
  <c r="Q595" i="1"/>
  <c r="Q499" i="1"/>
  <c r="N435" i="1"/>
  <c r="Q763" i="1"/>
  <c r="Q761" i="1"/>
  <c r="Q810" i="1"/>
  <c r="Q754" i="1"/>
  <c r="Q522" i="1"/>
  <c r="Q498" i="1"/>
  <c r="N466" i="1"/>
  <c r="Q434" i="1"/>
  <c r="Q410" i="1"/>
  <c r="N330" i="1"/>
  <c r="N124" i="1"/>
  <c r="Q697" i="1"/>
  <c r="Q457" i="1"/>
  <c r="N345" i="1"/>
  <c r="Q692" i="1"/>
  <c r="Q500" i="1"/>
  <c r="Q79" i="1"/>
  <c r="Q736" i="1"/>
  <c r="N144" i="1"/>
  <c r="N38" i="1"/>
  <c r="Q764" i="1"/>
  <c r="Q549" i="1"/>
  <c r="Q646" i="1"/>
  <c r="Q494" i="1"/>
  <c r="Q404" i="1"/>
  <c r="Q533" i="1"/>
  <c r="Q779" i="1"/>
  <c r="Q507" i="1"/>
  <c r="Q403" i="1"/>
  <c r="Q227" i="1"/>
  <c r="Q664" i="1"/>
  <c r="Q578" i="1"/>
  <c r="Q546" i="1"/>
  <c r="Q833" i="1"/>
  <c r="Q753" i="1"/>
  <c r="Q721" i="1"/>
  <c r="Q609" i="1"/>
  <c r="Q489" i="1"/>
  <c r="Q808" i="1"/>
  <c r="Q560" i="1"/>
  <c r="N248" i="1"/>
  <c r="Q337" i="1"/>
  <c r="Q839" i="1"/>
  <c r="Q727" i="1"/>
  <c r="Q583" i="1"/>
  <c r="Q396" i="1"/>
  <c r="Q261" i="1"/>
  <c r="Q772" i="1"/>
  <c r="Q209" i="1"/>
  <c r="Q829" i="1"/>
  <c r="Q789" i="1"/>
  <c r="Q645" i="1"/>
  <c r="Q555" i="1"/>
  <c r="Q195" i="1"/>
  <c r="Q243" i="1"/>
  <c r="Q83" i="1"/>
  <c r="Q310" i="1"/>
  <c r="Q168" i="1"/>
  <c r="N266" i="1"/>
  <c r="N63" i="1"/>
  <c r="Q817" i="1"/>
  <c r="Q713" i="1"/>
  <c r="N257" i="1"/>
  <c r="N105" i="1"/>
  <c r="Q720" i="1"/>
  <c r="Q543" i="1"/>
  <c r="Q399" i="1"/>
  <c r="Q660" i="1"/>
  <c r="O396" i="1"/>
  <c r="P396" i="1" s="1"/>
  <c r="N326" i="1"/>
  <c r="Q821" i="1"/>
  <c r="Q773" i="1"/>
  <c r="Q701" i="1"/>
  <c r="Q637" i="1"/>
  <c r="N635" i="1"/>
  <c r="Q491" i="1"/>
  <c r="N419" i="1"/>
  <c r="Q331" i="1"/>
  <c r="O354" i="1"/>
  <c r="O442" i="1"/>
  <c r="P442" i="1" s="1"/>
  <c r="O418" i="1"/>
  <c r="P418" i="1" s="1"/>
  <c r="O375" i="1"/>
  <c r="P375" i="1" s="1"/>
  <c r="O207" i="1"/>
  <c r="P207" i="1" s="1"/>
  <c r="O586" i="1"/>
  <c r="O123" i="1"/>
  <c r="P123" i="1" s="1"/>
  <c r="O434" i="1"/>
  <c r="P434" i="1" s="1"/>
  <c r="O410" i="1"/>
  <c r="P410" i="1" s="1"/>
  <c r="O402" i="1"/>
  <c r="O610" i="1"/>
  <c r="Q192" i="1"/>
  <c r="N192" i="1"/>
  <c r="Q39" i="1"/>
  <c r="N39" i="1"/>
  <c r="O127" i="1"/>
  <c r="P127" i="1" s="1"/>
  <c r="O687" i="1"/>
  <c r="P687" i="1" s="1"/>
  <c r="N220" i="1"/>
  <c r="Q220" i="1"/>
  <c r="O459" i="1"/>
  <c r="O609" i="1"/>
  <c r="P609" i="1" s="1"/>
  <c r="N409" i="1"/>
  <c r="Q409" i="1"/>
  <c r="Q273" i="1"/>
  <c r="N273" i="1"/>
  <c r="N55" i="1"/>
  <c r="N119" i="1"/>
  <c r="N717" i="1"/>
  <c r="Q717" i="1"/>
  <c r="O168" i="1"/>
  <c r="P168" i="1" s="1"/>
  <c r="N401" i="1"/>
  <c r="Q401" i="1"/>
  <c r="O69" i="1"/>
  <c r="P69" i="1" s="1"/>
  <c r="Q444" i="1"/>
  <c r="O490" i="1"/>
  <c r="P490" i="1" s="1"/>
  <c r="N386" i="1"/>
  <c r="N314" i="1"/>
  <c r="N170" i="1"/>
  <c r="N82" i="1"/>
  <c r="N25" i="1"/>
  <c r="Q668" i="1"/>
  <c r="Q580" i="1"/>
  <c r="Q375" i="1"/>
  <c r="N777" i="1"/>
  <c r="Q777" i="1"/>
  <c r="Q665" i="1"/>
  <c r="N137" i="1"/>
  <c r="Q81" i="1"/>
  <c r="N81" i="1"/>
  <c r="O165" i="1"/>
  <c r="P165" i="1" s="1"/>
  <c r="Q5" i="1"/>
  <c r="N5" i="1"/>
  <c r="Q776" i="1"/>
  <c r="N712" i="1"/>
  <c r="Q712" i="1"/>
  <c r="N632" i="1"/>
  <c r="Q632" i="1"/>
  <c r="N472" i="1"/>
  <c r="Q472" i="1"/>
  <c r="N112" i="1"/>
  <c r="N412" i="1"/>
  <c r="Q412" i="1"/>
  <c r="O100" i="1"/>
  <c r="P100" i="1" s="1"/>
  <c r="O743" i="1"/>
  <c r="P743" i="1" s="1"/>
  <c r="N575" i="1"/>
  <c r="Q575" i="1"/>
  <c r="N479" i="1"/>
  <c r="Q479" i="1"/>
  <c r="Q359" i="1"/>
  <c r="N359" i="1"/>
  <c r="O215" i="1"/>
  <c r="N159" i="1"/>
  <c r="Q556" i="1"/>
  <c r="Q165" i="1"/>
  <c r="N790" i="1"/>
  <c r="Q790" i="1"/>
  <c r="N502" i="1"/>
  <c r="Q502" i="1"/>
  <c r="N382" i="1"/>
  <c r="N294" i="1"/>
  <c r="N644" i="1"/>
  <c r="Q644" i="1"/>
  <c r="Q837" i="1"/>
  <c r="N805" i="1"/>
  <c r="Q805" i="1"/>
  <c r="O445" i="1"/>
  <c r="P445" i="1" s="1"/>
  <c r="O436" i="1"/>
  <c r="P436" i="1" s="1"/>
  <c r="O43" i="1"/>
  <c r="N347" i="1"/>
  <c r="Q347" i="1"/>
  <c r="N3" i="1"/>
  <c r="N315" i="1"/>
  <c r="Q315" i="1"/>
  <c r="N155" i="1"/>
  <c r="Q354" i="1"/>
  <c r="O498" i="1"/>
  <c r="P498" i="1" s="1"/>
  <c r="N322" i="1"/>
  <c r="O209" i="1"/>
  <c r="P209" i="1" s="1"/>
  <c r="O164" i="1"/>
  <c r="N64" i="1"/>
  <c r="N468" i="1"/>
  <c r="Q468" i="1"/>
  <c r="N22" i="1"/>
  <c r="N564" i="1"/>
  <c r="Q564" i="1"/>
  <c r="N673" i="1"/>
  <c r="Q673" i="1"/>
  <c r="Q89" i="1"/>
  <c r="N89" i="1"/>
  <c r="Q128" i="1"/>
  <c r="N128" i="1"/>
  <c r="N647" i="1"/>
  <c r="Q647" i="1"/>
  <c r="N421" i="1"/>
  <c r="Q421" i="1"/>
  <c r="N427" i="1"/>
  <c r="O306" i="1"/>
  <c r="P306" i="1" s="1"/>
  <c r="O668" i="1"/>
  <c r="P668" i="1" s="1"/>
  <c r="O580" i="1"/>
  <c r="P580" i="1" s="1"/>
  <c r="Q136" i="1"/>
  <c r="N809" i="1"/>
  <c r="Q809" i="1"/>
  <c r="Q689" i="1"/>
  <c r="O665" i="1"/>
  <c r="P665" i="1" s="1"/>
  <c r="N553" i="1"/>
  <c r="Q553" i="1"/>
  <c r="O129" i="1"/>
  <c r="O37" i="1"/>
  <c r="P37" i="1" s="1"/>
  <c r="N380" i="1"/>
  <c r="Q380" i="1"/>
  <c r="O776" i="1"/>
  <c r="P776" i="1" s="1"/>
  <c r="N320" i="1"/>
  <c r="Q320" i="1"/>
  <c r="O671" i="1"/>
  <c r="Q151" i="1"/>
  <c r="N151" i="1"/>
  <c r="O814" i="1"/>
  <c r="P814" i="1" s="1"/>
  <c r="N726" i="1"/>
  <c r="Q726" i="1"/>
  <c r="N590" i="1"/>
  <c r="Q590" i="1"/>
  <c r="N446" i="1"/>
  <c r="Q446" i="1"/>
  <c r="N757" i="1"/>
  <c r="Q757" i="1"/>
  <c r="O677" i="1"/>
  <c r="P677" i="1" s="1"/>
  <c r="O261" i="1"/>
  <c r="P261" i="1" s="1"/>
  <c r="N795" i="1"/>
  <c r="Q795" i="1"/>
  <c r="N835" i="1"/>
  <c r="Q835" i="1"/>
  <c r="O147" i="1"/>
  <c r="P147" i="1" s="1"/>
  <c r="O391" i="1"/>
  <c r="Q239" i="1"/>
  <c r="N239" i="1"/>
  <c r="N571" i="1"/>
  <c r="Q571" i="1"/>
  <c r="O753" i="1"/>
  <c r="P753" i="1" s="1"/>
  <c r="N569" i="1"/>
  <c r="Q569" i="1"/>
  <c r="Q751" i="1"/>
  <c r="N629" i="1"/>
  <c r="Q629" i="1"/>
  <c r="N59" i="1"/>
  <c r="N371" i="1"/>
  <c r="N107" i="1"/>
  <c r="N602" i="1"/>
  <c r="Q602" i="1"/>
  <c r="N708" i="1"/>
  <c r="Q708" i="1"/>
  <c r="N785" i="1"/>
  <c r="Q785" i="1"/>
  <c r="O240" i="1"/>
  <c r="P240" i="1" s="1"/>
  <c r="N48" i="1"/>
  <c r="Q48" i="1"/>
  <c r="Q295" i="1"/>
  <c r="N295" i="1"/>
  <c r="N517" i="1"/>
  <c r="Q517" i="1"/>
  <c r="Q69" i="1"/>
  <c r="O834" i="1"/>
  <c r="P834" i="1" s="1"/>
  <c r="Q722" i="1"/>
  <c r="Q658" i="1"/>
  <c r="Q554" i="1"/>
  <c r="N378" i="1"/>
  <c r="N66" i="1"/>
  <c r="N476" i="1"/>
  <c r="Q476" i="1"/>
  <c r="Q737" i="1"/>
  <c r="N737" i="1"/>
  <c r="N657" i="1"/>
  <c r="Q657" i="1"/>
  <c r="N633" i="1"/>
  <c r="N305" i="1"/>
  <c r="Q305" i="1"/>
  <c r="N65" i="1"/>
  <c r="Q296" i="1"/>
  <c r="Q800" i="1"/>
  <c r="Q672" i="1"/>
  <c r="N568" i="1"/>
  <c r="Q568" i="1"/>
  <c r="N157" i="1"/>
  <c r="N799" i="1"/>
  <c r="Q799" i="1"/>
  <c r="O695" i="1"/>
  <c r="O663" i="1"/>
  <c r="P663" i="1" s="1"/>
  <c r="N511" i="1"/>
  <c r="Q511" i="1"/>
  <c r="N750" i="1"/>
  <c r="Q750" i="1"/>
  <c r="N526" i="1"/>
  <c r="Q526" i="1"/>
  <c r="O494" i="1"/>
  <c r="P494" i="1" s="1"/>
  <c r="N844" i="1"/>
  <c r="Q844" i="1"/>
  <c r="Q12" i="1"/>
  <c r="N12" i="1"/>
  <c r="O308" i="1"/>
  <c r="N843" i="1"/>
  <c r="Q843" i="1"/>
  <c r="O363" i="1"/>
  <c r="P363" i="1" s="1"/>
  <c r="N251" i="1"/>
  <c r="Q251" i="1"/>
  <c r="N731" i="1"/>
  <c r="N627" i="1"/>
  <c r="N203" i="1"/>
  <c r="Q203" i="1"/>
  <c r="Q123" i="1"/>
  <c r="Q338" i="1"/>
  <c r="Q793" i="1"/>
  <c r="O467" i="1"/>
  <c r="P467" i="1" s="1"/>
  <c r="N290" i="1"/>
  <c r="N748" i="1"/>
  <c r="Q748" i="1"/>
  <c r="N460" i="1"/>
  <c r="Q460" i="1"/>
  <c r="O302" i="1"/>
  <c r="P302" i="1" s="1"/>
  <c r="Q23" i="1"/>
  <c r="N23" i="1"/>
  <c r="N752" i="1"/>
  <c r="Q752" i="1"/>
  <c r="N716" i="1"/>
  <c r="Q716" i="1"/>
  <c r="O454" i="1"/>
  <c r="N699" i="1"/>
  <c r="O139" i="1"/>
  <c r="P139" i="1" s="1"/>
  <c r="O35" i="1"/>
  <c r="P35" i="1" s="1"/>
  <c r="Q762" i="1"/>
  <c r="Q698" i="1"/>
  <c r="Q634" i="1"/>
  <c r="O370" i="1"/>
  <c r="P370" i="1" s="1"/>
  <c r="O50" i="1"/>
  <c r="N729" i="1"/>
  <c r="Q729" i="1"/>
  <c r="N625" i="1"/>
  <c r="Q625" i="1"/>
  <c r="N545" i="1"/>
  <c r="Q545" i="1"/>
  <c r="N513" i="1"/>
  <c r="Q513" i="1"/>
  <c r="N449" i="1"/>
  <c r="Q449" i="1"/>
  <c r="Q417" i="1"/>
  <c r="Q113" i="1"/>
  <c r="N113" i="1"/>
  <c r="Q492" i="1"/>
  <c r="Q340" i="1"/>
  <c r="N340" i="1"/>
  <c r="N832" i="1"/>
  <c r="Q832" i="1"/>
  <c r="O800" i="1"/>
  <c r="P800" i="1" s="1"/>
  <c r="O672" i="1"/>
  <c r="P672" i="1" s="1"/>
  <c r="Q616" i="1"/>
  <c r="Q264" i="1"/>
  <c r="N264" i="1"/>
  <c r="O101" i="1"/>
  <c r="O324" i="1"/>
  <c r="P324" i="1" s="1"/>
  <c r="O52" i="1"/>
  <c r="P52" i="1" s="1"/>
  <c r="N823" i="1"/>
  <c r="Q823" i="1"/>
  <c r="N431" i="1"/>
  <c r="Q431" i="1"/>
  <c r="O199" i="1"/>
  <c r="P199" i="1" s="1"/>
  <c r="O838" i="1"/>
  <c r="P838" i="1" s="1"/>
  <c r="N686" i="1"/>
  <c r="Q686" i="1"/>
  <c r="Q414" i="1"/>
  <c r="N414" i="1"/>
  <c r="N452" i="1"/>
  <c r="Q452" i="1"/>
  <c r="Q93" i="1"/>
  <c r="N669" i="1"/>
  <c r="Q669" i="1"/>
  <c r="N469" i="1"/>
  <c r="Q469" i="1"/>
  <c r="N229" i="1"/>
  <c r="Q229" i="1"/>
  <c r="O99" i="1"/>
  <c r="N587" i="1"/>
  <c r="Q587" i="1"/>
  <c r="O403" i="1"/>
  <c r="P403" i="1" s="1"/>
  <c r="O603" i="1"/>
  <c r="P603" i="1" s="1"/>
  <c r="N387" i="1"/>
  <c r="Q387" i="1"/>
  <c r="Q299" i="1"/>
  <c r="Q282" i="1"/>
  <c r="O75" i="1"/>
  <c r="P75" i="1" s="1"/>
  <c r="N473" i="1"/>
  <c r="Q473" i="1"/>
  <c r="O679" i="1"/>
  <c r="P679" i="1" s="1"/>
  <c r="N303" i="1"/>
  <c r="N31" i="1"/>
  <c r="O156" i="1"/>
  <c r="N656" i="1"/>
  <c r="Q656" i="1"/>
  <c r="N480" i="1"/>
  <c r="Q480" i="1"/>
  <c r="O623" i="1"/>
  <c r="N551" i="1"/>
  <c r="Q551" i="1"/>
  <c r="O709" i="1"/>
  <c r="P709" i="1" s="1"/>
  <c r="Q826" i="1"/>
  <c r="Q441" i="1"/>
  <c r="Q802" i="1"/>
  <c r="Q738" i="1"/>
  <c r="Q674" i="1"/>
  <c r="Q610" i="1"/>
  <c r="Q570" i="1"/>
  <c r="O506" i="1"/>
  <c r="P506" i="1" s="1"/>
  <c r="N450" i="1"/>
  <c r="N202" i="1"/>
  <c r="N57" i="1"/>
  <c r="N21" i="1"/>
  <c r="Q756" i="1"/>
  <c r="O628" i="1"/>
  <c r="Q342" i="1"/>
  <c r="N617" i="1"/>
  <c r="Q617" i="1"/>
  <c r="N537" i="1"/>
  <c r="Q537" i="1"/>
  <c r="N481" i="1"/>
  <c r="Q481" i="1"/>
  <c r="N225" i="1"/>
  <c r="Q153" i="1"/>
  <c r="N153" i="1"/>
  <c r="Q33" i="1"/>
  <c r="N33" i="1"/>
  <c r="N125" i="1"/>
  <c r="Q596" i="1"/>
  <c r="N824" i="1"/>
  <c r="Q824" i="1"/>
  <c r="N696" i="1"/>
  <c r="Q696" i="1"/>
  <c r="Q488" i="1"/>
  <c r="N416" i="1"/>
  <c r="Q416" i="1"/>
  <c r="N200" i="1"/>
  <c r="N325" i="1"/>
  <c r="Q325" i="1"/>
  <c r="Q655" i="1"/>
  <c r="N591" i="1"/>
  <c r="Q591" i="1"/>
  <c r="N503" i="1"/>
  <c r="Q503" i="1"/>
  <c r="N455" i="1"/>
  <c r="Q455" i="1"/>
  <c r="N247" i="1"/>
  <c r="O135" i="1"/>
  <c r="P135" i="1" s="1"/>
  <c r="Q430" i="1"/>
  <c r="O310" i="1"/>
  <c r="Q332" i="1"/>
  <c r="N661" i="1"/>
  <c r="Q661" i="1"/>
  <c r="Q605" i="1"/>
  <c r="N493" i="1"/>
  <c r="Q493" i="1"/>
  <c r="Q397" i="1"/>
  <c r="Q398" i="1"/>
  <c r="O683" i="1"/>
  <c r="P683" i="1" s="1"/>
  <c r="Q67" i="1"/>
  <c r="N395" i="1"/>
  <c r="P291" i="1"/>
  <c r="N531" i="1"/>
  <c r="Q531" i="1"/>
  <c r="N475" i="1"/>
  <c r="Q475" i="1"/>
  <c r="N675" i="1"/>
  <c r="Q104" i="1"/>
  <c r="N577" i="1"/>
  <c r="Q577" i="1"/>
  <c r="O85" i="1"/>
  <c r="P85" i="1" s="1"/>
  <c r="Q548" i="1"/>
  <c r="Q768" i="1"/>
  <c r="O576" i="1"/>
  <c r="P576" i="1" s="1"/>
  <c r="Q440" i="1"/>
  <c r="Q676" i="1"/>
  <c r="Q156" i="1"/>
  <c r="Q831" i="1"/>
  <c r="Q767" i="1"/>
  <c r="Q743" i="1"/>
  <c r="Q623" i="1"/>
  <c r="Q519" i="1"/>
  <c r="Q463" i="1"/>
  <c r="Q508" i="1"/>
  <c r="Q256" i="1"/>
  <c r="Q758" i="1"/>
  <c r="Q694" i="1"/>
  <c r="Q558" i="1"/>
  <c r="Q534" i="1"/>
  <c r="Q588" i="1"/>
  <c r="Q324" i="1"/>
  <c r="Q765" i="1"/>
  <c r="Q709" i="1"/>
  <c r="Q677" i="1"/>
  <c r="Q461" i="1"/>
  <c r="Q389" i="1"/>
  <c r="N372" i="1"/>
  <c r="Q372" i="1"/>
  <c r="Q723" i="1"/>
  <c r="Q363" i="1"/>
  <c r="Q739" i="1"/>
  <c r="Q467" i="1"/>
  <c r="Q235" i="1"/>
  <c r="Q35" i="1"/>
  <c r="Q740" i="1"/>
  <c r="Q619" i="1"/>
  <c r="Q563" i="1"/>
  <c r="Q339" i="1"/>
  <c r="Q651" i="1"/>
  <c r="Q603" i="1"/>
  <c r="Q459" i="1"/>
  <c r="Q259" i="1"/>
  <c r="Q147" i="1"/>
  <c r="N186" i="1"/>
  <c r="N73" i="1"/>
  <c r="N15" i="1"/>
  <c r="Q681" i="1"/>
  <c r="Q641" i="1"/>
  <c r="Q521" i="1"/>
  <c r="N321" i="1"/>
  <c r="N97" i="1"/>
  <c r="Q636" i="1"/>
  <c r="Q624" i="1"/>
  <c r="Q608" i="1"/>
  <c r="Q592" i="1"/>
  <c r="Q456" i="1"/>
  <c r="Q392" i="1"/>
  <c r="Q780" i="1"/>
  <c r="Q572" i="1"/>
  <c r="Q807" i="1"/>
  <c r="Q695" i="1"/>
  <c r="Q679" i="1"/>
  <c r="Q663" i="1"/>
  <c r="Q559" i="1"/>
  <c r="N495" i="1"/>
  <c r="Q495" i="1"/>
  <c r="Q439" i="1"/>
  <c r="Q391" i="1"/>
  <c r="Q822" i="1"/>
  <c r="Q798" i="1"/>
  <c r="Q734" i="1"/>
  <c r="Q670" i="1"/>
  <c r="Q510" i="1"/>
  <c r="Q438" i="1"/>
  <c r="Q422" i="1"/>
  <c r="Q406" i="1"/>
  <c r="N286" i="1"/>
  <c r="Q724" i="1"/>
  <c r="N364" i="1"/>
  <c r="Q364" i="1"/>
  <c r="Q725" i="1"/>
  <c r="Q525" i="1"/>
  <c r="Q477" i="1"/>
  <c r="Q732" i="1"/>
  <c r="Q283" i="1"/>
  <c r="Q99" i="1"/>
  <c r="Q291" i="1"/>
  <c r="Q139" i="1"/>
  <c r="Q827" i="1"/>
  <c r="Q691" i="1"/>
  <c r="Q707" i="1"/>
  <c r="Q19" i="1"/>
  <c r="O47" i="1"/>
  <c r="Q620" i="1"/>
  <c r="Q68" i="1"/>
  <c r="N652" i="1"/>
  <c r="Q652" i="1"/>
  <c r="N7" i="1"/>
  <c r="Q7" i="1"/>
  <c r="N132" i="1"/>
  <c r="O478" i="1"/>
  <c r="P478" i="1" s="1"/>
  <c r="N53" i="1"/>
  <c r="Q453" i="1"/>
  <c r="N277" i="1"/>
  <c r="Q277" i="1"/>
  <c r="N91" i="1"/>
  <c r="N593" i="1"/>
  <c r="N561" i="1"/>
  <c r="Q561" i="1"/>
  <c r="N241" i="1"/>
  <c r="O560" i="1"/>
  <c r="P560" i="1" s="1"/>
  <c r="N208" i="1"/>
  <c r="O509" i="1"/>
  <c r="P509" i="1" s="1"/>
  <c r="O184" i="1"/>
  <c r="P184" i="1" s="1"/>
  <c r="O46" i="1"/>
  <c r="P46" i="1" s="1"/>
  <c r="O385" i="1"/>
  <c r="P385" i="1" s="1"/>
  <c r="O221" i="1"/>
  <c r="P221" i="1" s="1"/>
  <c r="O361" i="1"/>
  <c r="P361" i="1" s="1"/>
  <c r="O166" i="1"/>
  <c r="P166" i="1" s="1"/>
  <c r="O253" i="1"/>
  <c r="P253" i="1" s="1"/>
  <c r="V316" i="1"/>
  <c r="V372" i="1"/>
  <c r="V436" i="1"/>
  <c r="V333" i="1"/>
  <c r="V389" i="1"/>
  <c r="V445" i="1"/>
  <c r="V493" i="1"/>
  <c r="V525" i="1"/>
  <c r="V565" i="1"/>
  <c r="V597" i="1"/>
  <c r="V629" i="1"/>
  <c r="V669" i="1"/>
  <c r="V701" i="1"/>
  <c r="V749" i="1"/>
  <c r="V797" i="1"/>
  <c r="V302" i="1"/>
  <c r="V318" i="1"/>
  <c r="V326" i="1"/>
  <c r="V334" i="1"/>
  <c r="V342" i="1"/>
  <c r="V350" i="1"/>
  <c r="V358" i="1"/>
  <c r="V366" i="1"/>
  <c r="V374" i="1"/>
  <c r="V382" i="1"/>
  <c r="V390" i="1"/>
  <c r="V398" i="1"/>
  <c r="V406" i="1"/>
  <c r="V414" i="1"/>
  <c r="V422" i="1"/>
  <c r="V430" i="1"/>
  <c r="V438" i="1"/>
  <c r="V446" i="1"/>
  <c r="V454" i="1"/>
  <c r="V462" i="1"/>
  <c r="V470" i="1"/>
  <c r="V478" i="1"/>
  <c r="V486" i="1"/>
  <c r="V494" i="1"/>
  <c r="V502" i="1"/>
  <c r="V510" i="1"/>
  <c r="V518" i="1"/>
  <c r="V526" i="1"/>
  <c r="V534" i="1"/>
  <c r="V542" i="1"/>
  <c r="V550" i="1"/>
  <c r="V558" i="1"/>
  <c r="V566" i="1"/>
  <c r="V574" i="1"/>
  <c r="V582" i="1"/>
  <c r="V590" i="1"/>
  <c r="V598" i="1"/>
  <c r="V606" i="1"/>
  <c r="V614" i="1"/>
  <c r="V622" i="1"/>
  <c r="V630" i="1"/>
  <c r="V638" i="1"/>
  <c r="V646" i="1"/>
  <c r="V654" i="1"/>
  <c r="V662" i="1"/>
  <c r="V670" i="1"/>
  <c r="V678" i="1"/>
  <c r="V686" i="1"/>
  <c r="V694" i="1"/>
  <c r="V702" i="1"/>
  <c r="V710" i="1"/>
  <c r="V718" i="1"/>
  <c r="V726" i="1"/>
  <c r="V734" i="1"/>
  <c r="V742" i="1"/>
  <c r="V750" i="1"/>
  <c r="V758" i="1"/>
  <c r="V766" i="1"/>
  <c r="V774" i="1"/>
  <c r="V782" i="1"/>
  <c r="V790" i="1"/>
  <c r="V798" i="1"/>
  <c r="V806" i="1"/>
  <c r="V814" i="1"/>
  <c r="V822" i="1"/>
  <c r="V830" i="1"/>
  <c r="V838" i="1"/>
  <c r="V356" i="1"/>
  <c r="V404" i="1"/>
  <c r="V317" i="1"/>
  <c r="V357" i="1"/>
  <c r="V397" i="1"/>
  <c r="V429" i="1"/>
  <c r="V469" i="1"/>
  <c r="V509" i="1"/>
  <c r="V533" i="1"/>
  <c r="V557" i="1"/>
  <c r="V605" i="1"/>
  <c r="V653" i="1"/>
  <c r="V821" i="1"/>
  <c r="V310" i="1"/>
  <c r="V303" i="1"/>
  <c r="V311" i="1"/>
  <c r="V319" i="1"/>
  <c r="V327" i="1"/>
  <c r="V335" i="1"/>
  <c r="V343" i="1"/>
  <c r="V351" i="1"/>
  <c r="V359" i="1"/>
  <c r="V367" i="1"/>
  <c r="V375" i="1"/>
  <c r="V383" i="1"/>
  <c r="V391" i="1"/>
  <c r="V399" i="1"/>
  <c r="V407" i="1"/>
  <c r="V415" i="1"/>
  <c r="V423" i="1"/>
  <c r="V431" i="1"/>
  <c r="V439" i="1"/>
  <c r="V447" i="1"/>
  <c r="V455" i="1"/>
  <c r="V463" i="1"/>
  <c r="V471" i="1"/>
  <c r="V479" i="1"/>
  <c r="V324" i="1"/>
  <c r="V380" i="1"/>
  <c r="V428" i="1"/>
  <c r="V349" i="1"/>
  <c r="V405" i="1"/>
  <c r="V453" i="1"/>
  <c r="V501" i="1"/>
  <c r="V541" i="1"/>
  <c r="V589" i="1"/>
  <c r="V637" i="1"/>
  <c r="V685" i="1"/>
  <c r="V717" i="1"/>
  <c r="V757" i="1"/>
  <c r="V813" i="1"/>
  <c r="V304" i="1"/>
  <c r="V312" i="1"/>
  <c r="V320" i="1"/>
  <c r="V328" i="1"/>
  <c r="V336" i="1"/>
  <c r="V344" i="1"/>
  <c r="V352" i="1"/>
  <c r="V360" i="1"/>
  <c r="V368" i="1"/>
  <c r="V376" i="1"/>
  <c r="V384" i="1"/>
  <c r="V392" i="1"/>
  <c r="V400" i="1"/>
  <c r="V408" i="1"/>
  <c r="V416" i="1"/>
  <c r="V424" i="1"/>
  <c r="V432" i="1"/>
  <c r="V440" i="1"/>
  <c r="V448" i="1"/>
  <c r="V456" i="1"/>
  <c r="V464" i="1"/>
  <c r="V472" i="1"/>
  <c r="V480" i="1"/>
  <c r="V488" i="1"/>
  <c r="V496" i="1"/>
  <c r="V504" i="1"/>
  <c r="V512" i="1"/>
  <c r="V520" i="1"/>
  <c r="V528" i="1"/>
  <c r="V536" i="1"/>
  <c r="V544" i="1"/>
  <c r="V552" i="1"/>
  <c r="V560" i="1"/>
  <c r="V308" i="1"/>
  <c r="V348" i="1"/>
  <c r="V388" i="1"/>
  <c r="V420" i="1"/>
  <c r="V301" i="1"/>
  <c r="V341" i="1"/>
  <c r="V373" i="1"/>
  <c r="V413" i="1"/>
  <c r="V437" i="1"/>
  <c r="V485" i="1"/>
  <c r="V677" i="1"/>
  <c r="V733" i="1"/>
  <c r="V305" i="1"/>
  <c r="V313" i="1"/>
  <c r="V321" i="1"/>
  <c r="V329" i="1"/>
  <c r="V337" i="1"/>
  <c r="V345" i="1"/>
  <c r="V353" i="1"/>
  <c r="V361" i="1"/>
  <c r="V369" i="1"/>
  <c r="V377" i="1"/>
  <c r="V385" i="1"/>
  <c r="V393" i="1"/>
  <c r="V401" i="1"/>
  <c r="V409" i="1"/>
  <c r="V417" i="1"/>
  <c r="V425" i="1"/>
  <c r="V433" i="1"/>
  <c r="V441" i="1"/>
  <c r="V449" i="1"/>
  <c r="V457" i="1"/>
  <c r="V465" i="1"/>
  <c r="V473" i="1"/>
  <c r="V481" i="1"/>
  <c r="V489" i="1"/>
  <c r="V497" i="1"/>
  <c r="V505" i="1"/>
  <c r="V513" i="1"/>
  <c r="V521" i="1"/>
  <c r="V529" i="1"/>
  <c r="V537" i="1"/>
  <c r="V545" i="1"/>
  <c r="V553" i="1"/>
  <c r="V561" i="1"/>
  <c r="V569" i="1"/>
  <c r="V577" i="1"/>
  <c r="V585" i="1"/>
  <c r="V593" i="1"/>
  <c r="V601" i="1"/>
  <c r="V609" i="1"/>
  <c r="V617" i="1"/>
  <c r="V625" i="1"/>
  <c r="V633" i="1"/>
  <c r="V641" i="1"/>
  <c r="V649" i="1"/>
  <c r="V657" i="1"/>
  <c r="V665" i="1"/>
  <c r="V673" i="1"/>
  <c r="V681" i="1"/>
  <c r="V689" i="1"/>
  <c r="V697" i="1"/>
  <c r="V332" i="1"/>
  <c r="V364" i="1"/>
  <c r="V412" i="1"/>
  <c r="V309" i="1"/>
  <c r="V381" i="1"/>
  <c r="V461" i="1"/>
  <c r="V517" i="1"/>
  <c r="V549" i="1"/>
  <c r="V613" i="1"/>
  <c r="V661" i="1"/>
  <c r="V693" i="1"/>
  <c r="V725" i="1"/>
  <c r="V781" i="1"/>
  <c r="V805" i="1"/>
  <c r="V306" i="1"/>
  <c r="V314" i="1"/>
  <c r="V322" i="1"/>
  <c r="V330" i="1"/>
  <c r="V338" i="1"/>
  <c r="V346" i="1"/>
  <c r="V354" i="1"/>
  <c r="V362" i="1"/>
  <c r="V370" i="1"/>
  <c r="V378" i="1"/>
  <c r="V386" i="1"/>
  <c r="V394" i="1"/>
  <c r="V402" i="1"/>
  <c r="V410" i="1"/>
  <c r="V418" i="1"/>
  <c r="V426" i="1"/>
  <c r="V434" i="1"/>
  <c r="V442" i="1"/>
  <c r="V450" i="1"/>
  <c r="V458" i="1"/>
  <c r="V466" i="1"/>
  <c r="V474" i="1"/>
  <c r="V482" i="1"/>
  <c r="V490" i="1"/>
  <c r="V498" i="1"/>
  <c r="V506" i="1"/>
  <c r="V514" i="1"/>
  <c r="V340" i="1"/>
  <c r="V396" i="1"/>
  <c r="V325" i="1"/>
  <c r="V365" i="1"/>
  <c r="V421" i="1"/>
  <c r="V477" i="1"/>
  <c r="V621" i="1"/>
  <c r="V741" i="1"/>
  <c r="V765" i="1"/>
  <c r="V789" i="1"/>
  <c r="V829" i="1"/>
  <c r="V307" i="1"/>
  <c r="V487" i="1"/>
  <c r="V495" i="1"/>
  <c r="V503" i="1"/>
  <c r="V511" i="1"/>
  <c r="V519" i="1"/>
  <c r="V527" i="1"/>
  <c r="V535" i="1"/>
  <c r="V543" i="1"/>
  <c r="V551" i="1"/>
  <c r="V559" i="1"/>
  <c r="V567" i="1"/>
  <c r="V575" i="1"/>
  <c r="V583" i="1"/>
  <c r="V591" i="1"/>
  <c r="V599" i="1"/>
  <c r="V607" i="1"/>
  <c r="V615" i="1"/>
  <c r="V623" i="1"/>
  <c r="V631" i="1"/>
  <c r="V639" i="1"/>
  <c r="V647" i="1"/>
  <c r="V655" i="1"/>
  <c r="V663" i="1"/>
  <c r="V671" i="1"/>
  <c r="V679" i="1"/>
  <c r="V687" i="1"/>
  <c r="V695" i="1"/>
  <c r="V703" i="1"/>
  <c r="V711" i="1"/>
  <c r="V719" i="1"/>
  <c r="V727" i="1"/>
  <c r="V735" i="1"/>
  <c r="V743" i="1"/>
  <c r="V751" i="1"/>
  <c r="V759" i="1"/>
  <c r="V767" i="1"/>
  <c r="V775" i="1"/>
  <c r="V783" i="1"/>
  <c r="V791" i="1"/>
  <c r="V799" i="1"/>
  <c r="V807" i="1"/>
  <c r="V815" i="1"/>
  <c r="V823" i="1"/>
  <c r="V831" i="1"/>
  <c r="V839" i="1"/>
  <c r="V568" i="1"/>
  <c r="V576" i="1"/>
  <c r="V584" i="1"/>
  <c r="V592" i="1"/>
  <c r="V600" i="1"/>
  <c r="V608" i="1"/>
  <c r="V616" i="1"/>
  <c r="V624" i="1"/>
  <c r="V632" i="1"/>
  <c r="V640" i="1"/>
  <c r="V648" i="1"/>
  <c r="V656" i="1"/>
  <c r="V664" i="1"/>
  <c r="V672" i="1"/>
  <c r="V680" i="1"/>
  <c r="V688" i="1"/>
  <c r="V696" i="1"/>
  <c r="V704" i="1"/>
  <c r="V712" i="1"/>
  <c r="V720" i="1"/>
  <c r="V728" i="1"/>
  <c r="V736" i="1"/>
  <c r="V744" i="1"/>
  <c r="V752" i="1"/>
  <c r="V760" i="1"/>
  <c r="V768" i="1"/>
  <c r="V776" i="1"/>
  <c r="V784" i="1"/>
  <c r="V792" i="1"/>
  <c r="V800" i="1"/>
  <c r="V808" i="1"/>
  <c r="V816" i="1"/>
  <c r="V824" i="1"/>
  <c r="V832" i="1"/>
  <c r="V840" i="1"/>
  <c r="V705" i="1"/>
  <c r="V713" i="1"/>
  <c r="V721" i="1"/>
  <c r="V729" i="1"/>
  <c r="V737" i="1"/>
  <c r="V745" i="1"/>
  <c r="V753" i="1"/>
  <c r="V761" i="1"/>
  <c r="V769" i="1"/>
  <c r="V777" i="1"/>
  <c r="V785" i="1"/>
  <c r="V793" i="1"/>
  <c r="V801" i="1"/>
  <c r="V809" i="1"/>
  <c r="V817" i="1"/>
  <c r="V825" i="1"/>
  <c r="V833" i="1"/>
  <c r="V841" i="1"/>
  <c r="V522" i="1"/>
  <c r="V530" i="1"/>
  <c r="V538" i="1"/>
  <c r="V546" i="1"/>
  <c r="V554" i="1"/>
  <c r="V562" i="1"/>
  <c r="V570" i="1"/>
  <c r="V578" i="1"/>
  <c r="V586" i="1"/>
  <c r="V594" i="1"/>
  <c r="V602" i="1"/>
  <c r="V610" i="1"/>
  <c r="V618" i="1"/>
  <c r="V626" i="1"/>
  <c r="V634" i="1"/>
  <c r="V642" i="1"/>
  <c r="V650" i="1"/>
  <c r="V658" i="1"/>
  <c r="V666" i="1"/>
  <c r="V674" i="1"/>
  <c r="V682" i="1"/>
  <c r="V690" i="1"/>
  <c r="V698" i="1"/>
  <c r="V706" i="1"/>
  <c r="V714" i="1"/>
  <c r="V722" i="1"/>
  <c r="V730" i="1"/>
  <c r="V738" i="1"/>
  <c r="V746" i="1"/>
  <c r="V754" i="1"/>
  <c r="V762" i="1"/>
  <c r="V770" i="1"/>
  <c r="V778" i="1"/>
  <c r="V786" i="1"/>
  <c r="V794" i="1"/>
  <c r="V802" i="1"/>
  <c r="V810" i="1"/>
  <c r="V818" i="1"/>
  <c r="V826" i="1"/>
  <c r="V834" i="1"/>
  <c r="V842" i="1"/>
  <c r="V315" i="1"/>
  <c r="V323" i="1"/>
  <c r="V331" i="1"/>
  <c r="V339" i="1"/>
  <c r="V347" i="1"/>
  <c r="V355" i="1"/>
  <c r="V363" i="1"/>
  <c r="V371" i="1"/>
  <c r="V379" i="1"/>
  <c r="V387" i="1"/>
  <c r="V395" i="1"/>
  <c r="V403" i="1"/>
  <c r="V411" i="1"/>
  <c r="V419" i="1"/>
  <c r="V427" i="1"/>
  <c r="V435" i="1"/>
  <c r="V443" i="1"/>
  <c r="V451" i="1"/>
  <c r="V459" i="1"/>
  <c r="V467" i="1"/>
  <c r="V475" i="1"/>
  <c r="V483" i="1"/>
  <c r="V491" i="1"/>
  <c r="V499" i="1"/>
  <c r="V507" i="1"/>
  <c r="V515" i="1"/>
  <c r="V523" i="1"/>
  <c r="V531" i="1"/>
  <c r="V539" i="1"/>
  <c r="V547" i="1"/>
  <c r="V555" i="1"/>
  <c r="V563" i="1"/>
  <c r="V571" i="1"/>
  <c r="V579" i="1"/>
  <c r="V587" i="1"/>
  <c r="V595" i="1"/>
  <c r="V603" i="1"/>
  <c r="V611" i="1"/>
  <c r="V619" i="1"/>
  <c r="V627" i="1"/>
  <c r="V635" i="1"/>
  <c r="V643" i="1"/>
  <c r="V651" i="1"/>
  <c r="V659" i="1"/>
  <c r="V667" i="1"/>
  <c r="V675" i="1"/>
  <c r="V683" i="1"/>
  <c r="V691" i="1"/>
  <c r="V699" i="1"/>
  <c r="V707" i="1"/>
  <c r="V715" i="1"/>
  <c r="V723" i="1"/>
  <c r="V731" i="1"/>
  <c r="V739" i="1"/>
  <c r="V747" i="1"/>
  <c r="V755" i="1"/>
  <c r="V763" i="1"/>
  <c r="V771" i="1"/>
  <c r="V779" i="1"/>
  <c r="V787" i="1"/>
  <c r="V795" i="1"/>
  <c r="V803" i="1"/>
  <c r="V811" i="1"/>
  <c r="V819" i="1"/>
  <c r="V827" i="1"/>
  <c r="V835" i="1"/>
  <c r="V843" i="1"/>
  <c r="V444" i="1"/>
  <c r="V452" i="1"/>
  <c r="V460" i="1"/>
  <c r="V468" i="1"/>
  <c r="V476" i="1"/>
  <c r="V484" i="1"/>
  <c r="V492" i="1"/>
  <c r="V500" i="1"/>
  <c r="V508" i="1"/>
  <c r="V516" i="1"/>
  <c r="V524" i="1"/>
  <c r="V532" i="1"/>
  <c r="V540" i="1"/>
  <c r="V548" i="1"/>
  <c r="V556" i="1"/>
  <c r="V564" i="1"/>
  <c r="V572" i="1"/>
  <c r="V580" i="1"/>
  <c r="V588" i="1"/>
  <c r="V596" i="1"/>
  <c r="V604" i="1"/>
  <c r="V612" i="1"/>
  <c r="V620" i="1"/>
  <c r="V628" i="1"/>
  <c r="V636" i="1"/>
  <c r="V644" i="1"/>
  <c r="V652" i="1"/>
  <c r="V660" i="1"/>
  <c r="V668" i="1"/>
  <c r="V676" i="1"/>
  <c r="V684" i="1"/>
  <c r="V692" i="1"/>
  <c r="V700" i="1"/>
  <c r="V708" i="1"/>
  <c r="V716" i="1"/>
  <c r="V724" i="1"/>
  <c r="V732" i="1"/>
  <c r="V740" i="1"/>
  <c r="V748" i="1"/>
  <c r="V756" i="1"/>
  <c r="V764" i="1"/>
  <c r="V772" i="1"/>
  <c r="V780" i="1"/>
  <c r="V788" i="1"/>
  <c r="V796" i="1"/>
  <c r="V804" i="1"/>
  <c r="V812" i="1"/>
  <c r="V820" i="1"/>
  <c r="V828" i="1"/>
  <c r="V836" i="1"/>
  <c r="V844" i="1"/>
  <c r="V27" i="1"/>
  <c r="V67" i="1"/>
  <c r="V115" i="1"/>
  <c r="V211" i="1"/>
  <c r="V291" i="1"/>
  <c r="V4" i="1"/>
  <c r="V12" i="1"/>
  <c r="V20" i="1"/>
  <c r="V28" i="1"/>
  <c r="V36" i="1"/>
  <c r="V44" i="1"/>
  <c r="V52" i="1"/>
  <c r="V60" i="1"/>
  <c r="V68" i="1"/>
  <c r="V76" i="1"/>
  <c r="V84" i="1"/>
  <c r="V92" i="1"/>
  <c r="V100" i="1"/>
  <c r="V108" i="1"/>
  <c r="V116" i="1"/>
  <c r="V124" i="1"/>
  <c r="V132" i="1"/>
  <c r="V140" i="1"/>
  <c r="V148" i="1"/>
  <c r="V180" i="1"/>
  <c r="V252" i="1"/>
  <c r="V260" i="1"/>
  <c r="V268" i="1"/>
  <c r="V276" i="1"/>
  <c r="V284" i="1"/>
  <c r="V292" i="1"/>
  <c r="V300" i="1"/>
  <c r="V19" i="1"/>
  <c r="V91" i="1"/>
  <c r="V131" i="1"/>
  <c r="V227" i="1"/>
  <c r="V259" i="1"/>
  <c r="V229" i="1"/>
  <c r="V237" i="1"/>
  <c r="V245" i="1"/>
  <c r="V261" i="1"/>
  <c r="V269" i="1"/>
  <c r="V277" i="1"/>
  <c r="V285" i="1"/>
  <c r="V293" i="1"/>
  <c r="V43" i="1"/>
  <c r="V99" i="1"/>
  <c r="V267" i="1"/>
  <c r="V14" i="1"/>
  <c r="V30" i="1"/>
  <c r="V46" i="1"/>
  <c r="V62" i="1"/>
  <c r="V78" i="1"/>
  <c r="V94" i="1"/>
  <c r="V110" i="1"/>
  <c r="V118" i="1"/>
  <c r="V126" i="1"/>
  <c r="V134" i="1"/>
  <c r="V142" i="1"/>
  <c r="V150" i="1"/>
  <c r="V166" i="1"/>
  <c r="V182" i="1"/>
  <c r="V246" i="1"/>
  <c r="V254" i="1"/>
  <c r="V270" i="1"/>
  <c r="V278" i="1"/>
  <c r="V286" i="1"/>
  <c r="V294" i="1"/>
  <c r="V35" i="1"/>
  <c r="V83" i="1"/>
  <c r="V147" i="1"/>
  <c r="V275" i="1"/>
  <c r="V6" i="1"/>
  <c r="V22" i="1"/>
  <c r="V38" i="1"/>
  <c r="V54" i="1"/>
  <c r="V70" i="1"/>
  <c r="V86" i="1"/>
  <c r="V102" i="1"/>
  <c r="V7" i="1"/>
  <c r="V15" i="1"/>
  <c r="V23" i="1"/>
  <c r="V31" i="1"/>
  <c r="V39" i="1"/>
  <c r="V47" i="1"/>
  <c r="V55" i="1"/>
  <c r="V63" i="1"/>
  <c r="V71" i="1"/>
  <c r="V79" i="1"/>
  <c r="V87" i="1"/>
  <c r="V95" i="1"/>
  <c r="V103" i="1"/>
  <c r="V111" i="1"/>
  <c r="V119" i="1"/>
  <c r="V127" i="1"/>
  <c r="V135" i="1"/>
  <c r="V143" i="1"/>
  <c r="V151" i="1"/>
  <c r="V183" i="1"/>
  <c r="V231" i="1"/>
  <c r="V239" i="1"/>
  <c r="V247" i="1"/>
  <c r="V255" i="1"/>
  <c r="V263" i="1"/>
  <c r="V271" i="1"/>
  <c r="V279" i="1"/>
  <c r="V287" i="1"/>
  <c r="V295" i="1"/>
  <c r="V11" i="1"/>
  <c r="V59" i="1"/>
  <c r="V107" i="1"/>
  <c r="V139" i="1"/>
  <c r="V179" i="1"/>
  <c r="V235" i="1"/>
  <c r="V299" i="1"/>
  <c r="V8" i="1"/>
  <c r="V24" i="1"/>
  <c r="V40" i="1"/>
  <c r="V56" i="1"/>
  <c r="V72" i="1"/>
  <c r="V88" i="1"/>
  <c r="V104" i="1"/>
  <c r="V120" i="1"/>
  <c r="V144" i="1"/>
  <c r="V248" i="1"/>
  <c r="V256" i="1"/>
  <c r="V272" i="1"/>
  <c r="V288" i="1"/>
  <c r="V9" i="1"/>
  <c r="V25" i="1"/>
  <c r="V49" i="1"/>
  <c r="V65" i="1"/>
  <c r="V81" i="1"/>
  <c r="V97" i="1"/>
  <c r="V105" i="1"/>
  <c r="V113" i="1"/>
  <c r="V121" i="1"/>
  <c r="V129" i="1"/>
  <c r="V137" i="1"/>
  <c r="V145" i="1"/>
  <c r="V161" i="1"/>
  <c r="V209" i="1"/>
  <c r="V233" i="1"/>
  <c r="V241" i="1"/>
  <c r="V257" i="1"/>
  <c r="V265" i="1"/>
  <c r="V273" i="1"/>
  <c r="V281" i="1"/>
  <c r="V289" i="1"/>
  <c r="V297" i="1"/>
  <c r="V3" i="1"/>
  <c r="V51" i="1"/>
  <c r="V75" i="1"/>
  <c r="V123" i="1"/>
  <c r="V283" i="1"/>
  <c r="V16" i="1"/>
  <c r="V32" i="1"/>
  <c r="V48" i="1"/>
  <c r="V64" i="1"/>
  <c r="V80" i="1"/>
  <c r="V96" i="1"/>
  <c r="V112" i="1"/>
  <c r="V128" i="1"/>
  <c r="V136" i="1"/>
  <c r="V224" i="1"/>
  <c r="V264" i="1"/>
  <c r="V280" i="1"/>
  <c r="V296" i="1"/>
  <c r="V17" i="1"/>
  <c r="V33" i="1"/>
  <c r="V41" i="1"/>
  <c r="V57" i="1"/>
  <c r="V73" i="1"/>
  <c r="V89" i="1"/>
  <c r="V10" i="1"/>
  <c r="V18" i="1"/>
  <c r="V26" i="1"/>
  <c r="V34" i="1"/>
  <c r="V42" i="1"/>
  <c r="V50" i="1"/>
  <c r="V58" i="1"/>
  <c r="V66" i="1"/>
  <c r="V74" i="1"/>
  <c r="V82" i="1"/>
  <c r="V90" i="1"/>
  <c r="V98" i="1"/>
  <c r="V106" i="1"/>
  <c r="V114" i="1"/>
  <c r="V122" i="1"/>
  <c r="V130" i="1"/>
  <c r="V138" i="1"/>
  <c r="V146" i="1"/>
  <c r="V178" i="1"/>
  <c r="V250" i="1"/>
  <c r="V266" i="1"/>
  <c r="V274" i="1"/>
  <c r="V282" i="1"/>
  <c r="V290" i="1"/>
  <c r="V298" i="1"/>
  <c r="I840" i="1"/>
  <c r="F838" i="1"/>
  <c r="G838" i="1" s="1"/>
  <c r="I834" i="1"/>
  <c r="F833" i="1"/>
  <c r="G833" i="1" s="1"/>
  <c r="I832" i="1"/>
  <c r="F831" i="1"/>
  <c r="G831" i="1" s="1"/>
  <c r="I826" i="1"/>
  <c r="F825" i="1"/>
  <c r="G825" i="1" s="1"/>
  <c r="I824" i="1"/>
  <c r="F823" i="1"/>
  <c r="G823" i="1" s="1"/>
  <c r="I822" i="1"/>
  <c r="I818" i="1"/>
  <c r="I816" i="1"/>
  <c r="F815" i="1"/>
  <c r="G815" i="1" s="1"/>
  <c r="I814" i="1"/>
  <c r="I810" i="1"/>
  <c r="I809" i="1"/>
  <c r="I806" i="1"/>
  <c r="I802" i="1"/>
  <c r="I801" i="1"/>
  <c r="F799" i="1"/>
  <c r="G799" i="1" s="1"/>
  <c r="I798" i="1"/>
  <c r="F797" i="1"/>
  <c r="G797" i="1" s="1"/>
  <c r="I794" i="1"/>
  <c r="I793" i="1"/>
  <c r="F791" i="1"/>
  <c r="G791" i="1" s="1"/>
  <c r="F790" i="1"/>
  <c r="G790" i="1" s="1"/>
  <c r="F789" i="1"/>
  <c r="G789" i="1" s="1"/>
  <c r="I786" i="1"/>
  <c r="I785" i="1"/>
  <c r="F783" i="1"/>
  <c r="G783" i="1" s="1"/>
  <c r="F782" i="1"/>
  <c r="G782" i="1" s="1"/>
  <c r="I778" i="1"/>
  <c r="I777" i="1"/>
  <c r="F774" i="1"/>
  <c r="G774" i="1" s="1"/>
  <c r="F773" i="1"/>
  <c r="G773" i="1" s="1"/>
  <c r="F772" i="1"/>
  <c r="G772" i="1" s="1"/>
  <c r="I770" i="1"/>
  <c r="I769" i="1"/>
  <c r="I767" i="1"/>
  <c r="I765" i="1"/>
  <c r="I762" i="1"/>
  <c r="I754" i="1"/>
  <c r="I753" i="1"/>
  <c r="F750" i="1"/>
  <c r="G750" i="1" s="1"/>
  <c r="F749" i="1"/>
  <c r="G749" i="1" s="1"/>
  <c r="F748" i="1"/>
  <c r="G748" i="1" s="1"/>
  <c r="I746" i="1"/>
  <c r="I745" i="1"/>
  <c r="F744" i="1"/>
  <c r="G744" i="1" s="1"/>
  <c r="F743" i="1"/>
  <c r="G743" i="1" s="1"/>
  <c r="I740" i="1"/>
  <c r="I737" i="1"/>
  <c r="F735" i="1"/>
  <c r="G735" i="1" s="1"/>
  <c r="I734" i="1"/>
  <c r="F733" i="1"/>
  <c r="G733" i="1" s="1"/>
  <c r="F732" i="1"/>
  <c r="G732" i="1" s="1"/>
  <c r="F730" i="1"/>
  <c r="G730" i="1" s="1"/>
  <c r="F728" i="1"/>
  <c r="G728" i="1" s="1"/>
  <c r="F726" i="1"/>
  <c r="G726" i="1" s="1"/>
  <c r="F722" i="1"/>
  <c r="G722" i="1" s="1"/>
  <c r="I721" i="1"/>
  <c r="I720" i="1"/>
  <c r="I719" i="1"/>
  <c r="F718" i="1"/>
  <c r="G718" i="1" s="1"/>
  <c r="F717" i="1"/>
  <c r="G717" i="1" s="1"/>
  <c r="F716" i="1"/>
  <c r="G716" i="1" s="1"/>
  <c r="F714" i="1"/>
  <c r="G714" i="1" s="1"/>
  <c r="F713" i="1"/>
  <c r="G713" i="1" s="1"/>
  <c r="I712" i="1"/>
  <c r="F706" i="1"/>
  <c r="G706" i="1" s="1"/>
  <c r="I705" i="1"/>
  <c r="I704" i="1"/>
  <c r="I703" i="1"/>
  <c r="F701" i="1"/>
  <c r="G701" i="1" s="1"/>
  <c r="F700" i="1"/>
  <c r="G700" i="1" s="1"/>
  <c r="F698" i="1"/>
  <c r="G698" i="1" s="1"/>
  <c r="F697" i="1"/>
  <c r="G697" i="1" s="1"/>
  <c r="I696" i="1"/>
  <c r="F693" i="1"/>
  <c r="G693" i="1" s="1"/>
  <c r="F690" i="1"/>
  <c r="G690" i="1" s="1"/>
  <c r="F689" i="1"/>
  <c r="G689" i="1" s="1"/>
  <c r="I687" i="1"/>
  <c r="F685" i="1"/>
  <c r="G685" i="1" s="1"/>
  <c r="F684" i="1"/>
  <c r="G684" i="1" s="1"/>
  <c r="F682" i="1"/>
  <c r="G682" i="1" s="1"/>
  <c r="I681" i="1"/>
  <c r="F680" i="1"/>
  <c r="G680" i="1" s="1"/>
  <c r="F679" i="1"/>
  <c r="G679" i="1" s="1"/>
  <c r="F674" i="1"/>
  <c r="G674" i="1" s="1"/>
  <c r="F671" i="1"/>
  <c r="G671" i="1" s="1"/>
  <c r="I670" i="1"/>
  <c r="F669" i="1"/>
  <c r="G669" i="1" s="1"/>
  <c r="I667" i="1"/>
  <c r="F666" i="1"/>
  <c r="G666" i="1" s="1"/>
  <c r="F665" i="1"/>
  <c r="G665" i="1" s="1"/>
  <c r="F660" i="1"/>
  <c r="G660" i="1" s="1"/>
  <c r="F658" i="1"/>
  <c r="G658" i="1" s="1"/>
  <c r="I656" i="1"/>
  <c r="F654" i="1"/>
  <c r="G654" i="1" s="1"/>
  <c r="F652" i="1"/>
  <c r="G652" i="1" s="1"/>
  <c r="F650" i="1"/>
  <c r="G650" i="1" s="1"/>
  <c r="F648" i="1"/>
  <c r="G648" i="1" s="1"/>
  <c r="F646" i="1"/>
  <c r="G646" i="1" s="1"/>
  <c r="I645" i="1"/>
  <c r="F642" i="1"/>
  <c r="G642" i="1" s="1"/>
  <c r="I641" i="1"/>
  <c r="F638" i="1"/>
  <c r="G638" i="1" s="1"/>
  <c r="I637" i="1"/>
  <c r="F634" i="1"/>
  <c r="G634" i="1" s="1"/>
  <c r="F633" i="1"/>
  <c r="G633" i="1" s="1"/>
  <c r="F632" i="1"/>
  <c r="G632" i="1" s="1"/>
  <c r="F630" i="1"/>
  <c r="G630" i="1" s="1"/>
  <c r="I629" i="1"/>
  <c r="F626" i="1"/>
  <c r="G626" i="1" s="1"/>
  <c r="I625" i="1"/>
  <c r="I621" i="1"/>
  <c r="F618" i="1"/>
  <c r="G618" i="1" s="1"/>
  <c r="I616" i="1"/>
  <c r="I615" i="1"/>
  <c r="I613" i="1"/>
  <c r="I611" i="1"/>
  <c r="F609" i="1"/>
  <c r="G609" i="1" s="1"/>
  <c r="I608" i="1"/>
  <c r="I606" i="1"/>
  <c r="I604" i="1"/>
  <c r="F602" i="1"/>
  <c r="G602" i="1" s="1"/>
  <c r="F601" i="1"/>
  <c r="G601" i="1" s="1"/>
  <c r="I599" i="1"/>
  <c r="I597" i="1"/>
  <c r="F596" i="1"/>
  <c r="G596" i="1" s="1"/>
  <c r="I592" i="1"/>
  <c r="F591" i="1"/>
  <c r="G591" i="1" s="1"/>
  <c r="I589" i="1"/>
  <c r="I588" i="1"/>
  <c r="F587" i="1"/>
  <c r="G587" i="1" s="1"/>
  <c r="I584" i="1"/>
  <c r="F583" i="1"/>
  <c r="G583" i="1" s="1"/>
  <c r="I581" i="1"/>
  <c r="I580" i="1"/>
  <c r="I579" i="1"/>
  <c r="F578" i="1"/>
  <c r="G578" i="1" s="1"/>
  <c r="I576" i="1"/>
  <c r="F575" i="1"/>
  <c r="G575" i="1" s="1"/>
  <c r="I572" i="1"/>
  <c r="I571" i="1"/>
  <c r="I568" i="1"/>
  <c r="F567" i="1"/>
  <c r="G567" i="1" s="1"/>
  <c r="I559" i="1"/>
  <c r="F557" i="1"/>
  <c r="G557" i="1" s="1"/>
  <c r="I556" i="1"/>
  <c r="I555" i="1"/>
  <c r="I554" i="1"/>
  <c r="F553" i="1"/>
  <c r="G553" i="1" s="1"/>
  <c r="I551" i="1"/>
  <c r="I549" i="1"/>
  <c r="F546" i="1"/>
  <c r="G546" i="1" s="1"/>
  <c r="I544" i="1"/>
  <c r="I543" i="1"/>
  <c r="I541" i="1"/>
  <c r="I540" i="1"/>
  <c r="I539" i="1"/>
  <c r="I535" i="1"/>
  <c r="I533" i="1"/>
  <c r="F531" i="1"/>
  <c r="G531" i="1" s="1"/>
  <c r="I530" i="1"/>
  <c r="F529" i="1"/>
  <c r="G529" i="1" s="1"/>
  <c r="I527" i="1"/>
  <c r="F524" i="1"/>
  <c r="G524" i="1" s="1"/>
  <c r="F522" i="1"/>
  <c r="G522" i="1" s="1"/>
  <c r="I520" i="1"/>
  <c r="I519" i="1"/>
  <c r="I517" i="1"/>
  <c r="I516" i="1"/>
  <c r="F515" i="1"/>
  <c r="G515" i="1" s="1"/>
  <c r="I514" i="1"/>
  <c r="F513" i="1"/>
  <c r="G513" i="1" s="1"/>
  <c r="I511" i="1"/>
  <c r="I509" i="1"/>
  <c r="I506" i="1"/>
  <c r="I503" i="1"/>
  <c r="I500" i="1"/>
  <c r="F499" i="1"/>
  <c r="G499" i="1" s="1"/>
  <c r="F498" i="1"/>
  <c r="G498" i="1" s="1"/>
  <c r="F497" i="1"/>
  <c r="G497" i="1" s="1"/>
  <c r="I495" i="1"/>
  <c r="I493" i="1"/>
  <c r="I490" i="1"/>
  <c r="I488" i="1"/>
  <c r="I487" i="1"/>
  <c r="F486" i="1"/>
  <c r="G486" i="1" s="1"/>
  <c r="I485" i="1"/>
  <c r="F484" i="1"/>
  <c r="G484" i="1" s="1"/>
  <c r="I479" i="1"/>
  <c r="F478" i="1"/>
  <c r="G478" i="1" s="1"/>
  <c r="I477" i="1"/>
  <c r="F476" i="1"/>
  <c r="G476" i="1" s="1"/>
  <c r="F474" i="1"/>
  <c r="G474" i="1" s="1"/>
  <c r="I473" i="1"/>
  <c r="F473" i="1"/>
  <c r="G473" i="1" s="1"/>
  <c r="F471" i="1"/>
  <c r="G471" i="1" s="1"/>
  <c r="I469" i="1"/>
  <c r="I468" i="1"/>
  <c r="F466" i="1"/>
  <c r="F465" i="1"/>
  <c r="G465" i="1" s="1"/>
  <c r="F457" i="1"/>
  <c r="I455" i="1"/>
  <c r="F452" i="1"/>
  <c r="F450" i="1"/>
  <c r="I447" i="1"/>
  <c r="I441" i="1"/>
  <c r="I439" i="1"/>
  <c r="I436" i="1"/>
  <c r="F436" i="1"/>
  <c r="I431" i="1"/>
  <c r="F426" i="1"/>
  <c r="F425" i="1"/>
  <c r="I423" i="1"/>
  <c r="F420" i="1"/>
  <c r="F412" i="1"/>
  <c r="F411" i="1"/>
  <c r="F410" i="1"/>
  <c r="F407" i="1"/>
  <c r="I404" i="1"/>
  <c r="F402" i="1"/>
  <c r="I399" i="1"/>
  <c r="F395" i="1"/>
  <c r="F393" i="1"/>
  <c r="I392" i="1"/>
  <c r="I391" i="1"/>
  <c r="I389" i="1"/>
  <c r="I388" i="1"/>
  <c r="I384" i="1"/>
  <c r="I383" i="1"/>
  <c r="F381" i="1"/>
  <c r="I380" i="1"/>
  <c r="I379" i="1"/>
  <c r="F378" i="1"/>
  <c r="I374" i="1"/>
  <c r="I372" i="1"/>
  <c r="I369" i="1"/>
  <c r="I366" i="1"/>
  <c r="F365" i="1"/>
  <c r="F364" i="1"/>
  <c r="F361" i="1"/>
  <c r="I360" i="1"/>
  <c r="I359" i="1"/>
  <c r="F357" i="1"/>
  <c r="F355" i="1"/>
  <c r="I354" i="1"/>
  <c r="I352" i="1"/>
  <c r="F350" i="1"/>
  <c r="I348" i="1"/>
  <c r="I347" i="1"/>
  <c r="I346" i="1"/>
  <c r="F345" i="1"/>
  <c r="I343" i="1"/>
  <c r="I341" i="1"/>
  <c r="F340" i="1"/>
  <c r="F338" i="1"/>
  <c r="F337" i="1"/>
  <c r="G337" i="1" s="1"/>
  <c r="I336" i="1"/>
  <c r="F334" i="1"/>
  <c r="F330" i="1"/>
  <c r="F329" i="1"/>
  <c r="I328" i="1"/>
  <c r="I327" i="1"/>
  <c r="I326" i="1"/>
  <c r="F322" i="1"/>
  <c r="I321" i="1"/>
  <c r="I320" i="1"/>
  <c r="F318" i="1"/>
  <c r="I317" i="1"/>
  <c r="F316" i="1"/>
  <c r="F314" i="1"/>
  <c r="I313" i="1"/>
  <c r="I312" i="1"/>
  <c r="I311" i="1"/>
  <c r="I310" i="1"/>
  <c r="F309" i="1"/>
  <c r="F308" i="1"/>
  <c r="F306" i="1"/>
  <c r="I305" i="1"/>
  <c r="I304" i="1"/>
  <c r="F302" i="1"/>
  <c r="I300" i="1"/>
  <c r="I299" i="1"/>
  <c r="F297" i="1"/>
  <c r="F296" i="1"/>
  <c r="I294" i="1"/>
  <c r="I293" i="1"/>
  <c r="I291" i="1"/>
  <c r="F290" i="1"/>
  <c r="I288" i="1"/>
  <c r="I287" i="1"/>
  <c r="I286" i="1"/>
  <c r="I284" i="1"/>
  <c r="I283" i="1"/>
  <c r="I282" i="1"/>
  <c r="F281" i="1"/>
  <c r="I280" i="1"/>
  <c r="I278" i="1"/>
  <c r="F277" i="1"/>
  <c r="I275" i="1"/>
  <c r="I274" i="1"/>
  <c r="I272" i="1"/>
  <c r="I271" i="1"/>
  <c r="F270" i="1"/>
  <c r="I267" i="1"/>
  <c r="F265" i="1"/>
  <c r="I264" i="1"/>
  <c r="I262" i="1"/>
  <c r="I261" i="1"/>
  <c r="I259" i="1"/>
  <c r="I258" i="1"/>
  <c r="F257" i="1"/>
  <c r="I256" i="1"/>
  <c r="F255" i="1"/>
  <c r="I253" i="1"/>
  <c r="F252" i="1"/>
  <c r="G252" i="1" s="1"/>
  <c r="F250" i="1"/>
  <c r="G250" i="1" s="1"/>
  <c r="F249" i="1"/>
  <c r="G249" i="1" s="1"/>
  <c r="F248" i="1"/>
  <c r="G248" i="1" s="1"/>
  <c r="F247" i="1"/>
  <c r="G247" i="1" s="1"/>
  <c r="F246" i="1"/>
  <c r="G246" i="1" s="1"/>
  <c r="I245" i="1"/>
  <c r="I244" i="1"/>
  <c r="F243" i="1"/>
  <c r="G243" i="1" s="1"/>
  <c r="F241" i="1"/>
  <c r="G241" i="1" s="1"/>
  <c r="I239" i="1"/>
  <c r="I235" i="1"/>
  <c r="I234" i="1"/>
  <c r="I232" i="1"/>
  <c r="I230" i="1"/>
  <c r="F229" i="1"/>
  <c r="G229" i="1" s="1"/>
  <c r="I227" i="1"/>
  <c r="I226" i="1"/>
  <c r="F224" i="1"/>
  <c r="G224" i="1" s="1"/>
  <c r="F223" i="1"/>
  <c r="G223" i="1" s="1"/>
  <c r="I222" i="1"/>
  <c r="I219" i="1"/>
  <c r="I218" i="1"/>
  <c r="F216" i="1"/>
  <c r="G216" i="1" s="1"/>
  <c r="I215" i="1"/>
  <c r="F213" i="1"/>
  <c r="G213" i="1" s="1"/>
  <c r="I211" i="1"/>
  <c r="I210" i="1"/>
  <c r="F207" i="1"/>
  <c r="G207" i="1" s="1"/>
  <c r="F206" i="1"/>
  <c r="G206" i="1" s="1"/>
  <c r="I203" i="1"/>
  <c r="I202" i="1"/>
  <c r="F199" i="1"/>
  <c r="G199" i="1" s="1"/>
  <c r="F197" i="1"/>
  <c r="G197" i="1" s="1"/>
  <c r="I195" i="1"/>
  <c r="I194" i="1"/>
  <c r="F191" i="1"/>
  <c r="G191" i="1" s="1"/>
  <c r="I190" i="1"/>
  <c r="F189" i="1"/>
  <c r="G189" i="1" s="1"/>
  <c r="F188" i="1"/>
  <c r="G188" i="1" s="1"/>
  <c r="I187" i="1"/>
  <c r="I186" i="1"/>
  <c r="F185" i="1"/>
  <c r="G185" i="1" s="1"/>
  <c r="F184" i="1"/>
  <c r="G184" i="1" s="1"/>
  <c r="I181" i="1"/>
  <c r="I179" i="1"/>
  <c r="I178" i="1"/>
  <c r="F177" i="1"/>
  <c r="G177" i="1" s="1"/>
  <c r="I176" i="1"/>
  <c r="F175" i="1"/>
  <c r="G175" i="1" s="1"/>
  <c r="F173" i="1"/>
  <c r="G173" i="1" s="1"/>
  <c r="I170" i="1"/>
  <c r="F169" i="1"/>
  <c r="G169" i="1" s="1"/>
  <c r="F165" i="1"/>
  <c r="G165" i="1" s="1"/>
  <c r="I163" i="1"/>
  <c r="I162" i="1"/>
  <c r="F161" i="1"/>
  <c r="G161" i="1" s="1"/>
  <c r="I160" i="1"/>
  <c r="F159" i="1"/>
  <c r="G159" i="1" s="1"/>
  <c r="F158" i="1"/>
  <c r="G158" i="1" s="1"/>
  <c r="F157" i="1"/>
  <c r="G157" i="1" s="1"/>
  <c r="F156" i="1"/>
  <c r="G156" i="1" s="1"/>
  <c r="I154" i="1"/>
  <c r="F153" i="1"/>
  <c r="G153" i="1" s="1"/>
  <c r="I151" i="1"/>
  <c r="I150" i="1"/>
  <c r="F147" i="1"/>
  <c r="G147" i="1" s="1"/>
  <c r="I146" i="1"/>
  <c r="F145" i="1"/>
  <c r="G145" i="1" s="1"/>
  <c r="I143" i="1"/>
  <c r="I142" i="1"/>
  <c r="I141" i="1"/>
  <c r="F140" i="1"/>
  <c r="G140" i="1" s="1"/>
  <c r="F139" i="1"/>
  <c r="G139" i="1" s="1"/>
  <c r="I138" i="1"/>
  <c r="F137" i="1"/>
  <c r="G137" i="1" s="1"/>
  <c r="I136" i="1"/>
  <c r="I134" i="1"/>
  <c r="I133" i="1"/>
  <c r="I132" i="1"/>
  <c r="I131" i="1"/>
  <c r="I130" i="1"/>
  <c r="F129" i="1"/>
  <c r="G129" i="1" s="1"/>
  <c r="I127" i="1"/>
  <c r="F126" i="1"/>
  <c r="G126" i="1" s="1"/>
  <c r="F124" i="1"/>
  <c r="G124" i="1" s="1"/>
  <c r="I123" i="1"/>
  <c r="I122" i="1"/>
  <c r="I121" i="1"/>
  <c r="I119" i="1"/>
  <c r="F118" i="1"/>
  <c r="G118" i="1" s="1"/>
  <c r="F116" i="1"/>
  <c r="G116" i="1" s="1"/>
  <c r="I115" i="1"/>
  <c r="I114" i="1"/>
  <c r="F113" i="1"/>
  <c r="G113" i="1" s="1"/>
  <c r="I111" i="1"/>
  <c r="F110" i="1"/>
  <c r="G110" i="1" s="1"/>
  <c r="F108" i="1"/>
  <c r="G108" i="1" s="1"/>
  <c r="I107" i="1"/>
  <c r="I106" i="1"/>
  <c r="I105" i="1"/>
  <c r="I103" i="1"/>
  <c r="F102" i="1"/>
  <c r="G102" i="1" s="1"/>
  <c r="F100" i="1"/>
  <c r="G100" i="1" s="1"/>
  <c r="I99" i="1"/>
  <c r="I98" i="1"/>
  <c r="F97" i="1"/>
  <c r="G97" i="1" s="1"/>
  <c r="I95" i="1"/>
  <c r="F94" i="1"/>
  <c r="G94" i="1" s="1"/>
  <c r="I91" i="1"/>
  <c r="I90" i="1"/>
  <c r="I89" i="1"/>
  <c r="F86" i="1"/>
  <c r="G86" i="1" s="1"/>
  <c r="G365" i="1" l="1"/>
  <c r="W365" i="1"/>
  <c r="G350" i="1"/>
  <c r="W350" i="1"/>
  <c r="G420" i="1"/>
  <c r="W420" i="1"/>
  <c r="G338" i="1"/>
  <c r="W338" i="1"/>
  <c r="G314" i="1"/>
  <c r="W314" i="1"/>
  <c r="G355" i="1"/>
  <c r="W355" i="1"/>
  <c r="G402" i="1"/>
  <c r="W402" i="1"/>
  <c r="G425" i="1"/>
  <c r="W425" i="1"/>
  <c r="G450" i="1"/>
  <c r="W450" i="1"/>
  <c r="G364" i="1"/>
  <c r="W364" i="1"/>
  <c r="G381" i="1"/>
  <c r="W381" i="1"/>
  <c r="G330" i="1"/>
  <c r="W330" i="1"/>
  <c r="G345" i="1"/>
  <c r="W345" i="1"/>
  <c r="G357" i="1"/>
  <c r="W357" i="1"/>
  <c r="G426" i="1"/>
  <c r="W426" i="1"/>
  <c r="G452" i="1"/>
  <c r="W452" i="1"/>
  <c r="G412" i="1"/>
  <c r="W412" i="1"/>
  <c r="G340" i="1"/>
  <c r="W340" i="1"/>
  <c r="G334" i="1"/>
  <c r="W334" i="1"/>
  <c r="G407" i="1"/>
  <c r="W407" i="1"/>
  <c r="G393" i="1"/>
  <c r="W393" i="1"/>
  <c r="G395" i="1"/>
  <c r="W395" i="1"/>
  <c r="G378" i="1"/>
  <c r="W378" i="1"/>
  <c r="G410" i="1"/>
  <c r="W410" i="1"/>
  <c r="G436" i="1"/>
  <c r="W436" i="1"/>
  <c r="G457" i="1"/>
  <c r="W457" i="1"/>
  <c r="G361" i="1"/>
  <c r="W361" i="1"/>
  <c r="G411" i="1"/>
  <c r="W411" i="1"/>
  <c r="G466" i="1"/>
  <c r="W466" i="1"/>
  <c r="G329" i="1"/>
  <c r="W329" i="1"/>
  <c r="G277" i="1"/>
  <c r="W277" i="1"/>
  <c r="G302" i="1"/>
  <c r="W302" i="1"/>
  <c r="G290" i="1"/>
  <c r="W290" i="1"/>
  <c r="G322" i="1"/>
  <c r="W322" i="1"/>
  <c r="G270" i="1"/>
  <c r="W270" i="1"/>
  <c r="G281" i="1"/>
  <c r="W281" i="1"/>
  <c r="G306" i="1"/>
  <c r="W306" i="1"/>
  <c r="G296" i="1"/>
  <c r="W296" i="1"/>
  <c r="G308" i="1"/>
  <c r="W308" i="1"/>
  <c r="G318" i="1"/>
  <c r="W318" i="1"/>
  <c r="G297" i="1"/>
  <c r="W297" i="1"/>
  <c r="G316" i="1"/>
  <c r="W316" i="1"/>
  <c r="G309" i="1"/>
  <c r="W309" i="1"/>
  <c r="G255" i="1"/>
  <c r="W255" i="1"/>
  <c r="G265" i="1"/>
  <c r="W265" i="1"/>
  <c r="G257" i="1"/>
  <c r="W257" i="1"/>
  <c r="W246" i="1"/>
  <c r="W248" i="1"/>
  <c r="W252" i="1"/>
  <c r="W250" i="1"/>
  <c r="W173" i="1"/>
  <c r="R437" i="1"/>
  <c r="R287" i="1"/>
  <c r="R342" i="1"/>
  <c r="W147" i="1"/>
  <c r="W94" i="1"/>
  <c r="R443" i="1"/>
  <c r="P243" i="1"/>
  <c r="R566" i="1"/>
  <c r="R694" i="1"/>
  <c r="R702" i="1"/>
  <c r="R640" i="1"/>
  <c r="R562" i="1"/>
  <c r="R245" i="1"/>
  <c r="R95" i="1"/>
  <c r="P275" i="1"/>
  <c r="R457" i="1"/>
  <c r="R521" i="1"/>
  <c r="R725" i="1"/>
  <c r="R77" i="1"/>
  <c r="R630" i="1"/>
  <c r="R78" i="1"/>
  <c r="R393" i="1"/>
  <c r="R704" i="1"/>
  <c r="R573" i="1"/>
  <c r="R649" i="1"/>
  <c r="R68" i="1"/>
  <c r="R754" i="1"/>
  <c r="R51" i="1"/>
  <c r="R123" i="1"/>
  <c r="R672" i="1"/>
  <c r="R127" i="1"/>
  <c r="R636" i="1"/>
  <c r="R390" i="1"/>
  <c r="R787" i="1"/>
  <c r="R558" i="1"/>
  <c r="R599" i="1"/>
  <c r="R75" i="1"/>
  <c r="R607" i="1"/>
  <c r="R2" i="1"/>
  <c r="R498" i="1"/>
  <c r="R727" i="1"/>
  <c r="R698" i="1"/>
  <c r="R764" i="1"/>
  <c r="R609" i="1"/>
  <c r="R171" i="1"/>
  <c r="R836" i="1"/>
  <c r="R189" i="1"/>
  <c r="R296" i="1"/>
  <c r="R529" i="1"/>
  <c r="R240" i="1"/>
  <c r="R361" i="1"/>
  <c r="R207" i="1"/>
  <c r="R246" i="1"/>
  <c r="R753" i="1"/>
  <c r="R147" i="1"/>
  <c r="R691" i="1"/>
  <c r="R768" i="1"/>
  <c r="R588" i="1"/>
  <c r="R822" i="1"/>
  <c r="R415" i="1"/>
  <c r="O270" i="1"/>
  <c r="P270" i="1" s="1"/>
  <c r="R142" i="1"/>
  <c r="R165" i="1"/>
  <c r="R442" i="1"/>
  <c r="P108" i="1"/>
  <c r="R108" i="1"/>
  <c r="P391" i="1"/>
  <c r="R391" i="1"/>
  <c r="P354" i="1"/>
  <c r="R354" i="1"/>
  <c r="O466" i="1"/>
  <c r="P466" i="1" s="1"/>
  <c r="O312" i="1"/>
  <c r="P312" i="1" s="1"/>
  <c r="O234" i="1"/>
  <c r="P234" i="1" s="1"/>
  <c r="O300" i="1"/>
  <c r="P300" i="1" s="1"/>
  <c r="O284" i="1"/>
  <c r="P284" i="1" s="1"/>
  <c r="O250" i="1"/>
  <c r="P250" i="1" s="1"/>
  <c r="O211" i="1"/>
  <c r="P211" i="1" s="1"/>
  <c r="R301" i="1"/>
  <c r="R838" i="1"/>
  <c r="R35" i="1"/>
  <c r="R168" i="1"/>
  <c r="R776" i="1"/>
  <c r="R683" i="1"/>
  <c r="R665" i="1"/>
  <c r="R570" i="1"/>
  <c r="R834" i="1"/>
  <c r="R253" i="1"/>
  <c r="O105" i="1"/>
  <c r="P105" i="1" s="1"/>
  <c r="O225" i="1"/>
  <c r="P225" i="1" s="1"/>
  <c r="P628" i="1"/>
  <c r="R628" i="1"/>
  <c r="P43" i="1"/>
  <c r="R43" i="1"/>
  <c r="O345" i="1"/>
  <c r="P345" i="1" s="1"/>
  <c r="O298" i="1"/>
  <c r="P298" i="1" s="1"/>
  <c r="P724" i="1"/>
  <c r="R724" i="1"/>
  <c r="O219" i="1"/>
  <c r="P219" i="1" s="1"/>
  <c r="O87" i="1"/>
  <c r="P87" i="1" s="1"/>
  <c r="O27" i="1"/>
  <c r="P27" i="1" s="1"/>
  <c r="O71" i="1"/>
  <c r="P71" i="1" s="1"/>
  <c r="O601" i="1"/>
  <c r="P601" i="1" s="1"/>
  <c r="O176" i="1"/>
  <c r="P176" i="1" s="1"/>
  <c r="O639" i="1"/>
  <c r="P639" i="1" s="1"/>
  <c r="O319" i="1"/>
  <c r="P319" i="1" s="1"/>
  <c r="R69" i="1"/>
  <c r="R800" i="1"/>
  <c r="R235" i="1"/>
  <c r="R436" i="1"/>
  <c r="R789" i="1"/>
  <c r="R288" i="1"/>
  <c r="R490" i="1"/>
  <c r="R267" i="1"/>
  <c r="R302" i="1"/>
  <c r="R679" i="1"/>
  <c r="O341" i="1"/>
  <c r="P341" i="1" s="1"/>
  <c r="R572" i="1"/>
  <c r="R392" i="1"/>
  <c r="R840" i="1"/>
  <c r="R626" i="1"/>
  <c r="R677" i="1"/>
  <c r="R663" i="1"/>
  <c r="R620" i="1"/>
  <c r="R634" i="1"/>
  <c r="R494" i="1"/>
  <c r="R209" i="1"/>
  <c r="R543" i="1"/>
  <c r="R166" i="1"/>
  <c r="O268" i="1"/>
  <c r="P268" i="1" s="1"/>
  <c r="R611" i="1"/>
  <c r="P99" i="1"/>
  <c r="R99" i="1"/>
  <c r="P610" i="1"/>
  <c r="R610" i="1"/>
  <c r="O411" i="1"/>
  <c r="P411" i="1" s="1"/>
  <c r="O659" i="1"/>
  <c r="P659" i="1" s="1"/>
  <c r="P402" i="1"/>
  <c r="R402" i="1"/>
  <c r="R709" i="1"/>
  <c r="P623" i="1"/>
  <c r="R623" i="1"/>
  <c r="P129" i="1"/>
  <c r="R129" i="1"/>
  <c r="P215" i="1"/>
  <c r="R215" i="1"/>
  <c r="O82" i="1"/>
  <c r="P82" i="1" s="1"/>
  <c r="O45" i="1"/>
  <c r="P45" i="1" s="1"/>
  <c r="O552" i="1"/>
  <c r="P552" i="1" s="1"/>
  <c r="O538" i="1"/>
  <c r="P538" i="1" s="1"/>
  <c r="O177" i="1"/>
  <c r="P177" i="1" s="1"/>
  <c r="O278" i="1"/>
  <c r="P278" i="1" s="1"/>
  <c r="O18" i="1"/>
  <c r="P18" i="1" s="1"/>
  <c r="O60" i="1"/>
  <c r="P60" i="1" s="1"/>
  <c r="O163" i="1"/>
  <c r="P163" i="1" s="1"/>
  <c r="O741" i="1"/>
  <c r="P741" i="1" s="1"/>
  <c r="O265" i="1"/>
  <c r="P265" i="1" s="1"/>
  <c r="O20" i="1"/>
  <c r="P20" i="1" s="1"/>
  <c r="R410" i="1"/>
  <c r="R324" i="1"/>
  <c r="O383" i="1"/>
  <c r="P383" i="1" s="1"/>
  <c r="R261" i="1"/>
  <c r="R138" i="1"/>
  <c r="R580" i="1"/>
  <c r="R668" i="1"/>
  <c r="R154" i="1"/>
  <c r="R478" i="1"/>
  <c r="R135" i="1"/>
  <c r="R509" i="1"/>
  <c r="R814" i="1"/>
  <c r="R385" i="1"/>
  <c r="R403" i="1"/>
  <c r="R467" i="1"/>
  <c r="P310" i="1"/>
  <c r="R310" i="1"/>
  <c r="O239" i="1"/>
  <c r="P239" i="1" s="1"/>
  <c r="O117" i="1"/>
  <c r="P117" i="1" s="1"/>
  <c r="R418" i="1"/>
  <c r="P67" i="1"/>
  <c r="R67" i="1"/>
  <c r="O711" i="1"/>
  <c r="P711" i="1" s="1"/>
  <c r="O140" i="1"/>
  <c r="P140" i="1" s="1"/>
  <c r="O667" i="1"/>
  <c r="P667" i="1" s="1"/>
  <c r="P671" i="1"/>
  <c r="R671" i="1"/>
  <c r="O170" i="1"/>
  <c r="P170" i="1" s="1"/>
  <c r="P586" i="1"/>
  <c r="R586" i="1"/>
  <c r="O63" i="1"/>
  <c r="P63" i="1" s="1"/>
  <c r="O133" i="1"/>
  <c r="P133" i="1" s="1"/>
  <c r="O42" i="1"/>
  <c r="P42" i="1" s="1"/>
  <c r="O145" i="1"/>
  <c r="P145" i="1" s="1"/>
  <c r="O648" i="1"/>
  <c r="P648" i="1" s="1"/>
  <c r="O638" i="1"/>
  <c r="P638" i="1" s="1"/>
  <c r="O760" i="1"/>
  <c r="P760" i="1" s="1"/>
  <c r="O426" i="1"/>
  <c r="P426" i="1" s="1"/>
  <c r="O362" i="1"/>
  <c r="P362" i="1" s="1"/>
  <c r="O274" i="1"/>
  <c r="P274" i="1" s="1"/>
  <c r="O29" i="1"/>
  <c r="P29" i="1" s="1"/>
  <c r="R150" i="1"/>
  <c r="R46" i="1"/>
  <c r="O232" i="1"/>
  <c r="P232" i="1" s="1"/>
  <c r="R375" i="1"/>
  <c r="R603" i="1"/>
  <c r="R576" i="1"/>
  <c r="R306" i="1"/>
  <c r="R199" i="1"/>
  <c r="R615" i="1"/>
  <c r="R396" i="1"/>
  <c r="R139" i="1"/>
  <c r="R445" i="1"/>
  <c r="P164" i="1"/>
  <c r="R164" i="1"/>
  <c r="O316" i="1"/>
  <c r="P316" i="1" s="1"/>
  <c r="O28" i="1"/>
  <c r="P28" i="1" s="1"/>
  <c r="O532" i="1"/>
  <c r="P532" i="1" s="1"/>
  <c r="P156" i="1"/>
  <c r="R156" i="1"/>
  <c r="P308" i="1"/>
  <c r="R308" i="1"/>
  <c r="O435" i="1"/>
  <c r="R435" i="1" s="1"/>
  <c r="O34" i="1"/>
  <c r="P34" i="1" s="1"/>
  <c r="O344" i="1"/>
  <c r="P344" i="1" s="1"/>
  <c r="O258" i="1"/>
  <c r="P258" i="1" s="1"/>
  <c r="O210" i="1"/>
  <c r="P210" i="1" s="1"/>
  <c r="P134" i="1"/>
  <c r="R134" i="1"/>
  <c r="P101" i="1"/>
  <c r="R101" i="1"/>
  <c r="P50" i="1"/>
  <c r="R50" i="1"/>
  <c r="P454" i="1"/>
  <c r="R454" i="1"/>
  <c r="P695" i="1"/>
  <c r="R695" i="1"/>
  <c r="O635" i="1"/>
  <c r="P635" i="1" s="1"/>
  <c r="O266" i="1"/>
  <c r="P266" i="1" s="1"/>
  <c r="O144" i="1"/>
  <c r="P144" i="1" s="1"/>
  <c r="O124" i="1"/>
  <c r="P124" i="1" s="1"/>
  <c r="O143" i="1"/>
  <c r="P143" i="1" s="1"/>
  <c r="O394" i="1"/>
  <c r="P394" i="1" s="1"/>
  <c r="P482" i="1"/>
  <c r="R482" i="1"/>
  <c r="O746" i="1"/>
  <c r="P746" i="1" s="1"/>
  <c r="O218" i="1"/>
  <c r="P218" i="1" s="1"/>
  <c r="O61" i="1"/>
  <c r="P61" i="1" s="1"/>
  <c r="O84" i="1"/>
  <c r="P84" i="1" s="1"/>
  <c r="O589" i="1"/>
  <c r="P589" i="1" s="1"/>
  <c r="O244" i="1"/>
  <c r="P244" i="1" s="1"/>
  <c r="R221" i="1"/>
  <c r="R560" i="1"/>
  <c r="R37" i="1"/>
  <c r="R271" i="1"/>
  <c r="R370" i="1"/>
  <c r="R407" i="1"/>
  <c r="R100" i="1"/>
  <c r="R743" i="1"/>
  <c r="O400" i="1"/>
  <c r="P400" i="1" s="1"/>
  <c r="R363" i="1"/>
  <c r="R52" i="1"/>
  <c r="O631" i="1"/>
  <c r="P631" i="1" s="1"/>
  <c r="O825" i="1"/>
  <c r="P825" i="1" s="1"/>
  <c r="O160" i="1"/>
  <c r="P160" i="1" s="1"/>
  <c r="P47" i="1"/>
  <c r="R47" i="1"/>
  <c r="P459" i="1"/>
  <c r="R459" i="1"/>
  <c r="O585" i="1"/>
  <c r="P585" i="1" s="1"/>
  <c r="O451" i="1"/>
  <c r="P451" i="1" s="1"/>
  <c r="O328" i="1"/>
  <c r="P328" i="1" s="1"/>
  <c r="O224" i="1"/>
  <c r="P224" i="1" s="1"/>
  <c r="O791" i="1"/>
  <c r="P791" i="1" s="1"/>
  <c r="O643" i="1"/>
  <c r="P643" i="1" s="1"/>
  <c r="O355" i="1"/>
  <c r="P355" i="1" s="1"/>
  <c r="O149" i="1"/>
  <c r="P149" i="1" s="1"/>
  <c r="O329" i="1"/>
  <c r="P329" i="1" s="1"/>
  <c r="O175" i="1"/>
  <c r="P175" i="1" s="1"/>
  <c r="O458" i="1"/>
  <c r="P458" i="1" s="1"/>
  <c r="R184" i="1"/>
  <c r="R353" i="1"/>
  <c r="R739" i="1"/>
  <c r="R501" i="1"/>
  <c r="R85" i="1"/>
  <c r="R713" i="1"/>
  <c r="R422" i="1"/>
  <c r="R581" i="1"/>
  <c r="R92" i="1"/>
  <c r="R136" i="1"/>
  <c r="R721" i="1"/>
  <c r="R434" i="1"/>
  <c r="R818" i="1"/>
  <c r="R687" i="1"/>
  <c r="R535" i="1"/>
  <c r="R111" i="1"/>
  <c r="R41" i="1"/>
  <c r="R146" i="1"/>
  <c r="R735" i="1"/>
  <c r="R72" i="1"/>
  <c r="R506" i="1"/>
  <c r="O693" i="1"/>
  <c r="P693" i="1" s="1"/>
  <c r="O376" i="1"/>
  <c r="P376" i="1" s="1"/>
  <c r="O366" i="1"/>
  <c r="P366" i="1" s="1"/>
  <c r="O703" i="1"/>
  <c r="P703" i="1" s="1"/>
  <c r="O766" i="1"/>
  <c r="P766" i="1" s="1"/>
  <c r="O820" i="1"/>
  <c r="P820" i="1" s="1"/>
  <c r="O38" i="1"/>
  <c r="P38" i="1" s="1"/>
  <c r="O109" i="1"/>
  <c r="P109" i="1" s="1"/>
  <c r="O690" i="1"/>
  <c r="P690" i="1" s="1"/>
  <c r="O485" i="1"/>
  <c r="P485" i="1" s="1"/>
  <c r="O348" i="1"/>
  <c r="P348" i="1" s="1"/>
  <c r="O197" i="1"/>
  <c r="P197" i="1" s="1"/>
  <c r="O828" i="1"/>
  <c r="P828" i="1" s="1"/>
  <c r="O318" i="1"/>
  <c r="P318" i="1" s="1"/>
  <c r="O518" i="1"/>
  <c r="P518" i="1" s="1"/>
  <c r="O231" i="1"/>
  <c r="P231" i="1" s="1"/>
  <c r="O419" i="1"/>
  <c r="P419" i="1" s="1"/>
  <c r="O594" i="1"/>
  <c r="P594" i="1" s="1"/>
  <c r="O152" i="1"/>
  <c r="P152" i="1" s="1"/>
  <c r="O346" i="1"/>
  <c r="P346" i="1" s="1"/>
  <c r="O819" i="1"/>
  <c r="P819" i="1" s="1"/>
  <c r="O714" i="1"/>
  <c r="P714" i="1" s="1"/>
  <c r="O179" i="1"/>
  <c r="P179" i="1" s="1"/>
  <c r="O514" i="1"/>
  <c r="P514" i="1" s="1"/>
  <c r="O330" i="1"/>
  <c r="P330" i="1" s="1"/>
  <c r="O148" i="1"/>
  <c r="P148" i="1" s="1"/>
  <c r="O257" i="1"/>
  <c r="P257" i="1" s="1"/>
  <c r="O248" i="1"/>
  <c r="P248" i="1" s="1"/>
  <c r="O471" i="1"/>
  <c r="P471" i="1" s="1"/>
  <c r="O550" i="1"/>
  <c r="P550" i="1" s="1"/>
  <c r="O448" i="1"/>
  <c r="P448" i="1" s="1"/>
  <c r="O96" i="1"/>
  <c r="P96" i="1" s="1"/>
  <c r="O311" i="1"/>
  <c r="P311" i="1" s="1"/>
  <c r="O326" i="1"/>
  <c r="P326" i="1" s="1"/>
  <c r="O280" i="1"/>
  <c r="P280" i="1" s="1"/>
  <c r="O7" i="1"/>
  <c r="P7" i="1" s="1"/>
  <c r="O33" i="1"/>
  <c r="P33" i="1" s="1"/>
  <c r="O835" i="1"/>
  <c r="P835" i="1" s="1"/>
  <c r="O322" i="1"/>
  <c r="P322" i="1" s="1"/>
  <c r="O481" i="1"/>
  <c r="P481" i="1" s="1"/>
  <c r="O480" i="1"/>
  <c r="P480" i="1" s="1"/>
  <c r="O799" i="1"/>
  <c r="P799" i="1" s="1"/>
  <c r="O295" i="1"/>
  <c r="P295" i="1" s="1"/>
  <c r="O89" i="1"/>
  <c r="P89" i="1" s="1"/>
  <c r="O155" i="1"/>
  <c r="P155" i="1" s="1"/>
  <c r="O593" i="1"/>
  <c r="P593" i="1" s="1"/>
  <c r="O652" i="1"/>
  <c r="P652" i="1" s="1"/>
  <c r="O97" i="1"/>
  <c r="P97" i="1" s="1"/>
  <c r="O186" i="1"/>
  <c r="P186" i="1" s="1"/>
  <c r="O455" i="1"/>
  <c r="P455" i="1" s="1"/>
  <c r="O200" i="1"/>
  <c r="P200" i="1" s="1"/>
  <c r="O696" i="1"/>
  <c r="P696" i="1" s="1"/>
  <c r="O153" i="1"/>
  <c r="P153" i="1" s="1"/>
  <c r="O686" i="1"/>
  <c r="P686" i="1" s="1"/>
  <c r="O431" i="1"/>
  <c r="P431" i="1" s="1"/>
  <c r="O513" i="1"/>
  <c r="P513" i="1" s="1"/>
  <c r="O729" i="1"/>
  <c r="P729" i="1" s="1"/>
  <c r="O752" i="1"/>
  <c r="P752" i="1" s="1"/>
  <c r="O460" i="1"/>
  <c r="P460" i="1" s="1"/>
  <c r="O731" i="1"/>
  <c r="P731" i="1" s="1"/>
  <c r="O157" i="1"/>
  <c r="P157" i="1" s="1"/>
  <c r="O65" i="1"/>
  <c r="P65" i="1" s="1"/>
  <c r="O708" i="1"/>
  <c r="P708" i="1" s="1"/>
  <c r="O629" i="1"/>
  <c r="P629" i="1" s="1"/>
  <c r="O590" i="1"/>
  <c r="P590" i="1" s="1"/>
  <c r="O644" i="1"/>
  <c r="P644" i="1" s="1"/>
  <c r="O479" i="1"/>
  <c r="P479" i="1" s="1"/>
  <c r="O5" i="1"/>
  <c r="P5" i="1" s="1"/>
  <c r="O25" i="1"/>
  <c r="P25" i="1" s="1"/>
  <c r="O409" i="1"/>
  <c r="P409" i="1" s="1"/>
  <c r="O220" i="1"/>
  <c r="P220" i="1" s="1"/>
  <c r="O15" i="1"/>
  <c r="P15" i="1" s="1"/>
  <c r="O203" i="1"/>
  <c r="P203" i="1" s="1"/>
  <c r="O320" i="1"/>
  <c r="P320" i="1" s="1"/>
  <c r="O809" i="1"/>
  <c r="P809" i="1" s="1"/>
  <c r="O531" i="1"/>
  <c r="P531" i="1" s="1"/>
  <c r="O627" i="1"/>
  <c r="P627" i="1" s="1"/>
  <c r="O277" i="1"/>
  <c r="P277" i="1" s="1"/>
  <c r="O53" i="1"/>
  <c r="P53" i="1" s="1"/>
  <c r="O321" i="1"/>
  <c r="P321" i="1" s="1"/>
  <c r="O493" i="1"/>
  <c r="P493" i="1" s="1"/>
  <c r="O537" i="1"/>
  <c r="P537" i="1" s="1"/>
  <c r="O21" i="1"/>
  <c r="P21" i="1" s="1"/>
  <c r="O656" i="1"/>
  <c r="P656" i="1" s="1"/>
  <c r="O587" i="1"/>
  <c r="P587" i="1" s="1"/>
  <c r="O669" i="1"/>
  <c r="P669" i="1" s="1"/>
  <c r="O699" i="1"/>
  <c r="P699" i="1" s="1"/>
  <c r="O23" i="1"/>
  <c r="P23" i="1" s="1"/>
  <c r="O511" i="1"/>
  <c r="P511" i="1" s="1"/>
  <c r="O737" i="1"/>
  <c r="P737" i="1" s="1"/>
  <c r="O553" i="1"/>
  <c r="P553" i="1" s="1"/>
  <c r="O421" i="1"/>
  <c r="P421" i="1" s="1"/>
  <c r="O468" i="1"/>
  <c r="P468" i="1" s="1"/>
  <c r="O294" i="1"/>
  <c r="P294" i="1" s="1"/>
  <c r="O472" i="1"/>
  <c r="P472" i="1" s="1"/>
  <c r="O247" i="1"/>
  <c r="P247" i="1" s="1"/>
  <c r="O66" i="1"/>
  <c r="P66" i="1" s="1"/>
  <c r="O785" i="1"/>
  <c r="P785" i="1" s="1"/>
  <c r="O347" i="1"/>
  <c r="P347" i="1" s="1"/>
  <c r="O137" i="1"/>
  <c r="P137" i="1" s="1"/>
  <c r="O286" i="1"/>
  <c r="P286" i="1" s="1"/>
  <c r="O73" i="1"/>
  <c r="P73" i="1" s="1"/>
  <c r="O208" i="1"/>
  <c r="P208" i="1" s="1"/>
  <c r="O495" i="1"/>
  <c r="P495" i="1" s="1"/>
  <c r="O577" i="1"/>
  <c r="P577" i="1" s="1"/>
  <c r="O395" i="1"/>
  <c r="P395" i="1" s="1"/>
  <c r="O503" i="1"/>
  <c r="P503" i="1" s="1"/>
  <c r="O416" i="1"/>
  <c r="P416" i="1" s="1"/>
  <c r="O824" i="1"/>
  <c r="P824" i="1" s="1"/>
  <c r="O57" i="1"/>
  <c r="P57" i="1" s="1"/>
  <c r="O387" i="1"/>
  <c r="P387" i="1" s="1"/>
  <c r="O113" i="1"/>
  <c r="P113" i="1" s="1"/>
  <c r="O545" i="1"/>
  <c r="P545" i="1" s="1"/>
  <c r="O748" i="1"/>
  <c r="P748" i="1" s="1"/>
  <c r="O568" i="1"/>
  <c r="P568" i="1" s="1"/>
  <c r="O48" i="1"/>
  <c r="P48" i="1" s="1"/>
  <c r="O602" i="1"/>
  <c r="P602" i="1" s="1"/>
  <c r="O571" i="1"/>
  <c r="P571" i="1" s="1"/>
  <c r="O795" i="1"/>
  <c r="P795" i="1" s="1"/>
  <c r="O726" i="1"/>
  <c r="P726" i="1" s="1"/>
  <c r="O380" i="1"/>
  <c r="P380" i="1" s="1"/>
  <c r="O673" i="1"/>
  <c r="P673" i="1" s="1"/>
  <c r="O64" i="1"/>
  <c r="P64" i="1" s="1"/>
  <c r="O315" i="1"/>
  <c r="P315" i="1" s="1"/>
  <c r="O382" i="1"/>
  <c r="P382" i="1" s="1"/>
  <c r="O159" i="1"/>
  <c r="P159" i="1" s="1"/>
  <c r="O575" i="1"/>
  <c r="P575" i="1" s="1"/>
  <c r="O717" i="1"/>
  <c r="P717" i="1" s="1"/>
  <c r="O750" i="1"/>
  <c r="P750" i="1" s="1"/>
  <c r="O657" i="1"/>
  <c r="P657" i="1" s="1"/>
  <c r="O427" i="1"/>
  <c r="P427" i="1" s="1"/>
  <c r="O790" i="1"/>
  <c r="P790" i="1" s="1"/>
  <c r="O91" i="1"/>
  <c r="P91" i="1" s="1"/>
  <c r="O372" i="1"/>
  <c r="P372" i="1" s="1"/>
  <c r="O675" i="1"/>
  <c r="P675" i="1" s="1"/>
  <c r="O617" i="1"/>
  <c r="P617" i="1" s="1"/>
  <c r="O202" i="1"/>
  <c r="P202" i="1" s="1"/>
  <c r="O551" i="1"/>
  <c r="P551" i="1" s="1"/>
  <c r="O473" i="1"/>
  <c r="P473" i="1" s="1"/>
  <c r="O823" i="1"/>
  <c r="P823" i="1" s="1"/>
  <c r="O290" i="1"/>
  <c r="P290" i="1" s="1"/>
  <c r="O251" i="1"/>
  <c r="P251" i="1" s="1"/>
  <c r="O526" i="1"/>
  <c r="P526" i="1" s="1"/>
  <c r="O305" i="1"/>
  <c r="P305" i="1" s="1"/>
  <c r="O647" i="1"/>
  <c r="P647" i="1" s="1"/>
  <c r="O805" i="1"/>
  <c r="P805" i="1" s="1"/>
  <c r="O412" i="1"/>
  <c r="P412" i="1" s="1"/>
  <c r="O632" i="1"/>
  <c r="P632" i="1" s="1"/>
  <c r="O777" i="1"/>
  <c r="P777" i="1" s="1"/>
  <c r="O314" i="1"/>
  <c r="P314" i="1" s="1"/>
  <c r="O401" i="1"/>
  <c r="P401" i="1" s="1"/>
  <c r="O119" i="1"/>
  <c r="P119" i="1" s="1"/>
  <c r="O449" i="1"/>
  <c r="P449" i="1" s="1"/>
  <c r="O517" i="1"/>
  <c r="P517" i="1" s="1"/>
  <c r="O446" i="1"/>
  <c r="P446" i="1" s="1"/>
  <c r="O303" i="1"/>
  <c r="P303" i="1" s="1"/>
  <c r="O469" i="1"/>
  <c r="P469" i="1" s="1"/>
  <c r="O340" i="1"/>
  <c r="P340" i="1" s="1"/>
  <c r="O843" i="1"/>
  <c r="P843" i="1" s="1"/>
  <c r="O378" i="1"/>
  <c r="P378" i="1" s="1"/>
  <c r="O22" i="1"/>
  <c r="P22" i="1" s="1"/>
  <c r="O192" i="1"/>
  <c r="P192" i="1" s="1"/>
  <c r="O132" i="1"/>
  <c r="P132" i="1" s="1"/>
  <c r="O364" i="1"/>
  <c r="P364" i="1" s="1"/>
  <c r="O661" i="1"/>
  <c r="P661" i="1" s="1"/>
  <c r="O591" i="1"/>
  <c r="P591" i="1" s="1"/>
  <c r="O450" i="1"/>
  <c r="P450" i="1" s="1"/>
  <c r="O31" i="1"/>
  <c r="P31" i="1" s="1"/>
  <c r="O452" i="1"/>
  <c r="P452" i="1" s="1"/>
  <c r="O264" i="1"/>
  <c r="P264" i="1" s="1"/>
  <c r="O12" i="1"/>
  <c r="P12" i="1" s="1"/>
  <c r="O107" i="1"/>
  <c r="P107" i="1" s="1"/>
  <c r="O757" i="1"/>
  <c r="P757" i="1" s="1"/>
  <c r="O564" i="1"/>
  <c r="P564" i="1" s="1"/>
  <c r="O3" i="1"/>
  <c r="P3" i="1" s="1"/>
  <c r="O502" i="1"/>
  <c r="P502" i="1" s="1"/>
  <c r="O81" i="1"/>
  <c r="P81" i="1" s="1"/>
  <c r="O386" i="1"/>
  <c r="P386" i="1" s="1"/>
  <c r="O55" i="1"/>
  <c r="P55" i="1" s="1"/>
  <c r="O832" i="1"/>
  <c r="P832" i="1" s="1"/>
  <c r="O59" i="1"/>
  <c r="P59" i="1" s="1"/>
  <c r="O561" i="1"/>
  <c r="P561" i="1" s="1"/>
  <c r="O325" i="1"/>
  <c r="P325" i="1" s="1"/>
  <c r="O844" i="1"/>
  <c r="P844" i="1" s="1"/>
  <c r="O241" i="1"/>
  <c r="P241" i="1" s="1"/>
  <c r="O475" i="1"/>
  <c r="P475" i="1" s="1"/>
  <c r="O125" i="1"/>
  <c r="P125" i="1" s="1"/>
  <c r="O229" i="1"/>
  <c r="P229" i="1" s="1"/>
  <c r="O414" i="1"/>
  <c r="P414" i="1" s="1"/>
  <c r="O625" i="1"/>
  <c r="P625" i="1" s="1"/>
  <c r="O716" i="1"/>
  <c r="P716" i="1" s="1"/>
  <c r="O633" i="1"/>
  <c r="P633" i="1" s="1"/>
  <c r="O476" i="1"/>
  <c r="P476" i="1" s="1"/>
  <c r="O371" i="1"/>
  <c r="P371" i="1" s="1"/>
  <c r="O569" i="1"/>
  <c r="P569" i="1" s="1"/>
  <c r="O151" i="1"/>
  <c r="P151" i="1" s="1"/>
  <c r="O128" i="1"/>
  <c r="P128" i="1" s="1"/>
  <c r="O359" i="1"/>
  <c r="P359" i="1" s="1"/>
  <c r="O112" i="1"/>
  <c r="P112" i="1" s="1"/>
  <c r="O712" i="1"/>
  <c r="P712" i="1" s="1"/>
  <c r="O273" i="1"/>
  <c r="P273" i="1" s="1"/>
  <c r="O39" i="1"/>
  <c r="P39" i="1" s="1"/>
  <c r="W145" i="1"/>
  <c r="W108" i="1"/>
  <c r="W140" i="1"/>
  <c r="W224" i="1"/>
  <c r="W229" i="1"/>
  <c r="W110" i="1"/>
  <c r="W118" i="1"/>
  <c r="W126" i="1"/>
  <c r="W241" i="1"/>
  <c r="W113" i="1"/>
  <c r="W116" i="1"/>
  <c r="W86" i="1"/>
  <c r="W161" i="1"/>
  <c r="W139" i="1"/>
  <c r="W100" i="1"/>
  <c r="W102" i="1"/>
  <c r="W247" i="1"/>
  <c r="W137" i="1"/>
  <c r="W97" i="1"/>
  <c r="W129" i="1"/>
  <c r="W124" i="1"/>
  <c r="W165" i="1"/>
  <c r="J86" i="1"/>
  <c r="J199" i="1"/>
  <c r="J601" i="1"/>
  <c r="J706" i="1"/>
  <c r="J102" i="1"/>
  <c r="J378" i="1"/>
  <c r="J436" i="1"/>
  <c r="J457" i="1"/>
  <c r="J557" i="1"/>
  <c r="J650" i="1"/>
  <c r="J682" i="1"/>
  <c r="J735" i="1"/>
  <c r="J831" i="1"/>
  <c r="J110" i="1"/>
  <c r="J246" i="1"/>
  <c r="J302" i="1"/>
  <c r="J322" i="1"/>
  <c r="J531" i="1"/>
  <c r="J698" i="1"/>
  <c r="J722" i="1"/>
  <c r="J750" i="1"/>
  <c r="J452" i="1"/>
  <c r="J216" i="1"/>
  <c r="J270" i="1"/>
  <c r="J338" i="1"/>
  <c r="J412" i="1"/>
  <c r="J654" i="1"/>
  <c r="J714" i="1"/>
  <c r="J318" i="1"/>
  <c r="J632" i="1"/>
  <c r="J782" i="1"/>
  <c r="J334" i="1"/>
  <c r="J126" i="1"/>
  <c r="J223" i="1"/>
  <c r="J478" i="1"/>
  <c r="J596" i="1"/>
  <c r="J743" i="1"/>
  <c r="J774" i="1"/>
  <c r="J790" i="1"/>
  <c r="J680" i="1"/>
  <c r="J486" i="1"/>
  <c r="J633" i="1"/>
  <c r="J207" i="1"/>
  <c r="J97" i="1"/>
  <c r="J118" i="1"/>
  <c r="J224" i="1"/>
  <c r="J553" i="1"/>
  <c r="J658" i="1"/>
  <c r="J674" i="1"/>
  <c r="J689" i="1"/>
  <c r="J823" i="1"/>
  <c r="J838" i="1"/>
  <c r="J665" i="1"/>
  <c r="J648" i="1"/>
  <c r="J94" i="1"/>
  <c r="J250" i="1"/>
  <c r="J355" i="1"/>
  <c r="J425" i="1"/>
  <c r="J524" i="1"/>
  <c r="J690" i="1"/>
  <c r="F511" i="1"/>
  <c r="G511" i="1" s="1"/>
  <c r="I713" i="1"/>
  <c r="K713" i="1" s="1"/>
  <c r="F767" i="1"/>
  <c r="G767" i="1" s="1"/>
  <c r="I223" i="1"/>
  <c r="K223" i="1" s="1"/>
  <c r="F230" i="1"/>
  <c r="G230" i="1" s="1"/>
  <c r="I498" i="1"/>
  <c r="K498" i="1" s="1"/>
  <c r="I697" i="1"/>
  <c r="K697" i="1" s="1"/>
  <c r="I425" i="1"/>
  <c r="L425" i="1" s="1"/>
  <c r="J411" i="1"/>
  <c r="I522" i="1"/>
  <c r="L522" i="1" s="1"/>
  <c r="I420" i="1"/>
  <c r="K420" i="1" s="1"/>
  <c r="F555" i="1"/>
  <c r="G555" i="1" s="1"/>
  <c r="I337" i="1"/>
  <c r="L337" i="1" s="1"/>
  <c r="F641" i="1"/>
  <c r="G641" i="1" s="1"/>
  <c r="I329" i="1"/>
  <c r="L329" i="1" s="1"/>
  <c r="F380" i="1"/>
  <c r="F543" i="1"/>
  <c r="G543" i="1" s="1"/>
  <c r="F580" i="1"/>
  <c r="G580" i="1" s="1"/>
  <c r="I680" i="1"/>
  <c r="L680" i="1" s="1"/>
  <c r="I750" i="1"/>
  <c r="K750" i="1" s="1"/>
  <c r="F809" i="1"/>
  <c r="G809" i="1" s="1"/>
  <c r="F293" i="1"/>
  <c r="I744" i="1"/>
  <c r="L744" i="1" s="1"/>
  <c r="I823" i="1"/>
  <c r="K823" i="1" s="1"/>
  <c r="F611" i="1"/>
  <c r="G611" i="1" s="1"/>
  <c r="I665" i="1"/>
  <c r="L665" i="1" s="1"/>
  <c r="I199" i="1"/>
  <c r="L199" i="1" s="1"/>
  <c r="I302" i="1"/>
  <c r="K302" i="1" s="1"/>
  <c r="F597" i="1"/>
  <c r="G597" i="1" s="1"/>
  <c r="I601" i="1"/>
  <c r="L601" i="1" s="1"/>
  <c r="I689" i="1"/>
  <c r="L689" i="1" s="1"/>
  <c r="F740" i="1"/>
  <c r="G740" i="1" s="1"/>
  <c r="I224" i="1"/>
  <c r="K224" i="1" s="1"/>
  <c r="I357" i="1"/>
  <c r="L357" i="1" s="1"/>
  <c r="F282" i="1"/>
  <c r="F326" i="1"/>
  <c r="F348" i="1"/>
  <c r="F458" i="1"/>
  <c r="G458" i="1" s="1"/>
  <c r="F519" i="1"/>
  <c r="G519" i="1" s="1"/>
  <c r="F535" i="1"/>
  <c r="G535" i="1" s="1"/>
  <c r="F541" i="1"/>
  <c r="G541" i="1" s="1"/>
  <c r="J618" i="1"/>
  <c r="F625" i="1"/>
  <c r="G625" i="1" s="1"/>
  <c r="I378" i="1"/>
  <c r="K378" i="1" s="1"/>
  <c r="F347" i="1"/>
  <c r="F487" i="1"/>
  <c r="G487" i="1" s="1"/>
  <c r="F527" i="1"/>
  <c r="G527" i="1" s="1"/>
  <c r="F551" i="1"/>
  <c r="G551" i="1" s="1"/>
  <c r="I648" i="1"/>
  <c r="L648" i="1" s="1"/>
  <c r="I658" i="1"/>
  <c r="L658" i="1" s="1"/>
  <c r="I674" i="1"/>
  <c r="L674" i="1" s="1"/>
  <c r="F321" i="1"/>
  <c r="F388" i="1"/>
  <c r="F404" i="1"/>
  <c r="F226" i="1"/>
  <c r="G226" i="1" s="1"/>
  <c r="F274" i="1"/>
  <c r="F280" i="1"/>
  <c r="F372" i="1"/>
  <c r="F394" i="1"/>
  <c r="I465" i="1"/>
  <c r="K465" i="1" s="1"/>
  <c r="I524" i="1"/>
  <c r="K524" i="1" s="1"/>
  <c r="I557" i="1"/>
  <c r="K557" i="1" s="1"/>
  <c r="I609" i="1"/>
  <c r="L609" i="1" s="1"/>
  <c r="F656" i="1"/>
  <c r="G656" i="1" s="1"/>
  <c r="F667" i="1"/>
  <c r="G667" i="1" s="1"/>
  <c r="F673" i="1"/>
  <c r="G673" i="1" s="1"/>
  <c r="I682" i="1"/>
  <c r="K682" i="1" s="1"/>
  <c r="I774" i="1"/>
  <c r="K774" i="1" s="1"/>
  <c r="I158" i="1"/>
  <c r="K158" i="1" s="1"/>
  <c r="F202" i="1"/>
  <c r="G202" i="1" s="1"/>
  <c r="I216" i="1"/>
  <c r="L216" i="1" s="1"/>
  <c r="F262" i="1"/>
  <c r="F286" i="1"/>
  <c r="F305" i="1"/>
  <c r="F310" i="1"/>
  <c r="W310" i="1" s="1"/>
  <c r="I334" i="1"/>
  <c r="K334" i="1" s="1"/>
  <c r="I338" i="1"/>
  <c r="L338" i="1" s="1"/>
  <c r="I361" i="1"/>
  <c r="L361" i="1" s="1"/>
  <c r="F384" i="1"/>
  <c r="I394" i="1"/>
  <c r="I410" i="1"/>
  <c r="L410" i="1" s="1"/>
  <c r="F441" i="1"/>
  <c r="I596" i="1"/>
  <c r="L596" i="1" s="1"/>
  <c r="F615" i="1"/>
  <c r="G615" i="1" s="1"/>
  <c r="I673" i="1"/>
  <c r="F705" i="1"/>
  <c r="G705" i="1" s="1"/>
  <c r="I782" i="1"/>
  <c r="L782" i="1" s="1"/>
  <c r="F588" i="1"/>
  <c r="G588" i="1" s="1"/>
  <c r="F366" i="1"/>
  <c r="F509" i="1"/>
  <c r="G509" i="1" s="1"/>
  <c r="F645" i="1"/>
  <c r="G645" i="1" s="1"/>
  <c r="I698" i="1"/>
  <c r="K698" i="1" s="1"/>
  <c r="I735" i="1"/>
  <c r="K735" i="1" s="1"/>
  <c r="F328" i="1"/>
  <c r="F712" i="1"/>
  <c r="G712" i="1" s="1"/>
  <c r="I790" i="1"/>
  <c r="K790" i="1" s="1"/>
  <c r="I207" i="1"/>
  <c r="L207" i="1" s="1"/>
  <c r="I355" i="1"/>
  <c r="K355" i="1" s="1"/>
  <c r="I165" i="1"/>
  <c r="K165" i="1" s="1"/>
  <c r="F105" i="1"/>
  <c r="G105" i="1" s="1"/>
  <c r="I113" i="1"/>
  <c r="K113" i="1" s="1"/>
  <c r="F121" i="1"/>
  <c r="G121" i="1" s="1"/>
  <c r="F142" i="1"/>
  <c r="G142" i="1" s="1"/>
  <c r="F176" i="1"/>
  <c r="G176" i="1" s="1"/>
  <c r="J473" i="1"/>
  <c r="K473" i="1"/>
  <c r="I290" i="1"/>
  <c r="L290" i="1" s="1"/>
  <c r="I838" i="1"/>
  <c r="K838" i="1" s="1"/>
  <c r="I97" i="1"/>
  <c r="L97" i="1" s="1"/>
  <c r="F162" i="1"/>
  <c r="G162" i="1" s="1"/>
  <c r="I255" i="1"/>
  <c r="K255" i="1" s="1"/>
  <c r="F264" i="1"/>
  <c r="J290" i="1"/>
  <c r="I318" i="1"/>
  <c r="K318" i="1" s="1"/>
  <c r="I322" i="1"/>
  <c r="L322" i="1" s="1"/>
  <c r="I395" i="1"/>
  <c r="L395" i="1" s="1"/>
  <c r="I426" i="1"/>
  <c r="L426" i="1" s="1"/>
  <c r="F442" i="1"/>
  <c r="I452" i="1"/>
  <c r="K452" i="1" s="1"/>
  <c r="I457" i="1"/>
  <c r="K457" i="1" s="1"/>
  <c r="I466" i="1"/>
  <c r="L466" i="1" s="1"/>
  <c r="I474" i="1"/>
  <c r="K474" i="1" s="1"/>
  <c r="F517" i="1"/>
  <c r="G517" i="1" s="1"/>
  <c r="F556" i="1"/>
  <c r="G556" i="1" s="1"/>
  <c r="F559" i="1"/>
  <c r="G559" i="1" s="1"/>
  <c r="I602" i="1"/>
  <c r="L602" i="1" s="1"/>
  <c r="F617" i="1"/>
  <c r="G617" i="1" s="1"/>
  <c r="J626" i="1"/>
  <c r="I632" i="1"/>
  <c r="L632" i="1" s="1"/>
  <c r="J642" i="1"/>
  <c r="F657" i="1"/>
  <c r="G657" i="1" s="1"/>
  <c r="I690" i="1"/>
  <c r="K690" i="1" s="1"/>
  <c r="F696" i="1"/>
  <c r="G696" i="1" s="1"/>
  <c r="F721" i="1"/>
  <c r="G721" i="1" s="1"/>
  <c r="I743" i="1"/>
  <c r="L743" i="1" s="1"/>
  <c r="F753" i="1"/>
  <c r="G753" i="1" s="1"/>
  <c r="F766" i="1"/>
  <c r="G766" i="1" s="1"/>
  <c r="I773" i="1"/>
  <c r="L773" i="1" s="1"/>
  <c r="F178" i="1"/>
  <c r="G178" i="1" s="1"/>
  <c r="J184" i="1"/>
  <c r="F261" i="1"/>
  <c r="J395" i="1"/>
  <c r="J426" i="1"/>
  <c r="I442" i="1"/>
  <c r="J474" i="1"/>
  <c r="J602" i="1"/>
  <c r="J609" i="1"/>
  <c r="I617" i="1"/>
  <c r="I657" i="1"/>
  <c r="I766" i="1"/>
  <c r="F769" i="1"/>
  <c r="G769" i="1" s="1"/>
  <c r="I626" i="1"/>
  <c r="K626" i="1" s="1"/>
  <c r="J666" i="1"/>
  <c r="F777" i="1"/>
  <c r="G777" i="1" s="1"/>
  <c r="I177" i="1"/>
  <c r="L177" i="1" s="1"/>
  <c r="F186" i="1"/>
  <c r="G186" i="1" s="1"/>
  <c r="I642" i="1"/>
  <c r="L642" i="1" s="1"/>
  <c r="I184" i="1"/>
  <c r="F244" i="1"/>
  <c r="G244" i="1" s="1"/>
  <c r="J357" i="1"/>
  <c r="F434" i="1"/>
  <c r="I458" i="1"/>
  <c r="J465" i="1"/>
  <c r="F468" i="1"/>
  <c r="G468" i="1" s="1"/>
  <c r="F540" i="1"/>
  <c r="G540" i="1" s="1"/>
  <c r="I722" i="1"/>
  <c r="L722" i="1" s="1"/>
  <c r="J365" i="1"/>
  <c r="F495" i="1"/>
  <c r="G495" i="1" s="1"/>
  <c r="F239" i="1"/>
  <c r="G239" i="1" s="1"/>
  <c r="F160" i="1"/>
  <c r="G160" i="1" s="1"/>
  <c r="F174" i="1"/>
  <c r="G174" i="1" s="1"/>
  <c r="F183" i="1"/>
  <c r="G183" i="1" s="1"/>
  <c r="I185" i="1"/>
  <c r="F192" i="1"/>
  <c r="G192" i="1" s="1"/>
  <c r="F200" i="1"/>
  <c r="G200" i="1" s="1"/>
  <c r="F210" i="1"/>
  <c r="G210" i="1" s="1"/>
  <c r="I231" i="1"/>
  <c r="I249" i="1"/>
  <c r="I266" i="1"/>
  <c r="I270" i="1"/>
  <c r="L270" i="1" s="1"/>
  <c r="I296" i="1"/>
  <c r="L296" i="1" s="1"/>
  <c r="J296" i="1"/>
  <c r="J314" i="1"/>
  <c r="F379" i="1"/>
  <c r="J402" i="1"/>
  <c r="I402" i="1"/>
  <c r="K402" i="1" s="1"/>
  <c r="I417" i="1"/>
  <c r="F417" i="1"/>
  <c r="J450" i="1"/>
  <c r="I450" i="1"/>
  <c r="K450" i="1" s="1"/>
  <c r="F514" i="1"/>
  <c r="G514" i="1" s="1"/>
  <c r="I633" i="1"/>
  <c r="L633" i="1" s="1"/>
  <c r="I775" i="1"/>
  <c r="F775" i="1"/>
  <c r="G775" i="1" s="1"/>
  <c r="F839" i="1"/>
  <c r="G839" i="1" s="1"/>
  <c r="I839" i="1"/>
  <c r="F231" i="1"/>
  <c r="G231" i="1" s="1"/>
  <c r="F245" i="1"/>
  <c r="G245" i="1" s="1"/>
  <c r="F266" i="1"/>
  <c r="F278" i="1"/>
  <c r="F313" i="1"/>
  <c r="F493" i="1"/>
  <c r="G493" i="1" s="1"/>
  <c r="I532" i="1"/>
  <c r="F532" i="1"/>
  <c r="G532" i="1" s="1"/>
  <c r="F724" i="1"/>
  <c r="G724" i="1" s="1"/>
  <c r="I751" i="1"/>
  <c r="F751" i="1"/>
  <c r="G751" i="1" s="1"/>
  <c r="J791" i="1"/>
  <c r="I791" i="1"/>
  <c r="L791" i="1" s="1"/>
  <c r="I807" i="1"/>
  <c r="F807" i="1"/>
  <c r="G807" i="1" s="1"/>
  <c r="I192" i="1"/>
  <c r="I370" i="1"/>
  <c r="F370" i="1"/>
  <c r="I418" i="1"/>
  <c r="I444" i="1"/>
  <c r="F444" i="1"/>
  <c r="F489" i="1"/>
  <c r="G489" i="1" s="1"/>
  <c r="I548" i="1"/>
  <c r="I565" i="1"/>
  <c r="I649" i="1"/>
  <c r="I758" i="1"/>
  <c r="F356" i="1"/>
  <c r="G356" i="1" s="1"/>
  <c r="F234" i="1"/>
  <c r="G234" i="1" s="1"/>
  <c r="F253" i="1"/>
  <c r="G253" i="1" s="1"/>
  <c r="F336" i="1"/>
  <c r="F343" i="1"/>
  <c r="I356" i="1"/>
  <c r="I449" i="1"/>
  <c r="F449" i="1"/>
  <c r="I174" i="1"/>
  <c r="I200" i="1"/>
  <c r="I240" i="1"/>
  <c r="F90" i="1"/>
  <c r="G90" i="1" s="1"/>
  <c r="F133" i="1"/>
  <c r="G133" i="1" s="1"/>
  <c r="F168" i="1"/>
  <c r="G168" i="1" s="1"/>
  <c r="F170" i="1"/>
  <c r="G170" i="1" s="1"/>
  <c r="F190" i="1"/>
  <c r="G190" i="1" s="1"/>
  <c r="F208" i="1"/>
  <c r="G208" i="1" s="1"/>
  <c r="F215" i="1"/>
  <c r="G215" i="1" s="1"/>
  <c r="F218" i="1"/>
  <c r="G218" i="1" s="1"/>
  <c r="F232" i="1"/>
  <c r="G232" i="1" s="1"/>
  <c r="F240" i="1"/>
  <c r="G240" i="1" s="1"/>
  <c r="I246" i="1"/>
  <c r="K246" i="1" s="1"/>
  <c r="F254" i="1"/>
  <c r="I306" i="1"/>
  <c r="L306" i="1" s="1"/>
  <c r="I314" i="1"/>
  <c r="I375" i="1"/>
  <c r="F375" i="1"/>
  <c r="G375" i="1" s="1"/>
  <c r="F418" i="1"/>
  <c r="F548" i="1"/>
  <c r="G548" i="1" s="1"/>
  <c r="F565" i="1"/>
  <c r="G565" i="1" s="1"/>
  <c r="J583" i="1"/>
  <c r="F629" i="1"/>
  <c r="G629" i="1" s="1"/>
  <c r="F649" i="1"/>
  <c r="G649" i="1" s="1"/>
  <c r="F758" i="1"/>
  <c r="G758" i="1" s="1"/>
  <c r="J815" i="1"/>
  <c r="I815" i="1"/>
  <c r="K815" i="1" s="1"/>
  <c r="J364" i="1"/>
  <c r="I364" i="1"/>
  <c r="L364" i="1" s="1"/>
  <c r="J137" i="1"/>
  <c r="I169" i="1"/>
  <c r="L169" i="1" s="1"/>
  <c r="F352" i="1"/>
  <c r="I396" i="1"/>
  <c r="F396" i="1"/>
  <c r="J591" i="1"/>
  <c r="I168" i="1"/>
  <c r="I208" i="1"/>
  <c r="I254" i="1"/>
  <c r="J306" i="1"/>
  <c r="J330" i="1"/>
  <c r="J350" i="1"/>
  <c r="I433" i="1"/>
  <c r="F433" i="1"/>
  <c r="G433" i="1" s="1"/>
  <c r="I481" i="1"/>
  <c r="F481" i="1"/>
  <c r="G481" i="1" s="1"/>
  <c r="J783" i="1"/>
  <c r="I783" i="1"/>
  <c r="L783" i="1" s="1"/>
  <c r="J799" i="1"/>
  <c r="I799" i="1"/>
  <c r="L799" i="1" s="1"/>
  <c r="F298" i="1"/>
  <c r="F387" i="1"/>
  <c r="I387" i="1"/>
  <c r="I460" i="1"/>
  <c r="F460" i="1"/>
  <c r="I501" i="1"/>
  <c r="F501" i="1"/>
  <c r="G501" i="1" s="1"/>
  <c r="I525" i="1"/>
  <c r="F525" i="1"/>
  <c r="G525" i="1" s="1"/>
  <c r="I573" i="1"/>
  <c r="F573" i="1"/>
  <c r="G573" i="1" s="1"/>
  <c r="F154" i="1"/>
  <c r="G154" i="1" s="1"/>
  <c r="F194" i="1"/>
  <c r="G194" i="1" s="1"/>
  <c r="F258" i="1"/>
  <c r="I277" i="1"/>
  <c r="L277" i="1" s="1"/>
  <c r="F294" i="1"/>
  <c r="I298" i="1"/>
  <c r="I330" i="1"/>
  <c r="L330" i="1" s="1"/>
  <c r="I428" i="1"/>
  <c r="F428" i="1"/>
  <c r="I482" i="1"/>
  <c r="F482" i="1"/>
  <c r="G482" i="1" s="1"/>
  <c r="I729" i="1"/>
  <c r="F729" i="1"/>
  <c r="G729" i="1" s="1"/>
  <c r="I761" i="1"/>
  <c r="F761" i="1"/>
  <c r="G761" i="1" s="1"/>
  <c r="I830" i="1"/>
  <c r="F830" i="1"/>
  <c r="G830" i="1" s="1"/>
  <c r="J329" i="1"/>
  <c r="L473" i="1"/>
  <c r="J697" i="1"/>
  <c r="J713" i="1"/>
  <c r="J825" i="1"/>
  <c r="F581" i="1"/>
  <c r="G581" i="1" s="1"/>
  <c r="F589" i="1"/>
  <c r="G589" i="1" s="1"/>
  <c r="I730" i="1"/>
  <c r="L730" i="1" s="1"/>
  <c r="F745" i="1"/>
  <c r="G745" i="1" s="1"/>
  <c r="F759" i="1"/>
  <c r="G759" i="1" s="1"/>
  <c r="F822" i="1"/>
  <c r="G822" i="1" s="1"/>
  <c r="I831" i="1"/>
  <c r="K831" i="1" s="1"/>
  <c r="I412" i="1"/>
  <c r="L412" i="1" s="1"/>
  <c r="I434" i="1"/>
  <c r="J466" i="1"/>
  <c r="F503" i="1"/>
  <c r="G503" i="1" s="1"/>
  <c r="F533" i="1"/>
  <c r="G533" i="1" s="1"/>
  <c r="F547" i="1"/>
  <c r="G547" i="1" s="1"/>
  <c r="F549" i="1"/>
  <c r="G549" i="1" s="1"/>
  <c r="F564" i="1"/>
  <c r="G564" i="1" s="1"/>
  <c r="F572" i="1"/>
  <c r="G572" i="1" s="1"/>
  <c r="F579" i="1"/>
  <c r="G579" i="1" s="1"/>
  <c r="F606" i="1"/>
  <c r="G606" i="1" s="1"/>
  <c r="I634" i="1"/>
  <c r="L634" i="1" s="1"/>
  <c r="I650" i="1"/>
  <c r="L650" i="1" s="1"/>
  <c r="F681" i="1"/>
  <c r="G681" i="1" s="1"/>
  <c r="I706" i="1"/>
  <c r="L706" i="1" s="1"/>
  <c r="I714" i="1"/>
  <c r="K714" i="1" s="1"/>
  <c r="J730" i="1"/>
  <c r="F737" i="1"/>
  <c r="G737" i="1" s="1"/>
  <c r="I759" i="1"/>
  <c r="F785" i="1"/>
  <c r="G785" i="1" s="1"/>
  <c r="F793" i="1"/>
  <c r="G793" i="1" s="1"/>
  <c r="F798" i="1"/>
  <c r="G798" i="1" s="1"/>
  <c r="F801" i="1"/>
  <c r="G801" i="1" s="1"/>
  <c r="F806" i="1"/>
  <c r="G806" i="1" s="1"/>
  <c r="F814" i="1"/>
  <c r="G814" i="1" s="1"/>
  <c r="F817" i="1"/>
  <c r="G817" i="1" s="1"/>
  <c r="I564" i="1"/>
  <c r="J634" i="1"/>
  <c r="J833" i="1"/>
  <c r="F144" i="1"/>
  <c r="G144" i="1" s="1"/>
  <c r="I147" i="1"/>
  <c r="K147" i="1" s="1"/>
  <c r="J100" i="1"/>
  <c r="J108" i="1"/>
  <c r="J116" i="1"/>
  <c r="J124" i="1"/>
  <c r="F128" i="1"/>
  <c r="G128" i="1" s="1"/>
  <c r="F136" i="1"/>
  <c r="G136" i="1" s="1"/>
  <c r="I144" i="1"/>
  <c r="F152" i="1"/>
  <c r="G152" i="1" s="1"/>
  <c r="I128" i="1"/>
  <c r="I152" i="1"/>
  <c r="F89" i="1"/>
  <c r="G89" i="1" s="1"/>
  <c r="F92" i="1"/>
  <c r="G92" i="1" s="1"/>
  <c r="F84" i="1"/>
  <c r="G84" i="1" s="1"/>
  <c r="F98" i="1"/>
  <c r="G98" i="1" s="1"/>
  <c r="F106" i="1"/>
  <c r="G106" i="1" s="1"/>
  <c r="F114" i="1"/>
  <c r="G114" i="1" s="1"/>
  <c r="F122" i="1"/>
  <c r="G122" i="1" s="1"/>
  <c r="I129" i="1"/>
  <c r="I153" i="1"/>
  <c r="K153" i="1" s="1"/>
  <c r="J129" i="1"/>
  <c r="F138" i="1"/>
  <c r="G138" i="1" s="1"/>
  <c r="F151" i="1"/>
  <c r="G151" i="1" s="1"/>
  <c r="I96" i="1"/>
  <c r="F96" i="1"/>
  <c r="G96" i="1" s="1"/>
  <c r="I88" i="1"/>
  <c r="F88" i="1"/>
  <c r="G88" i="1" s="1"/>
  <c r="I104" i="1"/>
  <c r="F104" i="1"/>
  <c r="G104" i="1" s="1"/>
  <c r="F155" i="1"/>
  <c r="G155" i="1" s="1"/>
  <c r="F171" i="1"/>
  <c r="G171" i="1" s="1"/>
  <c r="F187" i="1"/>
  <c r="G187" i="1" s="1"/>
  <c r="I193" i="1"/>
  <c r="F193" i="1"/>
  <c r="G193" i="1" s="1"/>
  <c r="J197" i="1"/>
  <c r="I197" i="1"/>
  <c r="L197" i="1" s="1"/>
  <c r="I220" i="1"/>
  <c r="F220" i="1"/>
  <c r="G220" i="1" s="1"/>
  <c r="J243" i="1"/>
  <c r="I243" i="1"/>
  <c r="L243" i="1" s="1"/>
  <c r="I164" i="1"/>
  <c r="F167" i="1"/>
  <c r="G167" i="1" s="1"/>
  <c r="I180" i="1"/>
  <c r="I201" i="1"/>
  <c r="F201" i="1"/>
  <c r="G201" i="1" s="1"/>
  <c r="I205" i="1"/>
  <c r="I228" i="1"/>
  <c r="F228" i="1"/>
  <c r="G228" i="1" s="1"/>
  <c r="F112" i="1"/>
  <c r="G112" i="1" s="1"/>
  <c r="F120" i="1"/>
  <c r="G120" i="1" s="1"/>
  <c r="I155" i="1"/>
  <c r="I161" i="1"/>
  <c r="K161" i="1" s="1"/>
  <c r="I171" i="1"/>
  <c r="F87" i="1"/>
  <c r="G87" i="1" s="1"/>
  <c r="F95" i="1"/>
  <c r="G95" i="1" s="1"/>
  <c r="F103" i="1"/>
  <c r="G103" i="1" s="1"/>
  <c r="F111" i="1"/>
  <c r="G111" i="1" s="1"/>
  <c r="I112" i="1"/>
  <c r="J113" i="1"/>
  <c r="F119" i="1"/>
  <c r="G119" i="1" s="1"/>
  <c r="I120" i="1"/>
  <c r="F127" i="1"/>
  <c r="G127" i="1" s="1"/>
  <c r="F132" i="1"/>
  <c r="G132" i="1" s="1"/>
  <c r="I137" i="1"/>
  <c r="L137" i="1" s="1"/>
  <c r="F141" i="1"/>
  <c r="G141" i="1" s="1"/>
  <c r="F146" i="1"/>
  <c r="G146" i="1" s="1"/>
  <c r="F150" i="1"/>
  <c r="G150" i="1" s="1"/>
  <c r="J157" i="1"/>
  <c r="J158" i="1"/>
  <c r="J161" i="1"/>
  <c r="F164" i="1"/>
  <c r="G164" i="1" s="1"/>
  <c r="I167" i="1"/>
  <c r="J173" i="1"/>
  <c r="J177" i="1"/>
  <c r="F180" i="1"/>
  <c r="G180" i="1" s="1"/>
  <c r="I183" i="1"/>
  <c r="J189" i="1"/>
  <c r="F205" i="1"/>
  <c r="G205" i="1" s="1"/>
  <c r="I209" i="1"/>
  <c r="F209" i="1"/>
  <c r="G209" i="1" s="1"/>
  <c r="J213" i="1"/>
  <c r="I213" i="1"/>
  <c r="L213" i="1" s="1"/>
  <c r="I248" i="1"/>
  <c r="L248" i="1" s="1"/>
  <c r="J248" i="1"/>
  <c r="J257" i="1"/>
  <c r="I257" i="1"/>
  <c r="L257" i="1" s="1"/>
  <c r="I217" i="1"/>
  <c r="F217" i="1"/>
  <c r="G217" i="1" s="1"/>
  <c r="I221" i="1"/>
  <c r="F85" i="1"/>
  <c r="G85" i="1" s="1"/>
  <c r="I86" i="1"/>
  <c r="L86" i="1" s="1"/>
  <c r="F93" i="1"/>
  <c r="G93" i="1" s="1"/>
  <c r="I94" i="1"/>
  <c r="K94" i="1" s="1"/>
  <c r="F101" i="1"/>
  <c r="G101" i="1" s="1"/>
  <c r="I102" i="1"/>
  <c r="L102" i="1" s="1"/>
  <c r="F109" i="1"/>
  <c r="G109" i="1" s="1"/>
  <c r="I110" i="1"/>
  <c r="F117" i="1"/>
  <c r="G117" i="1" s="1"/>
  <c r="I118" i="1"/>
  <c r="L118" i="1" s="1"/>
  <c r="F125" i="1"/>
  <c r="G125" i="1" s="1"/>
  <c r="I126" i="1"/>
  <c r="L126" i="1" s="1"/>
  <c r="F131" i="1"/>
  <c r="G131" i="1" s="1"/>
  <c r="F135" i="1"/>
  <c r="G135" i="1" s="1"/>
  <c r="I145" i="1"/>
  <c r="K145" i="1" s="1"/>
  <c r="F149" i="1"/>
  <c r="G149" i="1" s="1"/>
  <c r="I157" i="1"/>
  <c r="K157" i="1" s="1"/>
  <c r="F163" i="1"/>
  <c r="G163" i="1" s="1"/>
  <c r="F166" i="1"/>
  <c r="G166" i="1" s="1"/>
  <c r="I173" i="1"/>
  <c r="K173" i="1" s="1"/>
  <c r="F179" i="1"/>
  <c r="G179" i="1" s="1"/>
  <c r="F182" i="1"/>
  <c r="G182" i="1" s="1"/>
  <c r="I189" i="1"/>
  <c r="K189" i="1" s="1"/>
  <c r="F198" i="1"/>
  <c r="G198" i="1" s="1"/>
  <c r="J206" i="1"/>
  <c r="F221" i="1"/>
  <c r="G221" i="1" s="1"/>
  <c r="I225" i="1"/>
  <c r="F225" i="1"/>
  <c r="G225" i="1" s="1"/>
  <c r="J229" i="1"/>
  <c r="I229" i="1"/>
  <c r="L229" i="1" s="1"/>
  <c r="I237" i="1"/>
  <c r="F237" i="1"/>
  <c r="G237" i="1" s="1"/>
  <c r="I260" i="1"/>
  <c r="F260" i="1"/>
  <c r="F267" i="1"/>
  <c r="F299" i="1"/>
  <c r="I233" i="1"/>
  <c r="F233" i="1"/>
  <c r="G233" i="1" s="1"/>
  <c r="I273" i="1"/>
  <c r="I289" i="1"/>
  <c r="I87" i="1"/>
  <c r="I93" i="1"/>
  <c r="I101" i="1"/>
  <c r="I109" i="1"/>
  <c r="I117" i="1"/>
  <c r="I125" i="1"/>
  <c r="I135" i="1"/>
  <c r="J145" i="1"/>
  <c r="I149" i="1"/>
  <c r="I172" i="1"/>
  <c r="I182" i="1"/>
  <c r="I196" i="1"/>
  <c r="F196" i="1"/>
  <c r="G196" i="1" s="1"/>
  <c r="I84" i="1"/>
  <c r="F91" i="1"/>
  <c r="G91" i="1" s="1"/>
  <c r="I92" i="1"/>
  <c r="F99" i="1"/>
  <c r="G99" i="1" s="1"/>
  <c r="I100" i="1"/>
  <c r="F107" i="1"/>
  <c r="G107" i="1" s="1"/>
  <c r="I108" i="1"/>
  <c r="F115" i="1"/>
  <c r="G115" i="1" s="1"/>
  <c r="I116" i="1"/>
  <c r="F123" i="1"/>
  <c r="G123" i="1" s="1"/>
  <c r="I124" i="1"/>
  <c r="F130" i="1"/>
  <c r="G130" i="1" s="1"/>
  <c r="F134" i="1"/>
  <c r="G134" i="1" s="1"/>
  <c r="J140" i="1"/>
  <c r="F143" i="1"/>
  <c r="G143" i="1" s="1"/>
  <c r="F148" i="1"/>
  <c r="G148" i="1" s="1"/>
  <c r="J153" i="1"/>
  <c r="I159" i="1"/>
  <c r="K159" i="1" s="1"/>
  <c r="J165" i="1"/>
  <c r="J169" i="1"/>
  <c r="F172" i="1"/>
  <c r="G172" i="1" s="1"/>
  <c r="I175" i="1"/>
  <c r="K175" i="1" s="1"/>
  <c r="J185" i="1"/>
  <c r="I191" i="1"/>
  <c r="K191" i="1" s="1"/>
  <c r="I204" i="1"/>
  <c r="F204" i="1"/>
  <c r="G204" i="1" s="1"/>
  <c r="I206" i="1"/>
  <c r="K206" i="1" s="1"/>
  <c r="F214" i="1"/>
  <c r="G214" i="1" s="1"/>
  <c r="I238" i="1"/>
  <c r="I268" i="1"/>
  <c r="F268" i="1"/>
  <c r="F273" i="1"/>
  <c r="F289" i="1"/>
  <c r="I292" i="1"/>
  <c r="F292" i="1"/>
  <c r="I85" i="1"/>
  <c r="J139" i="1"/>
  <c r="I140" i="1"/>
  <c r="K140" i="1" s="1"/>
  <c r="I156" i="1"/>
  <c r="L156" i="1" s="1"/>
  <c r="I166" i="1"/>
  <c r="I188" i="1"/>
  <c r="L188" i="1" s="1"/>
  <c r="I198" i="1"/>
  <c r="I139" i="1"/>
  <c r="J147" i="1"/>
  <c r="I148" i="1"/>
  <c r="J156" i="1"/>
  <c r="J159" i="1"/>
  <c r="J175" i="1"/>
  <c r="F181" i="1"/>
  <c r="G181" i="1" s="1"/>
  <c r="J188" i="1"/>
  <c r="J191" i="1"/>
  <c r="I212" i="1"/>
  <c r="F212" i="1"/>
  <c r="G212" i="1" s="1"/>
  <c r="I214" i="1"/>
  <c r="F222" i="1"/>
  <c r="G222" i="1" s="1"/>
  <c r="F238" i="1"/>
  <c r="G238" i="1" s="1"/>
  <c r="J252" i="1"/>
  <c r="I252" i="1"/>
  <c r="L252" i="1" s="1"/>
  <c r="I276" i="1"/>
  <c r="F276" i="1"/>
  <c r="F283" i="1"/>
  <c r="J308" i="1"/>
  <c r="I308" i="1"/>
  <c r="L308" i="1" s="1"/>
  <c r="I339" i="1"/>
  <c r="F339" i="1"/>
  <c r="G339" i="1" s="1"/>
  <c r="F341" i="1"/>
  <c r="J345" i="1"/>
  <c r="I362" i="1"/>
  <c r="F362" i="1"/>
  <c r="G362" i="1" s="1"/>
  <c r="I331" i="1"/>
  <c r="F331" i="1"/>
  <c r="I358" i="1"/>
  <c r="F358" i="1"/>
  <c r="G358" i="1" s="1"/>
  <c r="F373" i="1"/>
  <c r="I382" i="1"/>
  <c r="I414" i="1"/>
  <c r="F263" i="1"/>
  <c r="F279" i="1"/>
  <c r="F295" i="1"/>
  <c r="F320" i="1"/>
  <c r="I323" i="1"/>
  <c r="F323" i="1"/>
  <c r="F333" i="1"/>
  <c r="I345" i="1"/>
  <c r="K345" i="1" s="1"/>
  <c r="I373" i="1"/>
  <c r="F382" i="1"/>
  <c r="G382" i="1" s="1"/>
  <c r="F414" i="1"/>
  <c r="J420" i="1"/>
  <c r="F236" i="1"/>
  <c r="G236" i="1" s="1"/>
  <c r="F242" i="1"/>
  <c r="G242" i="1" s="1"/>
  <c r="I247" i="1"/>
  <c r="K247" i="1" s="1"/>
  <c r="F251" i="1"/>
  <c r="G251" i="1" s="1"/>
  <c r="F256" i="1"/>
  <c r="G256" i="1" s="1"/>
  <c r="I263" i="1"/>
  <c r="F269" i="1"/>
  <c r="I279" i="1"/>
  <c r="F285" i="1"/>
  <c r="I295" i="1"/>
  <c r="F301" i="1"/>
  <c r="F312" i="1"/>
  <c r="I315" i="1"/>
  <c r="F315" i="1"/>
  <c r="F325" i="1"/>
  <c r="I333" i="1"/>
  <c r="F335" i="1"/>
  <c r="F351" i="1"/>
  <c r="F363" i="1"/>
  <c r="I367" i="1"/>
  <c r="F367" i="1"/>
  <c r="F195" i="1"/>
  <c r="G195" i="1" s="1"/>
  <c r="F203" i="1"/>
  <c r="G203" i="1" s="1"/>
  <c r="F211" i="1"/>
  <c r="G211" i="1" s="1"/>
  <c r="F219" i="1"/>
  <c r="G219" i="1" s="1"/>
  <c r="F227" i="1"/>
  <c r="G227" i="1" s="1"/>
  <c r="F235" i="1"/>
  <c r="G235" i="1" s="1"/>
  <c r="I236" i="1"/>
  <c r="J241" i="1"/>
  <c r="I242" i="1"/>
  <c r="J247" i="1"/>
  <c r="I251" i="1"/>
  <c r="F259" i="1"/>
  <c r="J265" i="1"/>
  <c r="I269" i="1"/>
  <c r="F272" i="1"/>
  <c r="F275" i="1"/>
  <c r="J281" i="1"/>
  <c r="I285" i="1"/>
  <c r="F288" i="1"/>
  <c r="F291" i="1"/>
  <c r="J297" i="1"/>
  <c r="I301" i="1"/>
  <c r="F304" i="1"/>
  <c r="I307" i="1"/>
  <c r="F307" i="1"/>
  <c r="J309" i="1"/>
  <c r="F317" i="1"/>
  <c r="I325" i="1"/>
  <c r="F327" i="1"/>
  <c r="I335" i="1"/>
  <c r="J337" i="1"/>
  <c r="J340" i="1"/>
  <c r="I340" i="1"/>
  <c r="K340" i="1" s="1"/>
  <c r="I342" i="1"/>
  <c r="F342" i="1"/>
  <c r="F346" i="1"/>
  <c r="G346" i="1" s="1"/>
  <c r="F349" i="1"/>
  <c r="G349" i="1" s="1"/>
  <c r="I349" i="1"/>
  <c r="I351" i="1"/>
  <c r="I353" i="1"/>
  <c r="F353" i="1"/>
  <c r="F359" i="1"/>
  <c r="G359" i="1" s="1"/>
  <c r="I363" i="1"/>
  <c r="J393" i="1"/>
  <c r="I393" i="1"/>
  <c r="K393" i="1" s="1"/>
  <c r="F319" i="1"/>
  <c r="I332" i="1"/>
  <c r="I344" i="1"/>
  <c r="F344" i="1"/>
  <c r="I390" i="1"/>
  <c r="F390" i="1"/>
  <c r="I400" i="1"/>
  <c r="I241" i="1"/>
  <c r="J249" i="1"/>
  <c r="I250" i="1"/>
  <c r="L250" i="1" s="1"/>
  <c r="J255" i="1"/>
  <c r="I265" i="1"/>
  <c r="F271" i="1"/>
  <c r="J277" i="1"/>
  <c r="I281" i="1"/>
  <c r="L281" i="1" s="1"/>
  <c r="F284" i="1"/>
  <c r="F287" i="1"/>
  <c r="I297" i="1"/>
  <c r="L297" i="1" s="1"/>
  <c r="F300" i="1"/>
  <c r="F303" i="1"/>
  <c r="I309" i="1"/>
  <c r="K309" i="1" s="1"/>
  <c r="F311" i="1"/>
  <c r="I319" i="1"/>
  <c r="I324" i="1"/>
  <c r="F332" i="1"/>
  <c r="F368" i="1"/>
  <c r="I377" i="1"/>
  <c r="I386" i="1"/>
  <c r="F397" i="1"/>
  <c r="G397" i="1" s="1"/>
  <c r="I397" i="1"/>
  <c r="F400" i="1"/>
  <c r="J410" i="1"/>
  <c r="I303" i="1"/>
  <c r="J316" i="1"/>
  <c r="I316" i="1"/>
  <c r="F324" i="1"/>
  <c r="I350" i="1"/>
  <c r="K350" i="1" s="1"/>
  <c r="F354" i="1"/>
  <c r="I368" i="1"/>
  <c r="F377" i="1"/>
  <c r="F386" i="1"/>
  <c r="G386" i="1" s="1"/>
  <c r="F403" i="1"/>
  <c r="G403" i="1" s="1"/>
  <c r="I403" i="1"/>
  <c r="J407" i="1"/>
  <c r="I407" i="1"/>
  <c r="L407" i="1" s="1"/>
  <c r="I470" i="1"/>
  <c r="I483" i="1"/>
  <c r="F483" i="1"/>
  <c r="G483" i="1" s="1"/>
  <c r="F485" i="1"/>
  <c r="G485" i="1" s="1"/>
  <c r="F494" i="1"/>
  <c r="G494" i="1" s="1"/>
  <c r="I494" i="1"/>
  <c r="F506" i="1"/>
  <c r="G506" i="1" s="1"/>
  <c r="F516" i="1"/>
  <c r="G516" i="1" s="1"/>
  <c r="I518" i="1"/>
  <c r="F518" i="1"/>
  <c r="G518" i="1" s="1"/>
  <c r="I538" i="1"/>
  <c r="F538" i="1"/>
  <c r="G538" i="1" s="1"/>
  <c r="I462" i="1"/>
  <c r="F470" i="1"/>
  <c r="G470" i="1" s="1"/>
  <c r="F472" i="1"/>
  <c r="G472" i="1" s="1"/>
  <c r="I492" i="1"/>
  <c r="F492" i="1"/>
  <c r="G492" i="1" s="1"/>
  <c r="I521" i="1"/>
  <c r="F521" i="1"/>
  <c r="G521" i="1" s="1"/>
  <c r="I422" i="1"/>
  <c r="I430" i="1"/>
  <c r="I438" i="1"/>
  <c r="I446" i="1"/>
  <c r="I454" i="1"/>
  <c r="F462" i="1"/>
  <c r="F464" i="1"/>
  <c r="I467" i="1"/>
  <c r="F467" i="1"/>
  <c r="G467" i="1" s="1"/>
  <c r="I472" i="1"/>
  <c r="I480" i="1"/>
  <c r="F504" i="1"/>
  <c r="G504" i="1" s="1"/>
  <c r="I504" i="1"/>
  <c r="I507" i="1"/>
  <c r="F371" i="1"/>
  <c r="F376" i="1"/>
  <c r="I381" i="1"/>
  <c r="K381" i="1" s="1"/>
  <c r="F385" i="1"/>
  <c r="I406" i="1"/>
  <c r="F409" i="1"/>
  <c r="F413" i="1"/>
  <c r="F416" i="1"/>
  <c r="G416" i="1" s="1"/>
  <c r="I419" i="1"/>
  <c r="F419" i="1"/>
  <c r="G419" i="1" s="1"/>
  <c r="F422" i="1"/>
  <c r="F424" i="1"/>
  <c r="I427" i="1"/>
  <c r="F427" i="1"/>
  <c r="F430" i="1"/>
  <c r="F432" i="1"/>
  <c r="G432" i="1" s="1"/>
  <c r="I435" i="1"/>
  <c r="F435" i="1"/>
  <c r="G435" i="1" s="1"/>
  <c r="K436" i="1"/>
  <c r="F438" i="1"/>
  <c r="F440" i="1"/>
  <c r="I443" i="1"/>
  <c r="F443" i="1"/>
  <c r="G443" i="1" s="1"/>
  <c r="F446" i="1"/>
  <c r="F448" i="1"/>
  <c r="I451" i="1"/>
  <c r="F451" i="1"/>
  <c r="F454" i="1"/>
  <c r="F456" i="1"/>
  <c r="G456" i="1" s="1"/>
  <c r="I459" i="1"/>
  <c r="F459" i="1"/>
  <c r="I464" i="1"/>
  <c r="J476" i="1"/>
  <c r="F480" i="1"/>
  <c r="G480" i="1" s="1"/>
  <c r="F502" i="1"/>
  <c r="G502" i="1" s="1"/>
  <c r="I502" i="1"/>
  <c r="F507" i="1"/>
  <c r="G507" i="1" s="1"/>
  <c r="F512" i="1"/>
  <c r="G512" i="1" s="1"/>
  <c r="I512" i="1"/>
  <c r="I371" i="1"/>
  <c r="I376" i="1"/>
  <c r="J381" i="1"/>
  <c r="I385" i="1"/>
  <c r="F389" i="1"/>
  <c r="F392" i="1"/>
  <c r="F399" i="1"/>
  <c r="F406" i="1"/>
  <c r="G406" i="1" s="1"/>
  <c r="I409" i="1"/>
  <c r="I413" i="1"/>
  <c r="I416" i="1"/>
  <c r="I424" i="1"/>
  <c r="I432" i="1"/>
  <c r="L436" i="1"/>
  <c r="I440" i="1"/>
  <c r="I448" i="1"/>
  <c r="I456" i="1"/>
  <c r="F469" i="1"/>
  <c r="G469" i="1" s="1"/>
  <c r="J471" i="1"/>
  <c r="J484" i="1"/>
  <c r="F488" i="1"/>
  <c r="G488" i="1" s="1"/>
  <c r="F490" i="1"/>
  <c r="G490" i="1" s="1"/>
  <c r="F500" i="1"/>
  <c r="G500" i="1" s="1"/>
  <c r="F510" i="1"/>
  <c r="G510" i="1" s="1"/>
  <c r="I510" i="1"/>
  <c r="F536" i="1"/>
  <c r="G536" i="1" s="1"/>
  <c r="I536" i="1"/>
  <c r="F461" i="1"/>
  <c r="I508" i="1"/>
  <c r="F508" i="1"/>
  <c r="G508" i="1" s="1"/>
  <c r="I398" i="1"/>
  <c r="F401" i="1"/>
  <c r="G401" i="1" s="1"/>
  <c r="F405" i="1"/>
  <c r="G405" i="1" s="1"/>
  <c r="F408" i="1"/>
  <c r="F415" i="1"/>
  <c r="F421" i="1"/>
  <c r="F429" i="1"/>
  <c r="F437" i="1"/>
  <c r="F445" i="1"/>
  <c r="F453" i="1"/>
  <c r="G453" i="1" s="1"/>
  <c r="I461" i="1"/>
  <c r="F463" i="1"/>
  <c r="G463" i="1" s="1"/>
  <c r="I471" i="1"/>
  <c r="L471" i="1" s="1"/>
  <c r="I491" i="1"/>
  <c r="F523" i="1"/>
  <c r="G523" i="1" s="1"/>
  <c r="I537" i="1"/>
  <c r="F537" i="1"/>
  <c r="G537" i="1" s="1"/>
  <c r="F360" i="1"/>
  <c r="J361" i="1"/>
  <c r="I365" i="1"/>
  <c r="F369" i="1"/>
  <c r="F374" i="1"/>
  <c r="F383" i="1"/>
  <c r="G383" i="1" s="1"/>
  <c r="F391" i="1"/>
  <c r="F398" i="1"/>
  <c r="I401" i="1"/>
  <c r="I405" i="1"/>
  <c r="I408" i="1"/>
  <c r="I411" i="1"/>
  <c r="I415" i="1"/>
  <c r="I421" i="1"/>
  <c r="F423" i="1"/>
  <c r="I429" i="1"/>
  <c r="F431" i="1"/>
  <c r="I437" i="1"/>
  <c r="F439" i="1"/>
  <c r="I445" i="1"/>
  <c r="F447" i="1"/>
  <c r="I453" i="1"/>
  <c r="F455" i="1"/>
  <c r="I463" i="1"/>
  <c r="I475" i="1"/>
  <c r="F475" i="1"/>
  <c r="G475" i="1" s="1"/>
  <c r="F477" i="1"/>
  <c r="G477" i="1" s="1"/>
  <c r="F479" i="1"/>
  <c r="G479" i="1" s="1"/>
  <c r="F491" i="1"/>
  <c r="G491" i="1" s="1"/>
  <c r="F496" i="1"/>
  <c r="G496" i="1" s="1"/>
  <c r="I496" i="1"/>
  <c r="I523" i="1"/>
  <c r="I534" i="1"/>
  <c r="F534" i="1"/>
  <c r="G534" i="1" s="1"/>
  <c r="I545" i="1"/>
  <c r="I558" i="1"/>
  <c r="F558" i="1"/>
  <c r="G558" i="1" s="1"/>
  <c r="I569" i="1"/>
  <c r="F569" i="1"/>
  <c r="G569" i="1" s="1"/>
  <c r="J575" i="1"/>
  <c r="J587" i="1"/>
  <c r="I587" i="1"/>
  <c r="L587" i="1" s="1"/>
  <c r="I607" i="1"/>
  <c r="F607" i="1"/>
  <c r="G607" i="1" s="1"/>
  <c r="I631" i="1"/>
  <c r="F631" i="1"/>
  <c r="G631" i="1" s="1"/>
  <c r="F545" i="1"/>
  <c r="G545" i="1" s="1"/>
  <c r="I550" i="1"/>
  <c r="F550" i="1"/>
  <c r="G550" i="1" s="1"/>
  <c r="I577" i="1"/>
  <c r="F577" i="1"/>
  <c r="G577" i="1" s="1"/>
  <c r="I594" i="1"/>
  <c r="F594" i="1"/>
  <c r="G594" i="1" s="1"/>
  <c r="I497" i="1"/>
  <c r="L497" i="1" s="1"/>
  <c r="I513" i="1"/>
  <c r="L513" i="1" s="1"/>
  <c r="I529" i="1"/>
  <c r="L529" i="1" s="1"/>
  <c r="F539" i="1"/>
  <c r="G539" i="1" s="1"/>
  <c r="I542" i="1"/>
  <c r="F542" i="1"/>
  <c r="G542" i="1" s="1"/>
  <c r="I547" i="1"/>
  <c r="F560" i="1"/>
  <c r="G560" i="1" s="1"/>
  <c r="I562" i="1"/>
  <c r="I585" i="1"/>
  <c r="F585" i="1"/>
  <c r="G585" i="1" s="1"/>
  <c r="F552" i="1"/>
  <c r="G552" i="1" s="1"/>
  <c r="I560" i="1"/>
  <c r="F562" i="1"/>
  <c r="G562" i="1" s="1"/>
  <c r="I566" i="1"/>
  <c r="F566" i="1"/>
  <c r="G566" i="1" s="1"/>
  <c r="I570" i="1"/>
  <c r="I590" i="1"/>
  <c r="F590" i="1"/>
  <c r="G590" i="1" s="1"/>
  <c r="I595" i="1"/>
  <c r="I605" i="1"/>
  <c r="F605" i="1"/>
  <c r="G605" i="1" s="1"/>
  <c r="I622" i="1"/>
  <c r="I478" i="1"/>
  <c r="L478" i="1" s="1"/>
  <c r="I486" i="1"/>
  <c r="K486" i="1" s="1"/>
  <c r="J497" i="1"/>
  <c r="J513" i="1"/>
  <c r="I526" i="1"/>
  <c r="F526" i="1"/>
  <c r="G526" i="1" s="1"/>
  <c r="J529" i="1"/>
  <c r="I531" i="1"/>
  <c r="K531" i="1" s="1"/>
  <c r="F544" i="1"/>
  <c r="G544" i="1" s="1"/>
  <c r="J546" i="1"/>
  <c r="I552" i="1"/>
  <c r="F554" i="1"/>
  <c r="G554" i="1" s="1"/>
  <c r="F570" i="1"/>
  <c r="G570" i="1" s="1"/>
  <c r="I574" i="1"/>
  <c r="F574" i="1"/>
  <c r="G574" i="1" s="1"/>
  <c r="J578" i="1"/>
  <c r="I578" i="1"/>
  <c r="L578" i="1" s="1"/>
  <c r="F595" i="1"/>
  <c r="G595" i="1" s="1"/>
  <c r="I600" i="1"/>
  <c r="F600" i="1"/>
  <c r="G600" i="1" s="1"/>
  <c r="F610" i="1"/>
  <c r="G610" i="1" s="1"/>
  <c r="I610" i="1"/>
  <c r="F622" i="1"/>
  <c r="G622" i="1" s="1"/>
  <c r="I635" i="1"/>
  <c r="F635" i="1"/>
  <c r="G635" i="1" s="1"/>
  <c r="I647" i="1"/>
  <c r="F647" i="1"/>
  <c r="G647" i="1" s="1"/>
  <c r="I582" i="1"/>
  <c r="F582" i="1"/>
  <c r="G582" i="1" s="1"/>
  <c r="I586" i="1"/>
  <c r="I603" i="1"/>
  <c r="F603" i="1"/>
  <c r="G603" i="1" s="1"/>
  <c r="I619" i="1"/>
  <c r="F619" i="1"/>
  <c r="G619" i="1" s="1"/>
  <c r="I476" i="1"/>
  <c r="I484" i="1"/>
  <c r="I489" i="1"/>
  <c r="I499" i="1"/>
  <c r="L499" i="1" s="1"/>
  <c r="I505" i="1"/>
  <c r="I515" i="1"/>
  <c r="L515" i="1" s="1"/>
  <c r="F528" i="1"/>
  <c r="G528" i="1" s="1"/>
  <c r="I546" i="1"/>
  <c r="L546" i="1" s="1"/>
  <c r="I561" i="1"/>
  <c r="F563" i="1"/>
  <c r="G563" i="1" s="1"/>
  <c r="F586" i="1"/>
  <c r="G586" i="1" s="1"/>
  <c r="I598" i="1"/>
  <c r="F598" i="1"/>
  <c r="G598" i="1" s="1"/>
  <c r="I614" i="1"/>
  <c r="F614" i="1"/>
  <c r="G614" i="1" s="1"/>
  <c r="J498" i="1"/>
  <c r="J499" i="1"/>
  <c r="F505" i="1"/>
  <c r="G505" i="1" s="1"/>
  <c r="J515" i="1"/>
  <c r="F520" i="1"/>
  <c r="G520" i="1" s="1"/>
  <c r="J522" i="1"/>
  <c r="I528" i="1"/>
  <c r="F530" i="1"/>
  <c r="G530" i="1" s="1"/>
  <c r="I553" i="1"/>
  <c r="L553" i="1" s="1"/>
  <c r="F561" i="1"/>
  <c r="G561" i="1" s="1"/>
  <c r="I563" i="1"/>
  <c r="J567" i="1"/>
  <c r="F571" i="1"/>
  <c r="G571" i="1" s="1"/>
  <c r="I694" i="1"/>
  <c r="F694" i="1"/>
  <c r="G694" i="1" s="1"/>
  <c r="I711" i="1"/>
  <c r="F711" i="1"/>
  <c r="G711" i="1" s="1"/>
  <c r="I651" i="1"/>
  <c r="F651" i="1"/>
  <c r="G651" i="1" s="1"/>
  <c r="F661" i="1"/>
  <c r="G661" i="1" s="1"/>
  <c r="I668" i="1"/>
  <c r="I678" i="1"/>
  <c r="F678" i="1"/>
  <c r="G678" i="1" s="1"/>
  <c r="I628" i="1"/>
  <c r="I638" i="1"/>
  <c r="L638" i="1" s="1"/>
  <c r="I644" i="1"/>
  <c r="I661" i="1"/>
  <c r="F663" i="1"/>
  <c r="G663" i="1" s="1"/>
  <c r="F668" i="1"/>
  <c r="G668" i="1" s="1"/>
  <c r="I672" i="1"/>
  <c r="F688" i="1"/>
  <c r="G688" i="1" s="1"/>
  <c r="I692" i="1"/>
  <c r="F692" i="1"/>
  <c r="G692" i="1" s="1"/>
  <c r="F702" i="1"/>
  <c r="G702" i="1" s="1"/>
  <c r="F727" i="1"/>
  <c r="G727" i="1" s="1"/>
  <c r="F593" i="1"/>
  <c r="G593" i="1" s="1"/>
  <c r="F624" i="1"/>
  <c r="G624" i="1" s="1"/>
  <c r="F628" i="1"/>
  <c r="G628" i="1" s="1"/>
  <c r="J638" i="1"/>
  <c r="F640" i="1"/>
  <c r="G640" i="1" s="1"/>
  <c r="F644" i="1"/>
  <c r="G644" i="1" s="1"/>
  <c r="F653" i="1"/>
  <c r="G653" i="1" s="1"/>
  <c r="I663" i="1"/>
  <c r="F672" i="1"/>
  <c r="G672" i="1" s="1"/>
  <c r="I676" i="1"/>
  <c r="F676" i="1"/>
  <c r="G676" i="1" s="1"/>
  <c r="F686" i="1"/>
  <c r="G686" i="1" s="1"/>
  <c r="I688" i="1"/>
  <c r="I695" i="1"/>
  <c r="I702" i="1"/>
  <c r="F709" i="1"/>
  <c r="G709" i="1" s="1"/>
  <c r="I727" i="1"/>
  <c r="F736" i="1"/>
  <c r="G736" i="1" s="1"/>
  <c r="I736" i="1"/>
  <c r="F568" i="1"/>
  <c r="G568" i="1" s="1"/>
  <c r="F576" i="1"/>
  <c r="G576" i="1" s="1"/>
  <c r="F584" i="1"/>
  <c r="G584" i="1" s="1"/>
  <c r="F592" i="1"/>
  <c r="G592" i="1" s="1"/>
  <c r="I593" i="1"/>
  <c r="F599" i="1"/>
  <c r="G599" i="1" s="1"/>
  <c r="F604" i="1"/>
  <c r="G604" i="1" s="1"/>
  <c r="F608" i="1"/>
  <c r="G608" i="1" s="1"/>
  <c r="F613" i="1"/>
  <c r="G613" i="1" s="1"/>
  <c r="I618" i="1"/>
  <c r="K618" i="1" s="1"/>
  <c r="F621" i="1"/>
  <c r="G621" i="1" s="1"/>
  <c r="I624" i="1"/>
  <c r="F637" i="1"/>
  <c r="G637" i="1" s="1"/>
  <c r="I640" i="1"/>
  <c r="I653" i="1"/>
  <c r="F655" i="1"/>
  <c r="G655" i="1" s="1"/>
  <c r="J660" i="1"/>
  <c r="I679" i="1"/>
  <c r="L679" i="1" s="1"/>
  <c r="I686" i="1"/>
  <c r="J693" i="1"/>
  <c r="F695" i="1"/>
  <c r="G695" i="1" s="1"/>
  <c r="I709" i="1"/>
  <c r="F725" i="1"/>
  <c r="G725" i="1" s="1"/>
  <c r="I627" i="1"/>
  <c r="F627" i="1"/>
  <c r="G627" i="1" s="1"/>
  <c r="I643" i="1"/>
  <c r="F643" i="1"/>
  <c r="G643" i="1" s="1"/>
  <c r="I655" i="1"/>
  <c r="I662" i="1"/>
  <c r="I725" i="1"/>
  <c r="I567" i="1"/>
  <c r="I575" i="1"/>
  <c r="I583" i="1"/>
  <c r="I591" i="1"/>
  <c r="F612" i="1"/>
  <c r="G612" i="1" s="1"/>
  <c r="F616" i="1"/>
  <c r="G616" i="1" s="1"/>
  <c r="I620" i="1"/>
  <c r="F623" i="1"/>
  <c r="G623" i="1" s="1"/>
  <c r="I630" i="1"/>
  <c r="K630" i="1" s="1"/>
  <c r="I636" i="1"/>
  <c r="F639" i="1"/>
  <c r="G639" i="1" s="1"/>
  <c r="I646" i="1"/>
  <c r="L646" i="1" s="1"/>
  <c r="J652" i="1"/>
  <c r="F662" i="1"/>
  <c r="G662" i="1" s="1"/>
  <c r="F664" i="1"/>
  <c r="G664" i="1" s="1"/>
  <c r="I669" i="1"/>
  <c r="K669" i="1" s="1"/>
  <c r="J671" i="1"/>
  <c r="F677" i="1"/>
  <c r="G677" i="1" s="1"/>
  <c r="J679" i="1"/>
  <c r="I693" i="1"/>
  <c r="K693" i="1" s="1"/>
  <c r="I699" i="1"/>
  <c r="F699" i="1"/>
  <c r="G699" i="1" s="1"/>
  <c r="I612" i="1"/>
  <c r="F620" i="1"/>
  <c r="G620" i="1" s="1"/>
  <c r="I623" i="1"/>
  <c r="J630" i="1"/>
  <c r="F636" i="1"/>
  <c r="G636" i="1" s="1"/>
  <c r="I639" i="1"/>
  <c r="J646" i="1"/>
  <c r="I654" i="1"/>
  <c r="K654" i="1" s="1"/>
  <c r="I659" i="1"/>
  <c r="F659" i="1"/>
  <c r="G659" i="1" s="1"/>
  <c r="I664" i="1"/>
  <c r="J669" i="1"/>
  <c r="I677" i="1"/>
  <c r="I683" i="1"/>
  <c r="F683" i="1"/>
  <c r="G683" i="1" s="1"/>
  <c r="I715" i="1"/>
  <c r="F715" i="1"/>
  <c r="G715" i="1" s="1"/>
  <c r="J718" i="1"/>
  <c r="I718" i="1"/>
  <c r="L718" i="1" s="1"/>
  <c r="J748" i="1"/>
  <c r="I748" i="1"/>
  <c r="K748" i="1" s="1"/>
  <c r="I804" i="1"/>
  <c r="F804" i="1"/>
  <c r="G804" i="1" s="1"/>
  <c r="I756" i="1"/>
  <c r="F756" i="1"/>
  <c r="G756" i="1" s="1"/>
  <c r="I708" i="1"/>
  <c r="I741" i="1"/>
  <c r="F741" i="1"/>
  <c r="G741" i="1" s="1"/>
  <c r="I757" i="1"/>
  <c r="F757" i="1"/>
  <c r="G757" i="1" s="1"/>
  <c r="J685" i="1"/>
  <c r="J701" i="1"/>
  <c r="F704" i="1"/>
  <c r="G704" i="1" s="1"/>
  <c r="F708" i="1"/>
  <c r="G708" i="1" s="1"/>
  <c r="J717" i="1"/>
  <c r="F720" i="1"/>
  <c r="G720" i="1" s="1"/>
  <c r="I726" i="1"/>
  <c r="L726" i="1" s="1"/>
  <c r="I731" i="1"/>
  <c r="F731" i="1"/>
  <c r="G731" i="1" s="1"/>
  <c r="J733" i="1"/>
  <c r="I779" i="1"/>
  <c r="F779" i="1"/>
  <c r="G779" i="1" s="1"/>
  <c r="I752" i="1"/>
  <c r="F752" i="1"/>
  <c r="G752" i="1" s="1"/>
  <c r="I652" i="1"/>
  <c r="I660" i="1"/>
  <c r="I671" i="1"/>
  <c r="I675" i="1"/>
  <c r="F675" i="1"/>
  <c r="G675" i="1" s="1"/>
  <c r="I685" i="1"/>
  <c r="L685" i="1" s="1"/>
  <c r="I691" i="1"/>
  <c r="F691" i="1"/>
  <c r="G691" i="1" s="1"/>
  <c r="I701" i="1"/>
  <c r="K701" i="1" s="1"/>
  <c r="I707" i="1"/>
  <c r="F707" i="1"/>
  <c r="G707" i="1" s="1"/>
  <c r="F710" i="1"/>
  <c r="G710" i="1" s="1"/>
  <c r="I717" i="1"/>
  <c r="L717" i="1" s="1"/>
  <c r="I723" i="1"/>
  <c r="F723" i="1"/>
  <c r="G723" i="1" s="1"/>
  <c r="J726" i="1"/>
  <c r="I728" i="1"/>
  <c r="L728" i="1" s="1"/>
  <c r="I733" i="1"/>
  <c r="K733" i="1" s="1"/>
  <c r="I742" i="1"/>
  <c r="F742" i="1"/>
  <c r="G742" i="1" s="1"/>
  <c r="I763" i="1"/>
  <c r="F763" i="1"/>
  <c r="G763" i="1" s="1"/>
  <c r="F781" i="1"/>
  <c r="G781" i="1" s="1"/>
  <c r="I666" i="1"/>
  <c r="F670" i="1"/>
  <c r="G670" i="1" s="1"/>
  <c r="J684" i="1"/>
  <c r="I684" i="1"/>
  <c r="F687" i="1"/>
  <c r="G687" i="1" s="1"/>
  <c r="J700" i="1"/>
  <c r="I700" i="1"/>
  <c r="F703" i="1"/>
  <c r="G703" i="1" s="1"/>
  <c r="I710" i="1"/>
  <c r="J716" i="1"/>
  <c r="I716" i="1"/>
  <c r="F719" i="1"/>
  <c r="G719" i="1" s="1"/>
  <c r="J728" i="1"/>
  <c r="I781" i="1"/>
  <c r="I829" i="1"/>
  <c r="F829" i="1"/>
  <c r="G829" i="1" s="1"/>
  <c r="I771" i="1"/>
  <c r="F771" i="1"/>
  <c r="G771" i="1" s="1"/>
  <c r="I837" i="1"/>
  <c r="F837" i="1"/>
  <c r="G837" i="1" s="1"/>
  <c r="I788" i="1"/>
  <c r="F788" i="1"/>
  <c r="G788" i="1" s="1"/>
  <c r="I800" i="1"/>
  <c r="F800" i="1"/>
  <c r="G800" i="1" s="1"/>
  <c r="I805" i="1"/>
  <c r="I812" i="1"/>
  <c r="F812" i="1"/>
  <c r="G812" i="1" s="1"/>
  <c r="I739" i="1"/>
  <c r="I760" i="1"/>
  <c r="F760" i="1"/>
  <c r="G760" i="1" s="1"/>
  <c r="I764" i="1"/>
  <c r="F805" i="1"/>
  <c r="G805" i="1" s="1"/>
  <c r="I813" i="1"/>
  <c r="J732" i="1"/>
  <c r="F739" i="1"/>
  <c r="G739" i="1" s="1"/>
  <c r="I747" i="1"/>
  <c r="F747" i="1"/>
  <c r="G747" i="1" s="1"/>
  <c r="J749" i="1"/>
  <c r="F764" i="1"/>
  <c r="G764" i="1" s="1"/>
  <c r="I768" i="1"/>
  <c r="F768" i="1"/>
  <c r="G768" i="1" s="1"/>
  <c r="J772" i="1"/>
  <c r="I772" i="1"/>
  <c r="L772" i="1" s="1"/>
  <c r="I784" i="1"/>
  <c r="F784" i="1"/>
  <c r="G784" i="1" s="1"/>
  <c r="J789" i="1"/>
  <c r="I789" i="1"/>
  <c r="L789" i="1" s="1"/>
  <c r="F813" i="1"/>
  <c r="G813" i="1" s="1"/>
  <c r="I776" i="1"/>
  <c r="F776" i="1"/>
  <c r="G776" i="1" s="1"/>
  <c r="I780" i="1"/>
  <c r="I796" i="1"/>
  <c r="F796" i="1"/>
  <c r="G796" i="1" s="1"/>
  <c r="I808" i="1"/>
  <c r="F808" i="1"/>
  <c r="G808" i="1" s="1"/>
  <c r="I724" i="1"/>
  <c r="I732" i="1"/>
  <c r="L732" i="1" s="1"/>
  <c r="F738" i="1"/>
  <c r="G738" i="1" s="1"/>
  <c r="J744" i="1"/>
  <c r="I749" i="1"/>
  <c r="K749" i="1" s="1"/>
  <c r="F780" i="1"/>
  <c r="G780" i="1" s="1"/>
  <c r="F734" i="1"/>
  <c r="G734" i="1" s="1"/>
  <c r="I738" i="1"/>
  <c r="I755" i="1"/>
  <c r="F755" i="1"/>
  <c r="G755" i="1" s="1"/>
  <c r="F765" i="1"/>
  <c r="G765" i="1" s="1"/>
  <c r="J773" i="1"/>
  <c r="I792" i="1"/>
  <c r="F792" i="1"/>
  <c r="G792" i="1" s="1"/>
  <c r="J797" i="1"/>
  <c r="I797" i="1"/>
  <c r="L797" i="1" s="1"/>
  <c r="I821" i="1"/>
  <c r="F821" i="1"/>
  <c r="G821" i="1" s="1"/>
  <c r="F820" i="1"/>
  <c r="G820" i="1" s="1"/>
  <c r="F828" i="1"/>
  <c r="G828" i="1" s="1"/>
  <c r="F836" i="1"/>
  <c r="G836" i="1" s="1"/>
  <c r="F844" i="1"/>
  <c r="G844" i="1" s="1"/>
  <c r="F787" i="1"/>
  <c r="G787" i="1" s="1"/>
  <c r="F795" i="1"/>
  <c r="G795" i="1" s="1"/>
  <c r="F803" i="1"/>
  <c r="G803" i="1" s="1"/>
  <c r="F811" i="1"/>
  <c r="G811" i="1" s="1"/>
  <c r="F819" i="1"/>
  <c r="G819" i="1" s="1"/>
  <c r="I820" i="1"/>
  <c r="F827" i="1"/>
  <c r="G827" i="1" s="1"/>
  <c r="I828" i="1"/>
  <c r="F835" i="1"/>
  <c r="G835" i="1" s="1"/>
  <c r="I836" i="1"/>
  <c r="F843" i="1"/>
  <c r="I844" i="1"/>
  <c r="F746" i="1"/>
  <c r="G746" i="1" s="1"/>
  <c r="F754" i="1"/>
  <c r="G754" i="1" s="1"/>
  <c r="F762" i="1"/>
  <c r="G762" i="1" s="1"/>
  <c r="F770" i="1"/>
  <c r="G770" i="1" s="1"/>
  <c r="F778" i="1"/>
  <c r="G778" i="1" s="1"/>
  <c r="F786" i="1"/>
  <c r="G786" i="1" s="1"/>
  <c r="I787" i="1"/>
  <c r="F794" i="1"/>
  <c r="G794" i="1" s="1"/>
  <c r="I795" i="1"/>
  <c r="F802" i="1"/>
  <c r="G802" i="1" s="1"/>
  <c r="I803" i="1"/>
  <c r="F810" i="1"/>
  <c r="G810" i="1" s="1"/>
  <c r="I811" i="1"/>
  <c r="F818" i="1"/>
  <c r="G818" i="1" s="1"/>
  <c r="I819" i="1"/>
  <c r="F826" i="1"/>
  <c r="G826" i="1" s="1"/>
  <c r="I827" i="1"/>
  <c r="F834" i="1"/>
  <c r="G834" i="1" s="1"/>
  <c r="I835" i="1"/>
  <c r="F842" i="1"/>
  <c r="G842" i="1" s="1"/>
  <c r="I843" i="1"/>
  <c r="F841" i="1"/>
  <c r="G841" i="1" s="1"/>
  <c r="I842" i="1"/>
  <c r="F816" i="1"/>
  <c r="G816" i="1" s="1"/>
  <c r="I817" i="1"/>
  <c r="F824" i="1"/>
  <c r="G824" i="1" s="1"/>
  <c r="I825" i="1"/>
  <c r="F832" i="1"/>
  <c r="G832" i="1" s="1"/>
  <c r="I833" i="1"/>
  <c r="F840" i="1"/>
  <c r="G840" i="1" s="1"/>
  <c r="I841" i="1"/>
  <c r="I80" i="1"/>
  <c r="I79" i="1"/>
  <c r="F78" i="1"/>
  <c r="G78" i="1" s="1"/>
  <c r="I77" i="1"/>
  <c r="F76" i="1"/>
  <c r="G76" i="1" s="1"/>
  <c r="I72" i="1"/>
  <c r="I71" i="1"/>
  <c r="F70" i="1"/>
  <c r="I69" i="1"/>
  <c r="I64" i="1"/>
  <c r="I63" i="1"/>
  <c r="F62" i="1"/>
  <c r="G62" i="1" s="1"/>
  <c r="F61" i="1"/>
  <c r="G61" i="1" s="1"/>
  <c r="I56" i="1"/>
  <c r="I55" i="1"/>
  <c r="F54" i="1"/>
  <c r="G54" i="1" s="1"/>
  <c r="I53" i="1"/>
  <c r="I48" i="1"/>
  <c r="I47" i="1"/>
  <c r="F46" i="1"/>
  <c r="G46" i="1" s="1"/>
  <c r="I45" i="1"/>
  <c r="F44" i="1"/>
  <c r="G44" i="1" s="1"/>
  <c r="I40" i="1"/>
  <c r="I39" i="1"/>
  <c r="I38" i="1"/>
  <c r="I37" i="1"/>
  <c r="F36" i="1"/>
  <c r="G36" i="1" s="1"/>
  <c r="I32" i="1"/>
  <c r="I31" i="1"/>
  <c r="I30" i="1"/>
  <c r="I29" i="1"/>
  <c r="I28" i="1"/>
  <c r="I24" i="1"/>
  <c r="I23" i="1"/>
  <c r="I22" i="1"/>
  <c r="I21" i="1"/>
  <c r="I20" i="1"/>
  <c r="I16" i="1"/>
  <c r="I15" i="1"/>
  <c r="I14" i="1"/>
  <c r="F13" i="1"/>
  <c r="G13" i="1" s="1"/>
  <c r="I12" i="1"/>
  <c r="I8" i="1"/>
  <c r="I7" i="1"/>
  <c r="I6" i="1"/>
  <c r="I5" i="1"/>
  <c r="I4" i="1"/>
  <c r="F3" i="1"/>
  <c r="G3" i="1" s="1"/>
  <c r="F2" i="1"/>
  <c r="G2" i="1" s="1"/>
  <c r="G377" i="1" l="1"/>
  <c r="W377" i="1"/>
  <c r="G351" i="1"/>
  <c r="W351" i="1"/>
  <c r="G371" i="1"/>
  <c r="W371" i="1"/>
  <c r="G454" i="1"/>
  <c r="W454" i="1"/>
  <c r="G424" i="1"/>
  <c r="W424" i="1"/>
  <c r="G385" i="1"/>
  <c r="W385" i="1"/>
  <c r="G379" i="1"/>
  <c r="W379" i="1"/>
  <c r="G380" i="1"/>
  <c r="W380" i="1"/>
  <c r="G369" i="1"/>
  <c r="W369" i="1"/>
  <c r="G449" i="1"/>
  <c r="W449" i="1"/>
  <c r="G439" i="1"/>
  <c r="W439" i="1"/>
  <c r="G335" i="1"/>
  <c r="W335" i="1"/>
  <c r="G429" i="1"/>
  <c r="W429" i="1"/>
  <c r="G389" i="1"/>
  <c r="W389" i="1"/>
  <c r="G438" i="1"/>
  <c r="W438" i="1"/>
  <c r="G368" i="1"/>
  <c r="W368" i="1"/>
  <c r="G447" i="1"/>
  <c r="W447" i="1"/>
  <c r="G374" i="1"/>
  <c r="W374" i="1"/>
  <c r="G421" i="1"/>
  <c r="W421" i="1"/>
  <c r="G461" i="1"/>
  <c r="W461" i="1"/>
  <c r="G451" i="1"/>
  <c r="W451" i="1"/>
  <c r="G422" i="1"/>
  <c r="W422" i="1"/>
  <c r="G332" i="1"/>
  <c r="W332" i="1"/>
  <c r="G363" i="1"/>
  <c r="W363" i="1"/>
  <c r="G333" i="1"/>
  <c r="W333" i="1"/>
  <c r="G352" i="1"/>
  <c r="W352" i="1"/>
  <c r="G384" i="1"/>
  <c r="W384" i="1"/>
  <c r="G415" i="1"/>
  <c r="W415" i="1"/>
  <c r="G341" i="1"/>
  <c r="W341" i="1"/>
  <c r="G460" i="1"/>
  <c r="W460" i="1"/>
  <c r="G347" i="1"/>
  <c r="W347" i="1"/>
  <c r="G446" i="1"/>
  <c r="W446" i="1"/>
  <c r="G462" i="1"/>
  <c r="W462" i="1"/>
  <c r="G354" i="1"/>
  <c r="W354" i="1"/>
  <c r="G390" i="1"/>
  <c r="W390" i="1"/>
  <c r="G342" i="1"/>
  <c r="W342" i="1"/>
  <c r="G428" i="1"/>
  <c r="W428" i="1"/>
  <c r="G417" i="1"/>
  <c r="W417" i="1"/>
  <c r="G400" i="1"/>
  <c r="W400" i="1"/>
  <c r="G388" i="1"/>
  <c r="W388" i="1"/>
  <c r="G360" i="1"/>
  <c r="W360" i="1"/>
  <c r="G459" i="1"/>
  <c r="W459" i="1"/>
  <c r="G430" i="1"/>
  <c r="W430" i="1"/>
  <c r="G413" i="1"/>
  <c r="W413" i="1"/>
  <c r="G414" i="1"/>
  <c r="W414" i="1"/>
  <c r="G331" i="1"/>
  <c r="W331" i="1"/>
  <c r="G343" i="1"/>
  <c r="W343" i="1"/>
  <c r="G394" i="1"/>
  <c r="W394" i="1"/>
  <c r="G373" i="1"/>
  <c r="W373" i="1"/>
  <c r="G370" i="1"/>
  <c r="W370" i="1"/>
  <c r="G442" i="1"/>
  <c r="W442" i="1"/>
  <c r="G408" i="1"/>
  <c r="W408" i="1"/>
  <c r="G464" i="1"/>
  <c r="W464" i="1"/>
  <c r="G431" i="1"/>
  <c r="W431" i="1"/>
  <c r="G398" i="1"/>
  <c r="W398" i="1"/>
  <c r="G445" i="1"/>
  <c r="W445" i="1"/>
  <c r="G399" i="1"/>
  <c r="W399" i="1"/>
  <c r="G427" i="1"/>
  <c r="W427" i="1"/>
  <c r="G409" i="1"/>
  <c r="W409" i="1"/>
  <c r="G344" i="1"/>
  <c r="W344" i="1"/>
  <c r="G353" i="1"/>
  <c r="W353" i="1"/>
  <c r="G387" i="1"/>
  <c r="W387" i="1"/>
  <c r="G418" i="1"/>
  <c r="W418" i="1"/>
  <c r="G336" i="1"/>
  <c r="W336" i="1"/>
  <c r="G441" i="1"/>
  <c r="W441" i="1"/>
  <c r="G372" i="1"/>
  <c r="W372" i="1"/>
  <c r="G376" i="1"/>
  <c r="W376" i="1"/>
  <c r="G404" i="1"/>
  <c r="W404" i="1"/>
  <c r="G448" i="1"/>
  <c r="W448" i="1"/>
  <c r="G348" i="1"/>
  <c r="W348" i="1"/>
  <c r="G455" i="1"/>
  <c r="W455" i="1"/>
  <c r="G423" i="1"/>
  <c r="W423" i="1"/>
  <c r="G391" i="1"/>
  <c r="W391" i="1"/>
  <c r="G437" i="1"/>
  <c r="W437" i="1"/>
  <c r="G392" i="1"/>
  <c r="W392" i="1"/>
  <c r="G440" i="1"/>
  <c r="W440" i="1"/>
  <c r="G367" i="1"/>
  <c r="W367" i="1"/>
  <c r="G396" i="1"/>
  <c r="W396" i="1"/>
  <c r="G444" i="1"/>
  <c r="W444" i="1"/>
  <c r="G434" i="1"/>
  <c r="W434" i="1"/>
  <c r="G366" i="1"/>
  <c r="W366" i="1"/>
  <c r="G328" i="1"/>
  <c r="W328" i="1"/>
  <c r="G291" i="1"/>
  <c r="W291" i="1"/>
  <c r="G280" i="1"/>
  <c r="W280" i="1"/>
  <c r="G304" i="1"/>
  <c r="W304" i="1"/>
  <c r="G323" i="1"/>
  <c r="W323" i="1"/>
  <c r="G272" i="1"/>
  <c r="W272" i="1"/>
  <c r="G312" i="1"/>
  <c r="W312" i="1"/>
  <c r="G311" i="1"/>
  <c r="W311" i="1"/>
  <c r="G288" i="1"/>
  <c r="W288" i="1"/>
  <c r="G325" i="1"/>
  <c r="W325" i="1"/>
  <c r="G327" i="1"/>
  <c r="W327" i="1"/>
  <c r="G276" i="1"/>
  <c r="W276" i="1"/>
  <c r="G294" i="1"/>
  <c r="W294" i="1"/>
  <c r="G278" i="1"/>
  <c r="W278" i="1"/>
  <c r="G264" i="1"/>
  <c r="W264" i="1"/>
  <c r="G274" i="1"/>
  <c r="W274" i="1"/>
  <c r="G284" i="1"/>
  <c r="W284" i="1"/>
  <c r="G287" i="1"/>
  <c r="W287" i="1"/>
  <c r="G319" i="1"/>
  <c r="W319" i="1"/>
  <c r="G301" i="1"/>
  <c r="W301" i="1"/>
  <c r="G292" i="1"/>
  <c r="W292" i="1"/>
  <c r="G266" i="1"/>
  <c r="W266" i="1"/>
  <c r="G293" i="1"/>
  <c r="W293" i="1"/>
  <c r="G285" i="1"/>
  <c r="W285" i="1"/>
  <c r="G289" i="1"/>
  <c r="W289" i="1"/>
  <c r="G317" i="1"/>
  <c r="W317" i="1"/>
  <c r="G320" i="1"/>
  <c r="W320" i="1"/>
  <c r="G273" i="1"/>
  <c r="W273" i="1"/>
  <c r="G321" i="1"/>
  <c r="W321" i="1"/>
  <c r="G326" i="1"/>
  <c r="W326" i="1"/>
  <c r="G271" i="1"/>
  <c r="W271" i="1"/>
  <c r="G269" i="1"/>
  <c r="W269" i="1"/>
  <c r="G295" i="1"/>
  <c r="W295" i="1"/>
  <c r="G268" i="1"/>
  <c r="W268" i="1"/>
  <c r="G299" i="1"/>
  <c r="W299" i="1"/>
  <c r="G282" i="1"/>
  <c r="W282" i="1"/>
  <c r="G324" i="1"/>
  <c r="W324" i="1"/>
  <c r="G303" i="1"/>
  <c r="W303" i="1"/>
  <c r="G307" i="1"/>
  <c r="W307" i="1"/>
  <c r="G315" i="1"/>
  <c r="W315" i="1"/>
  <c r="G279" i="1"/>
  <c r="W279" i="1"/>
  <c r="G267" i="1"/>
  <c r="W267" i="1"/>
  <c r="G305" i="1"/>
  <c r="W305" i="1"/>
  <c r="G300" i="1"/>
  <c r="W300" i="1"/>
  <c r="G275" i="1"/>
  <c r="W275" i="1"/>
  <c r="G263" i="1"/>
  <c r="W263" i="1"/>
  <c r="G283" i="1"/>
  <c r="W283" i="1"/>
  <c r="G298" i="1"/>
  <c r="W298" i="1"/>
  <c r="G313" i="1"/>
  <c r="W313" i="1"/>
  <c r="G286" i="1"/>
  <c r="W286" i="1"/>
  <c r="G260" i="1"/>
  <c r="W260" i="1"/>
  <c r="G262" i="1"/>
  <c r="G258" i="1"/>
  <c r="G259" i="1"/>
  <c r="W259" i="1"/>
  <c r="G261" i="1"/>
  <c r="W261" i="1"/>
  <c r="G70" i="1"/>
  <c r="W70" i="1"/>
  <c r="K310" i="1"/>
  <c r="G310" i="1"/>
  <c r="W254" i="1"/>
  <c r="G254" i="1"/>
  <c r="W256" i="1"/>
  <c r="W178" i="1"/>
  <c r="W182" i="1"/>
  <c r="W151" i="1"/>
  <c r="W3" i="1"/>
  <c r="W127" i="1"/>
  <c r="W143" i="1"/>
  <c r="W133" i="1"/>
  <c r="W85" i="1"/>
  <c r="W111" i="1"/>
  <c r="W103" i="1"/>
  <c r="R791" i="1"/>
  <c r="R34" i="1"/>
  <c r="R28" i="1"/>
  <c r="R274" i="1"/>
  <c r="R278" i="1"/>
  <c r="R394" i="1"/>
  <c r="R711" i="1"/>
  <c r="R84" i="1"/>
  <c r="R538" i="1"/>
  <c r="R175" i="1"/>
  <c r="R140" i="1"/>
  <c r="R239" i="1"/>
  <c r="R383" i="1"/>
  <c r="R631" i="1"/>
  <c r="R105" i="1"/>
  <c r="R355" i="1"/>
  <c r="R144" i="1"/>
  <c r="R20" i="1"/>
  <c r="R210" i="1"/>
  <c r="R87" i="1"/>
  <c r="R211" i="1"/>
  <c r="R589" i="1"/>
  <c r="R411" i="1"/>
  <c r="R426" i="1"/>
  <c r="R400" i="1"/>
  <c r="R42" i="1"/>
  <c r="R177" i="1"/>
  <c r="R149" i="1"/>
  <c r="R825" i="1"/>
  <c r="R266" i="1"/>
  <c r="R344" i="1"/>
  <c r="R741" i="1"/>
  <c r="R316" i="1"/>
  <c r="R29" i="1"/>
  <c r="R45" i="1"/>
  <c r="R312" i="1"/>
  <c r="R590" i="1"/>
  <c r="R192" i="1"/>
  <c r="R364" i="1"/>
  <c r="R823" i="1"/>
  <c r="R545" i="1"/>
  <c r="R347" i="1"/>
  <c r="R458" i="1"/>
  <c r="R451" i="1"/>
  <c r="R587" i="1"/>
  <c r="R828" i="1"/>
  <c r="R124" i="1"/>
  <c r="R371" i="1"/>
  <c r="R153" i="1"/>
  <c r="R145" i="1"/>
  <c r="R667" i="1"/>
  <c r="R593" i="1"/>
  <c r="R60" i="1"/>
  <c r="R341" i="1"/>
  <c r="R643" i="1"/>
  <c r="R202" i="1"/>
  <c r="R113" i="1"/>
  <c r="R746" i="1"/>
  <c r="R15" i="1"/>
  <c r="R712" i="1"/>
  <c r="R766" i="1"/>
  <c r="R33" i="1"/>
  <c r="R569" i="1"/>
  <c r="R517" i="1"/>
  <c r="R378" i="1"/>
  <c r="R286" i="1"/>
  <c r="R326" i="1"/>
  <c r="R247" i="1"/>
  <c r="R633" i="1"/>
  <c r="R348" i="1"/>
  <c r="R107" i="1"/>
  <c r="R257" i="1"/>
  <c r="R229" i="1"/>
  <c r="R386" i="1"/>
  <c r="R48" i="1"/>
  <c r="R460" i="1"/>
  <c r="R137" i="1"/>
  <c r="R824" i="1"/>
  <c r="R31" i="1"/>
  <c r="R328" i="1"/>
  <c r="R320" i="1"/>
  <c r="R160" i="1"/>
  <c r="R648" i="1"/>
  <c r="R832" i="1"/>
  <c r="R656" i="1"/>
  <c r="R163" i="1"/>
  <c r="R325" i="1"/>
  <c r="R176" i="1"/>
  <c r="R647" i="1"/>
  <c r="R305" i="1"/>
  <c r="R300" i="1"/>
  <c r="R777" i="1"/>
  <c r="R224" i="1"/>
  <c r="R585" i="1"/>
  <c r="R5" i="1"/>
  <c r="R795" i="1"/>
  <c r="R537" i="1"/>
  <c r="R61" i="1"/>
  <c r="R314" i="1"/>
  <c r="R669" i="1"/>
  <c r="R241" i="1"/>
  <c r="R726" i="1"/>
  <c r="R591" i="1"/>
  <c r="R63" i="1"/>
  <c r="R359" i="1"/>
  <c r="R737" i="1"/>
  <c r="R21" i="1"/>
  <c r="R148" i="1"/>
  <c r="R117" i="1"/>
  <c r="R602" i="1"/>
  <c r="R652" i="1"/>
  <c r="R452" i="1"/>
  <c r="R248" i="1"/>
  <c r="R268" i="1"/>
  <c r="R601" i="1"/>
  <c r="R219" i="1"/>
  <c r="R594" i="1"/>
  <c r="R25" i="1"/>
  <c r="R151" i="1"/>
  <c r="R387" i="1"/>
  <c r="R493" i="1"/>
  <c r="R119" i="1"/>
  <c r="R250" i="1"/>
  <c r="R809" i="1"/>
  <c r="R750" i="1"/>
  <c r="R696" i="1"/>
  <c r="R112" i="1"/>
  <c r="R571" i="1"/>
  <c r="R412" i="1"/>
  <c r="R473" i="1"/>
  <c r="R714" i="1"/>
  <c r="R66" i="1"/>
  <c r="R97" i="1"/>
  <c r="R485" i="1"/>
  <c r="R155" i="1"/>
  <c r="R844" i="1"/>
  <c r="R481" i="1"/>
  <c r="R421" i="1"/>
  <c r="R152" i="1"/>
  <c r="R657" i="1"/>
  <c r="R277" i="1"/>
  <c r="R475" i="1"/>
  <c r="R366" i="1"/>
  <c r="R632" i="1"/>
  <c r="R757" i="1"/>
  <c r="R303" i="1"/>
  <c r="R531" i="1"/>
  <c r="R790" i="1"/>
  <c r="R234" i="1"/>
  <c r="R380" i="1"/>
  <c r="R12" i="1"/>
  <c r="R321" i="1"/>
  <c r="R270" i="1"/>
  <c r="R686" i="1"/>
  <c r="R448" i="1"/>
  <c r="R330" i="1"/>
  <c r="R805" i="1"/>
  <c r="R59" i="1"/>
  <c r="R416" i="1"/>
  <c r="R244" i="1"/>
  <c r="R218" i="1"/>
  <c r="R318" i="1"/>
  <c r="R502" i="1"/>
  <c r="R480" i="1"/>
  <c r="R280" i="1"/>
  <c r="R532" i="1"/>
  <c r="R760" i="1"/>
  <c r="R251" i="1"/>
  <c r="R200" i="1"/>
  <c r="R629" i="1"/>
  <c r="R550" i="1"/>
  <c r="R132" i="1"/>
  <c r="R419" i="1"/>
  <c r="R382" i="1"/>
  <c r="R511" i="1"/>
  <c r="R208" i="1"/>
  <c r="R659" i="1"/>
  <c r="R319" i="1"/>
  <c r="R71" i="1"/>
  <c r="R471" i="1"/>
  <c r="R159" i="1"/>
  <c r="R568" i="1"/>
  <c r="R551" i="1"/>
  <c r="R495" i="1"/>
  <c r="R843" i="1"/>
  <c r="R96" i="1"/>
  <c r="R273" i="1"/>
  <c r="R627" i="1"/>
  <c r="R7" i="1"/>
  <c r="R561" i="1"/>
  <c r="R564" i="1"/>
  <c r="R220" i="1"/>
  <c r="R38" i="1"/>
  <c r="R346" i="1"/>
  <c r="R315" i="1"/>
  <c r="R65" i="1"/>
  <c r="R503" i="1"/>
  <c r="R3" i="1"/>
  <c r="R468" i="1"/>
  <c r="R57" i="1"/>
  <c r="R785" i="1"/>
  <c r="R699" i="1"/>
  <c r="R455" i="1"/>
  <c r="R157" i="1"/>
  <c r="R39" i="1"/>
  <c r="R22" i="1"/>
  <c r="R469" i="1"/>
  <c r="R799" i="1"/>
  <c r="R376" i="1"/>
  <c r="R294" i="1"/>
  <c r="R731" i="1"/>
  <c r="R186" i="1"/>
  <c r="R819" i="1"/>
  <c r="R81" i="1"/>
  <c r="R748" i="1"/>
  <c r="R91" i="1"/>
  <c r="R203" i="1"/>
  <c r="R518" i="1"/>
  <c r="R625" i="1"/>
  <c r="R53" i="1"/>
  <c r="P435" i="1"/>
  <c r="R64" i="1"/>
  <c r="R513" i="1"/>
  <c r="R675" i="1"/>
  <c r="R55" i="1"/>
  <c r="R526" i="1"/>
  <c r="R197" i="1"/>
  <c r="R89" i="1"/>
  <c r="R125" i="1"/>
  <c r="R431" i="1"/>
  <c r="R703" i="1"/>
  <c r="R409" i="1"/>
  <c r="R446" i="1"/>
  <c r="R729" i="1"/>
  <c r="R395" i="1"/>
  <c r="R617" i="1"/>
  <c r="R401" i="1"/>
  <c r="R128" i="1"/>
  <c r="R820" i="1"/>
  <c r="R693" i="1"/>
  <c r="R639" i="1"/>
  <c r="R27" i="1"/>
  <c r="R298" i="1"/>
  <c r="R109" i="1"/>
  <c r="R290" i="1"/>
  <c r="R514" i="1"/>
  <c r="R575" i="1"/>
  <c r="R708" i="1"/>
  <c r="R752" i="1"/>
  <c r="R479" i="1"/>
  <c r="R322" i="1"/>
  <c r="R329" i="1"/>
  <c r="R690" i="1"/>
  <c r="R717" i="1"/>
  <c r="R427" i="1"/>
  <c r="R264" i="1"/>
  <c r="R73" i="1"/>
  <c r="R673" i="1"/>
  <c r="R450" i="1"/>
  <c r="R231" i="1"/>
  <c r="R143" i="1"/>
  <c r="R635" i="1"/>
  <c r="R553" i="1"/>
  <c r="R340" i="1"/>
  <c r="R661" i="1"/>
  <c r="R258" i="1"/>
  <c r="R232" i="1"/>
  <c r="R362" i="1"/>
  <c r="R638" i="1"/>
  <c r="R133" i="1"/>
  <c r="R170" i="1"/>
  <c r="R835" i="1"/>
  <c r="R449" i="1"/>
  <c r="R577" i="1"/>
  <c r="R179" i="1"/>
  <c r="R372" i="1"/>
  <c r="R476" i="1"/>
  <c r="R265" i="1"/>
  <c r="R18" i="1"/>
  <c r="R552" i="1"/>
  <c r="R82" i="1"/>
  <c r="R311" i="1"/>
  <c r="R345" i="1"/>
  <c r="R23" i="1"/>
  <c r="R225" i="1"/>
  <c r="R472" i="1"/>
  <c r="R284" i="1"/>
  <c r="R466" i="1"/>
  <c r="R644" i="1"/>
  <c r="R295" i="1"/>
  <c r="R414" i="1"/>
  <c r="R716" i="1"/>
  <c r="J645" i="1"/>
  <c r="K674" i="1"/>
  <c r="W209" i="1"/>
  <c r="W233" i="1"/>
  <c r="L302" i="1"/>
  <c r="L556" i="1"/>
  <c r="K555" i="1"/>
  <c r="L310" i="1"/>
  <c r="K645" i="1"/>
  <c r="K596" i="1"/>
  <c r="K814" i="1"/>
  <c r="K336" i="1"/>
  <c r="J305" i="1"/>
  <c r="K366" i="1"/>
  <c r="K667" i="1"/>
  <c r="J511" i="1"/>
  <c r="L750" i="1"/>
  <c r="L767" i="1"/>
  <c r="K767" i="1"/>
  <c r="L379" i="1"/>
  <c r="K380" i="1"/>
  <c r="L420" i="1"/>
  <c r="K352" i="1"/>
  <c r="W142" i="1"/>
  <c r="K712" i="1"/>
  <c r="K326" i="1"/>
  <c r="K629" i="1"/>
  <c r="K641" i="1"/>
  <c r="L326" i="1"/>
  <c r="K680" i="1"/>
  <c r="L625" i="1"/>
  <c r="K696" i="1"/>
  <c r="K559" i="1"/>
  <c r="J347" i="1"/>
  <c r="L348" i="1"/>
  <c r="K597" i="1"/>
  <c r="K809" i="1"/>
  <c r="L347" i="1"/>
  <c r="L495" i="1"/>
  <c r="J611" i="1"/>
  <c r="K611" i="1"/>
  <c r="L509" i="1"/>
  <c r="K777" i="1"/>
  <c r="L777" i="1"/>
  <c r="K357" i="1"/>
  <c r="J372" i="1"/>
  <c r="K372" i="1"/>
  <c r="L713" i="1"/>
  <c r="L606" i="1"/>
  <c r="W54" i="1"/>
  <c r="W99" i="1"/>
  <c r="W146" i="1"/>
  <c r="W120" i="1"/>
  <c r="W183" i="1"/>
  <c r="W166" i="1"/>
  <c r="W93" i="1"/>
  <c r="W89" i="1"/>
  <c r="W44" i="1"/>
  <c r="W211" i="1"/>
  <c r="W130" i="1"/>
  <c r="W117" i="1"/>
  <c r="W61" i="1"/>
  <c r="W76" i="1"/>
  <c r="K207" i="1"/>
  <c r="W237" i="1"/>
  <c r="W149" i="1"/>
  <c r="W141" i="1"/>
  <c r="W112" i="1"/>
  <c r="W96" i="1"/>
  <c r="W114" i="1"/>
  <c r="W90" i="1"/>
  <c r="W105" i="1"/>
  <c r="W107" i="1"/>
  <c r="W134" i="1"/>
  <c r="W150" i="1"/>
  <c r="W88" i="1"/>
  <c r="W122" i="1"/>
  <c r="W46" i="1"/>
  <c r="W62" i="1"/>
  <c r="W123" i="1"/>
  <c r="W91" i="1"/>
  <c r="W109" i="1"/>
  <c r="W106" i="1"/>
  <c r="W144" i="1"/>
  <c r="W231" i="1"/>
  <c r="W121" i="1"/>
  <c r="W36" i="1"/>
  <c r="W78" i="1"/>
  <c r="W135" i="1"/>
  <c r="W132" i="1"/>
  <c r="W95" i="1"/>
  <c r="W98" i="1"/>
  <c r="W136" i="1"/>
  <c r="W239" i="1"/>
  <c r="W119" i="1"/>
  <c r="W245" i="1"/>
  <c r="W148" i="1"/>
  <c r="W115" i="1"/>
  <c r="W179" i="1"/>
  <c r="W131" i="1"/>
  <c r="W101" i="1"/>
  <c r="W87" i="1"/>
  <c r="W138" i="1"/>
  <c r="W84" i="1"/>
  <c r="W128" i="1"/>
  <c r="W227" i="1"/>
  <c r="W125" i="1"/>
  <c r="W180" i="1"/>
  <c r="W2" i="1"/>
  <c r="W13" i="1"/>
  <c r="W235" i="1"/>
  <c r="W104" i="1"/>
  <c r="W92" i="1"/>
  <c r="L809" i="1"/>
  <c r="K581" i="1"/>
  <c r="K282" i="1"/>
  <c r="K199" i="1"/>
  <c r="L244" i="1"/>
  <c r="K286" i="1"/>
  <c r="L280" i="1"/>
  <c r="L142" i="1"/>
  <c r="L274" i="1"/>
  <c r="L282" i="1"/>
  <c r="L226" i="1"/>
  <c r="L202" i="1"/>
  <c r="K293" i="1"/>
  <c r="K232" i="1"/>
  <c r="K230" i="1"/>
  <c r="L555" i="1"/>
  <c r="K410" i="1"/>
  <c r="J667" i="1"/>
  <c r="L790" i="1"/>
  <c r="L318" i="1"/>
  <c r="L223" i="1"/>
  <c r="L286" i="1"/>
  <c r="L831" i="1"/>
  <c r="L511" i="1"/>
  <c r="K673" i="1"/>
  <c r="L597" i="1"/>
  <c r="K118" i="1"/>
  <c r="L624" i="1"/>
  <c r="K791" i="1"/>
  <c r="L559" i="1"/>
  <c r="K822" i="1"/>
  <c r="L721" i="1"/>
  <c r="K602" i="1"/>
  <c r="K759" i="1"/>
  <c r="L547" i="1"/>
  <c r="K785" i="1"/>
  <c r="L532" i="1"/>
  <c r="L785" i="1"/>
  <c r="J785" i="1"/>
  <c r="J721" i="1"/>
  <c r="K721" i="1"/>
  <c r="K573" i="1"/>
  <c r="J142" i="1"/>
  <c r="L482" i="1"/>
  <c r="L641" i="1"/>
  <c r="L557" i="1"/>
  <c r="K634" i="1"/>
  <c r="L452" i="1"/>
  <c r="K171" i="1"/>
  <c r="L442" i="1"/>
  <c r="J629" i="1"/>
  <c r="L838" i="1"/>
  <c r="J843" i="1"/>
  <c r="K729" i="1"/>
  <c r="L696" i="1"/>
  <c r="J293" i="1"/>
  <c r="K404" i="1"/>
  <c r="K329" i="1"/>
  <c r="L498" i="1"/>
  <c r="L404" i="1"/>
  <c r="K827" i="1"/>
  <c r="L714" i="1"/>
  <c r="K811" i="1"/>
  <c r="L247" i="1"/>
  <c r="J832" i="1"/>
  <c r="J768" i="1"/>
  <c r="J582" i="1"/>
  <c r="K539" i="1"/>
  <c r="J443" i="1"/>
  <c r="J146" i="1"/>
  <c r="J535" i="1"/>
  <c r="J803" i="1"/>
  <c r="J616" i="1"/>
  <c r="J496" i="1"/>
  <c r="J107" i="1"/>
  <c r="J167" i="1"/>
  <c r="J136" i="1"/>
  <c r="J572" i="1"/>
  <c r="K565" i="1"/>
  <c r="J705" i="1"/>
  <c r="J659" i="1"/>
  <c r="J398" i="1"/>
  <c r="J413" i="1"/>
  <c r="J304" i="1"/>
  <c r="J212" i="1"/>
  <c r="J104" i="1"/>
  <c r="K579" i="1"/>
  <c r="J482" i="1"/>
  <c r="J192" i="1"/>
  <c r="L384" i="1"/>
  <c r="K604" i="1"/>
  <c r="J574" i="1"/>
  <c r="J585" i="1"/>
  <c r="K556" i="1"/>
  <c r="J415" i="1"/>
  <c r="J427" i="1"/>
  <c r="L516" i="1"/>
  <c r="J367" i="1"/>
  <c r="J269" i="1"/>
  <c r="J134" i="1"/>
  <c r="J196" i="1"/>
  <c r="J182" i="1"/>
  <c r="J135" i="1"/>
  <c r="J120" i="1"/>
  <c r="L113" i="1"/>
  <c r="K806" i="1"/>
  <c r="L589" i="1"/>
  <c r="J830" i="1"/>
  <c r="J133" i="1"/>
  <c r="L343" i="1"/>
  <c r="K192" i="1"/>
  <c r="J231" i="1"/>
  <c r="K178" i="1"/>
  <c r="J657" i="1"/>
  <c r="K517" i="1"/>
  <c r="J105" i="1"/>
  <c r="K328" i="1"/>
  <c r="J202" i="1"/>
  <c r="J487" i="1"/>
  <c r="J519" i="1"/>
  <c r="J824" i="1"/>
  <c r="K762" i="1"/>
  <c r="K830" i="1"/>
  <c r="J795" i="1"/>
  <c r="L765" i="1"/>
  <c r="J764" i="1"/>
  <c r="J771" i="1"/>
  <c r="J742" i="1"/>
  <c r="J710" i="1"/>
  <c r="L720" i="1"/>
  <c r="J741" i="1"/>
  <c r="J612" i="1"/>
  <c r="L599" i="1"/>
  <c r="J676" i="1"/>
  <c r="J692" i="1"/>
  <c r="J661" i="1"/>
  <c r="J614" i="1"/>
  <c r="J545" i="1"/>
  <c r="J491" i="1"/>
  <c r="K391" i="1"/>
  <c r="J360" i="1"/>
  <c r="J463" i="1"/>
  <c r="J408" i="1"/>
  <c r="J536" i="1"/>
  <c r="K469" i="1"/>
  <c r="L416" i="1"/>
  <c r="J507" i="1"/>
  <c r="J456" i="1"/>
  <c r="J440" i="1"/>
  <c r="J504" i="1"/>
  <c r="J472" i="1"/>
  <c r="L506" i="1"/>
  <c r="L311" i="1"/>
  <c r="J349" i="1"/>
  <c r="J272" i="1"/>
  <c r="K312" i="1"/>
  <c r="J295" i="1"/>
  <c r="J339" i="1"/>
  <c r="J214" i="1"/>
  <c r="L299" i="1"/>
  <c r="J179" i="1"/>
  <c r="K131" i="1"/>
  <c r="J101" i="1"/>
  <c r="J209" i="1"/>
  <c r="L141" i="1"/>
  <c r="L111" i="1"/>
  <c r="J112" i="1"/>
  <c r="J88" i="1"/>
  <c r="L105" i="1"/>
  <c r="J564" i="1"/>
  <c r="L581" i="1"/>
  <c r="J428" i="1"/>
  <c r="J501" i="1"/>
  <c r="J418" i="1"/>
  <c r="J232" i="1"/>
  <c r="J90" i="1"/>
  <c r="L336" i="1"/>
  <c r="J807" i="1"/>
  <c r="J532" i="1"/>
  <c r="J417" i="1"/>
  <c r="J183" i="1"/>
  <c r="J434" i="1"/>
  <c r="J777" i="1"/>
  <c r="K388" i="1"/>
  <c r="K347" i="1"/>
  <c r="J458" i="1"/>
  <c r="L293" i="1"/>
  <c r="J641" i="1"/>
  <c r="J820" i="1"/>
  <c r="L687" i="1"/>
  <c r="J552" i="1"/>
  <c r="J459" i="1"/>
  <c r="L195" i="1"/>
  <c r="J144" i="1"/>
  <c r="J433" i="1"/>
  <c r="L380" i="1"/>
  <c r="K395" i="1"/>
  <c r="J172" i="1"/>
  <c r="J639" i="1"/>
  <c r="J651" i="1"/>
  <c r="J570" i="1"/>
  <c r="J526" i="1"/>
  <c r="J605" i="1"/>
  <c r="J631" i="1"/>
  <c r="J534" i="1"/>
  <c r="K447" i="1"/>
  <c r="J384" i="1"/>
  <c r="J405" i="1"/>
  <c r="J454" i="1"/>
  <c r="J424" i="1"/>
  <c r="J385" i="1"/>
  <c r="J470" i="1"/>
  <c r="J324" i="1"/>
  <c r="J397" i="1"/>
  <c r="J235" i="1"/>
  <c r="J363" i="1"/>
  <c r="K256" i="1"/>
  <c r="J373" i="1"/>
  <c r="K364" i="1"/>
  <c r="J99" i="1"/>
  <c r="K267" i="1"/>
  <c r="J225" i="1"/>
  <c r="J164" i="1"/>
  <c r="L103" i="1"/>
  <c r="J228" i="1"/>
  <c r="J193" i="1"/>
  <c r="J92" i="1"/>
  <c r="J798" i="1"/>
  <c r="J549" i="1"/>
  <c r="J761" i="1"/>
  <c r="J218" i="1"/>
  <c r="J489" i="1"/>
  <c r="J839" i="1"/>
  <c r="J174" i="1"/>
  <c r="K495" i="1"/>
  <c r="J766" i="1"/>
  <c r="J615" i="1"/>
  <c r="L321" i="1"/>
  <c r="K348" i="1"/>
  <c r="J597" i="1"/>
  <c r="J809" i="1"/>
  <c r="J230" i="1"/>
  <c r="J699" i="1"/>
  <c r="L608" i="1"/>
  <c r="J702" i="1"/>
  <c r="J610" i="1"/>
  <c r="J550" i="1"/>
  <c r="J315" i="1"/>
  <c r="J814" i="1"/>
  <c r="J245" i="1"/>
  <c r="J527" i="1"/>
  <c r="J842" i="1"/>
  <c r="J770" i="1"/>
  <c r="J813" i="1"/>
  <c r="J719" i="1"/>
  <c r="J675" i="1"/>
  <c r="J640" i="1"/>
  <c r="J600" i="1"/>
  <c r="J284" i="1"/>
  <c r="J802" i="1"/>
  <c r="J738" i="1"/>
  <c r="J800" i="1"/>
  <c r="L571" i="1"/>
  <c r="J624" i="1"/>
  <c r="L690" i="1"/>
  <c r="L520" i="1"/>
  <c r="J528" i="1"/>
  <c r="J635" i="1"/>
  <c r="J566" i="1"/>
  <c r="J569" i="1"/>
  <c r="K479" i="1"/>
  <c r="J383" i="1"/>
  <c r="J537" i="1"/>
  <c r="J453" i="1"/>
  <c r="J401" i="1"/>
  <c r="J510" i="1"/>
  <c r="J451" i="1"/>
  <c r="J422" i="1"/>
  <c r="J494" i="1"/>
  <c r="J303" i="1"/>
  <c r="L271" i="1"/>
  <c r="J342" i="1"/>
  <c r="K317" i="1"/>
  <c r="J291" i="1"/>
  <c r="K227" i="1"/>
  <c r="J351" i="1"/>
  <c r="J251" i="1"/>
  <c r="J333" i="1"/>
  <c r="J279" i="1"/>
  <c r="J238" i="1"/>
  <c r="J204" i="1"/>
  <c r="J123" i="1"/>
  <c r="J260" i="1"/>
  <c r="J166" i="1"/>
  <c r="J125" i="1"/>
  <c r="J93" i="1"/>
  <c r="J205" i="1"/>
  <c r="J132" i="1"/>
  <c r="L95" i="1"/>
  <c r="J96" i="1"/>
  <c r="J122" i="1"/>
  <c r="J89" i="1"/>
  <c r="J793" i="1"/>
  <c r="J681" i="1"/>
  <c r="J547" i="1"/>
  <c r="L761" i="1"/>
  <c r="J194" i="1"/>
  <c r="J460" i="1"/>
  <c r="J758" i="1"/>
  <c r="L253" i="1"/>
  <c r="J444" i="1"/>
  <c r="J493" i="1"/>
  <c r="J775" i="1"/>
  <c r="J160" i="1"/>
  <c r="J244" i="1"/>
  <c r="J753" i="1"/>
  <c r="L264" i="1"/>
  <c r="L645" i="1"/>
  <c r="J310" i="1"/>
  <c r="J394" i="1"/>
  <c r="J326" i="1"/>
  <c r="J555" i="1"/>
  <c r="J61" i="1"/>
  <c r="J811" i="1"/>
  <c r="J812" i="1"/>
  <c r="J752" i="1"/>
  <c r="J662" i="1"/>
  <c r="J686" i="1"/>
  <c r="J544" i="1"/>
  <c r="L389" i="1"/>
  <c r="J462" i="1"/>
  <c r="L144" i="1"/>
  <c r="J294" i="1"/>
  <c r="J565" i="1"/>
  <c r="J724" i="1"/>
  <c r="K186" i="1"/>
  <c r="L810" i="1"/>
  <c r="J821" i="1"/>
  <c r="J423" i="1"/>
  <c r="L354" i="1"/>
  <c r="K275" i="1"/>
  <c r="L341" i="1"/>
  <c r="J240" i="1"/>
  <c r="L834" i="1"/>
  <c r="J707" i="1"/>
  <c r="K637" i="1"/>
  <c r="J628" i="1"/>
  <c r="J827" i="1"/>
  <c r="J784" i="1"/>
  <c r="J708" i="1"/>
  <c r="J677" i="1"/>
  <c r="J709" i="1"/>
  <c r="J70" i="1"/>
  <c r="L826" i="1"/>
  <c r="L794" i="1"/>
  <c r="K744" i="1"/>
  <c r="J760" i="1"/>
  <c r="J788" i="1"/>
  <c r="L703" i="1"/>
  <c r="K704" i="1"/>
  <c r="J627" i="1"/>
  <c r="K621" i="1"/>
  <c r="J672" i="1"/>
  <c r="J593" i="1"/>
  <c r="J688" i="1"/>
  <c r="J711" i="1"/>
  <c r="J598" i="1"/>
  <c r="J603" i="1"/>
  <c r="J595" i="1"/>
  <c r="K554" i="1"/>
  <c r="J607" i="1"/>
  <c r="K527" i="1"/>
  <c r="L477" i="1"/>
  <c r="J445" i="1"/>
  <c r="L500" i="1"/>
  <c r="J406" i="1"/>
  <c r="J480" i="1"/>
  <c r="J435" i="1"/>
  <c r="J419" i="1"/>
  <c r="J467" i="1"/>
  <c r="J538" i="1"/>
  <c r="K485" i="1"/>
  <c r="J403" i="1"/>
  <c r="K359" i="1"/>
  <c r="K259" i="1"/>
  <c r="L219" i="1"/>
  <c r="J301" i="1"/>
  <c r="J323" i="1"/>
  <c r="J263" i="1"/>
  <c r="J362" i="1"/>
  <c r="L181" i="1"/>
  <c r="J289" i="1"/>
  <c r="J91" i="1"/>
  <c r="K221" i="1"/>
  <c r="K163" i="1"/>
  <c r="L127" i="1"/>
  <c r="J87" i="1"/>
  <c r="L187" i="1"/>
  <c r="J114" i="1"/>
  <c r="J533" i="1"/>
  <c r="J759" i="1"/>
  <c r="J729" i="1"/>
  <c r="K154" i="1"/>
  <c r="L352" i="1"/>
  <c r="J649" i="1"/>
  <c r="J208" i="1"/>
  <c r="J234" i="1"/>
  <c r="L313" i="1"/>
  <c r="J239" i="1"/>
  <c r="J769" i="1"/>
  <c r="J617" i="1"/>
  <c r="J176" i="1"/>
  <c r="K337" i="1"/>
  <c r="J509" i="1"/>
  <c r="J441" i="1"/>
  <c r="K305" i="1"/>
  <c r="J673" i="1"/>
  <c r="L372" i="1"/>
  <c r="J625" i="1"/>
  <c r="J282" i="1"/>
  <c r="J767" i="1"/>
  <c r="L778" i="1"/>
  <c r="J780" i="1"/>
  <c r="J512" i="1"/>
  <c r="J492" i="1"/>
  <c r="J276" i="1"/>
  <c r="J217" i="1"/>
  <c r="J525" i="1"/>
  <c r="J168" i="1"/>
  <c r="J740" i="1"/>
  <c r="J805" i="1"/>
  <c r="J736" i="1"/>
  <c r="L530" i="1"/>
  <c r="J409" i="1"/>
  <c r="J400" i="1"/>
  <c r="J319" i="1"/>
  <c r="L754" i="1"/>
  <c r="J755" i="1"/>
  <c r="J643" i="1"/>
  <c r="J816" i="1"/>
  <c r="J747" i="1"/>
  <c r="J829" i="1"/>
  <c r="J779" i="1"/>
  <c r="J620" i="1"/>
  <c r="K592" i="1"/>
  <c r="J54" i="1"/>
  <c r="J840" i="1"/>
  <c r="J836" i="1"/>
  <c r="J792" i="1"/>
  <c r="J776" i="1"/>
  <c r="J739" i="1"/>
  <c r="J691" i="1"/>
  <c r="L740" i="1"/>
  <c r="L576" i="1"/>
  <c r="J727" i="1"/>
  <c r="J561" i="1"/>
  <c r="J505" i="1"/>
  <c r="J622" i="1"/>
  <c r="J562" i="1"/>
  <c r="J542" i="1"/>
  <c r="J577" i="1"/>
  <c r="J475" i="1"/>
  <c r="J369" i="1"/>
  <c r="J523" i="1"/>
  <c r="J437" i="1"/>
  <c r="J508" i="1"/>
  <c r="J399" i="1"/>
  <c r="J448" i="1"/>
  <c r="J371" i="1"/>
  <c r="J521" i="1"/>
  <c r="J483" i="1"/>
  <c r="J386" i="1"/>
  <c r="J368" i="1"/>
  <c r="J344" i="1"/>
  <c r="J353" i="1"/>
  <c r="J307" i="1"/>
  <c r="L211" i="1"/>
  <c r="J242" i="1"/>
  <c r="J414" i="1"/>
  <c r="J331" i="1"/>
  <c r="L222" i="1"/>
  <c r="J273" i="1"/>
  <c r="J148" i="1"/>
  <c r="J237" i="1"/>
  <c r="J117" i="1"/>
  <c r="J85" i="1"/>
  <c r="J201" i="1"/>
  <c r="J171" i="1"/>
  <c r="K151" i="1"/>
  <c r="J106" i="1"/>
  <c r="L527" i="1"/>
  <c r="J745" i="1"/>
  <c r="J573" i="1"/>
  <c r="J481" i="1"/>
  <c r="L629" i="1"/>
  <c r="J190" i="1"/>
  <c r="J449" i="1"/>
  <c r="J356" i="1"/>
  <c r="J751" i="1"/>
  <c r="J278" i="1"/>
  <c r="K379" i="1"/>
  <c r="J210" i="1"/>
  <c r="K540" i="1"/>
  <c r="J442" i="1"/>
  <c r="L162" i="1"/>
  <c r="K142" i="1"/>
  <c r="J366" i="1"/>
  <c r="J286" i="1"/>
  <c r="L667" i="1"/>
  <c r="K280" i="1"/>
  <c r="J580" i="1"/>
  <c r="J757" i="1"/>
  <c r="J644" i="1"/>
  <c r="J563" i="1"/>
  <c r="J421" i="1"/>
  <c r="J430" i="1"/>
  <c r="L287" i="1"/>
  <c r="J233" i="1"/>
  <c r="J109" i="1"/>
  <c r="J84" i="1"/>
  <c r="J556" i="1"/>
  <c r="J226" i="1"/>
  <c r="J62" i="1"/>
  <c r="J835" i="1"/>
  <c r="J695" i="1"/>
  <c r="J548" i="1"/>
  <c r="J787" i="1"/>
  <c r="J670" i="1"/>
  <c r="J683" i="1"/>
  <c r="J13" i="1"/>
  <c r="J841" i="1"/>
  <c r="L818" i="1"/>
  <c r="L786" i="1"/>
  <c r="J819" i="1"/>
  <c r="J734" i="1"/>
  <c r="J808" i="1"/>
  <c r="J837" i="1"/>
  <c r="J763" i="1"/>
  <c r="J723" i="1"/>
  <c r="J731" i="1"/>
  <c r="J636" i="1"/>
  <c r="L705" i="1"/>
  <c r="J664" i="1"/>
  <c r="J623" i="1"/>
  <c r="J725" i="1"/>
  <c r="J655" i="1"/>
  <c r="K613" i="1"/>
  <c r="J568" i="1"/>
  <c r="J653" i="1"/>
  <c r="J678" i="1"/>
  <c r="J694" i="1"/>
  <c r="J586" i="1"/>
  <c r="J558" i="1"/>
  <c r="K431" i="1"/>
  <c r="J429" i="1"/>
  <c r="L488" i="1"/>
  <c r="J392" i="1"/>
  <c r="J446" i="1"/>
  <c r="J432" i="1"/>
  <c r="J416" i="1"/>
  <c r="J464" i="1"/>
  <c r="J518" i="1"/>
  <c r="J377" i="1"/>
  <c r="J332" i="1"/>
  <c r="J203" i="1"/>
  <c r="J325" i="1"/>
  <c r="J285" i="1"/>
  <c r="J236" i="1"/>
  <c r="K320" i="1"/>
  <c r="J404" i="1"/>
  <c r="K283" i="1"/>
  <c r="J268" i="1"/>
  <c r="J143" i="1"/>
  <c r="J115" i="1"/>
  <c r="J198" i="1"/>
  <c r="J149" i="1"/>
  <c r="J180" i="1"/>
  <c r="L150" i="1"/>
  <c r="L119" i="1"/>
  <c r="J155" i="1"/>
  <c r="L138" i="1"/>
  <c r="J98" i="1"/>
  <c r="J817" i="1"/>
  <c r="J495" i="1"/>
  <c r="J387" i="1"/>
  <c r="K226" i="1"/>
  <c r="J254" i="1"/>
  <c r="K170" i="1"/>
  <c r="J370" i="1"/>
  <c r="J266" i="1"/>
  <c r="K514" i="1"/>
  <c r="J200" i="1"/>
  <c r="K689" i="1"/>
  <c r="J468" i="1"/>
  <c r="L261" i="1"/>
  <c r="J696" i="1"/>
  <c r="J559" i="1"/>
  <c r="K121" i="1"/>
  <c r="J712" i="1"/>
  <c r="J588" i="1"/>
  <c r="J262" i="1"/>
  <c r="J656" i="1"/>
  <c r="J274" i="1"/>
  <c r="L541" i="1"/>
  <c r="L611" i="1"/>
  <c r="J543" i="1"/>
  <c r="K511" i="1"/>
  <c r="J2" i="1"/>
  <c r="K425" i="1"/>
  <c r="L165" i="1"/>
  <c r="L305" i="1"/>
  <c r="L218" i="1"/>
  <c r="L697" i="1"/>
  <c r="K460" i="1"/>
  <c r="J380" i="1"/>
  <c r="K509" i="1"/>
  <c r="K519" i="1"/>
  <c r="J514" i="1"/>
  <c r="K796" i="1"/>
  <c r="L823" i="1"/>
  <c r="K783" i="1"/>
  <c r="K632" i="1"/>
  <c r="K546" i="1"/>
  <c r="L514" i="1"/>
  <c r="L535" i="1"/>
  <c r="K487" i="1"/>
  <c r="L255" i="1"/>
  <c r="K264" i="1"/>
  <c r="L519" i="1"/>
  <c r="L417" i="1"/>
  <c r="L441" i="1"/>
  <c r="L465" i="1"/>
  <c r="L468" i="1"/>
  <c r="K468" i="1"/>
  <c r="K330" i="1"/>
  <c r="K270" i="1"/>
  <c r="L334" i="1"/>
  <c r="K176" i="1"/>
  <c r="K167" i="1"/>
  <c r="K90" i="1"/>
  <c r="L388" i="1"/>
  <c r="L458" i="1"/>
  <c r="L230" i="1"/>
  <c r="K650" i="1"/>
  <c r="K812" i="1"/>
  <c r="K740" i="1"/>
  <c r="L90" i="1"/>
  <c r="L749" i="1"/>
  <c r="K722" i="1"/>
  <c r="J352" i="1"/>
  <c r="L774" i="1"/>
  <c r="K658" i="1"/>
  <c r="L437" i="1"/>
  <c r="K272" i="1"/>
  <c r="K244" i="1"/>
  <c r="K426" i="1"/>
  <c r="K522" i="1"/>
  <c r="L804" i="1"/>
  <c r="L807" i="1"/>
  <c r="L835" i="1"/>
  <c r="K803" i="1"/>
  <c r="L710" i="1"/>
  <c r="L644" i="1"/>
  <c r="K448" i="1"/>
  <c r="K371" i="1"/>
  <c r="K308" i="1"/>
  <c r="K197" i="1"/>
  <c r="K601" i="1"/>
  <c r="L461" i="1"/>
  <c r="L285" i="1"/>
  <c r="K214" i="1"/>
  <c r="K536" i="1"/>
  <c r="L320" i="1"/>
  <c r="L682" i="1"/>
  <c r="K526" i="1"/>
  <c r="L474" i="1"/>
  <c r="K358" i="1"/>
  <c r="K194" i="1"/>
  <c r="K338" i="1"/>
  <c r="J388" i="1"/>
  <c r="L525" i="1"/>
  <c r="L673" i="1"/>
  <c r="K773" i="1"/>
  <c r="L733" i="1"/>
  <c r="K741" i="1"/>
  <c r="K665" i="1"/>
  <c r="L540" i="1"/>
  <c r="L626" i="1"/>
  <c r="K580" i="1"/>
  <c r="K615" i="1"/>
  <c r="L524" i="1"/>
  <c r="J313" i="1"/>
  <c r="L487" i="1"/>
  <c r="L735" i="1"/>
  <c r="L168" i="1"/>
  <c r="K745" i="1"/>
  <c r="J541" i="1"/>
  <c r="K766" i="1"/>
  <c r="L768" i="1"/>
  <c r="L698" i="1"/>
  <c r="K688" i="1"/>
  <c r="L580" i="1"/>
  <c r="L543" i="1"/>
  <c r="L615" i="1"/>
  <c r="K543" i="1"/>
  <c r="K501" i="1"/>
  <c r="L309" i="1"/>
  <c r="L345" i="1"/>
  <c r="L131" i="1"/>
  <c r="K466" i="1"/>
  <c r="L158" i="1"/>
  <c r="L224" i="1"/>
  <c r="K356" i="1"/>
  <c r="K751" i="1"/>
  <c r="K842" i="1"/>
  <c r="L819" i="1"/>
  <c r="L820" i="1"/>
  <c r="L693" i="1"/>
  <c r="L647" i="1"/>
  <c r="K574" i="1"/>
  <c r="L456" i="1"/>
  <c r="L355" i="1"/>
  <c r="J320" i="1"/>
  <c r="L382" i="1"/>
  <c r="J321" i="1"/>
  <c r="K321" i="1"/>
  <c r="K535" i="1"/>
  <c r="K541" i="1"/>
  <c r="K97" i="1"/>
  <c r="K105" i="1"/>
  <c r="J826" i="1"/>
  <c r="L561" i="1"/>
  <c r="J431" i="1"/>
  <c r="K399" i="1"/>
  <c r="K668" i="1"/>
  <c r="K415" i="1"/>
  <c r="K781" i="1"/>
  <c r="L663" i="1"/>
  <c r="L610" i="1"/>
  <c r="L289" i="1"/>
  <c r="K213" i="1"/>
  <c r="K187" i="1"/>
  <c r="K775" i="1"/>
  <c r="K231" i="1"/>
  <c r="K458" i="1"/>
  <c r="L399" i="1"/>
  <c r="L805" i="1"/>
  <c r="L545" i="1"/>
  <c r="L422" i="1"/>
  <c r="K403" i="1"/>
  <c r="L358" i="1"/>
  <c r="L166" i="1"/>
  <c r="K204" i="1"/>
  <c r="K112" i="1"/>
  <c r="L814" i="1"/>
  <c r="L729" i="1"/>
  <c r="L424" i="1"/>
  <c r="K657" i="1"/>
  <c r="K787" i="1"/>
  <c r="K784" i="1"/>
  <c r="L764" i="1"/>
  <c r="L694" i="1"/>
  <c r="K251" i="1"/>
  <c r="K414" i="1"/>
  <c r="K362" i="1"/>
  <c r="L617" i="1"/>
  <c r="L398" i="1"/>
  <c r="L464" i="1"/>
  <c r="L333" i="1"/>
  <c r="L89" i="1"/>
  <c r="L450" i="1"/>
  <c r="L839" i="1"/>
  <c r="L394" i="1"/>
  <c r="K472" i="1"/>
  <c r="L208" i="1"/>
  <c r="J517" i="1"/>
  <c r="K408" i="1"/>
  <c r="K351" i="1"/>
  <c r="K307" i="1"/>
  <c r="K807" i="1"/>
  <c r="L775" i="1"/>
  <c r="L708" i="1"/>
  <c r="K656" i="1"/>
  <c r="L637" i="1"/>
  <c r="K609" i="1"/>
  <c r="K644" i="1"/>
  <c r="K702" i="1"/>
  <c r="K642" i="1"/>
  <c r="L489" i="1"/>
  <c r="K605" i="1"/>
  <c r="L569" i="1"/>
  <c r="L469" i="1"/>
  <c r="K262" i="1"/>
  <c r="K390" i="1"/>
  <c r="L198" i="1"/>
  <c r="K160" i="1"/>
  <c r="L262" i="1"/>
  <c r="K216" i="1"/>
  <c r="L564" i="1"/>
  <c r="K769" i="1"/>
  <c r="L766" i="1"/>
  <c r="K322" i="1"/>
  <c r="K202" i="1"/>
  <c r="K442" i="1"/>
  <c r="K449" i="1"/>
  <c r="K444" i="1"/>
  <c r="K532" i="1"/>
  <c r="K239" i="1"/>
  <c r="L712" i="1"/>
  <c r="K290" i="1"/>
  <c r="K646" i="1"/>
  <c r="K384" i="1"/>
  <c r="J348" i="1"/>
  <c r="L517" i="1"/>
  <c r="J551" i="1"/>
  <c r="L551" i="1"/>
  <c r="K551" i="1"/>
  <c r="K776" i="1"/>
  <c r="L756" i="1"/>
  <c r="K799" i="1"/>
  <c r="L686" i="1"/>
  <c r="L736" i="1"/>
  <c r="L544" i="1"/>
  <c r="L607" i="1"/>
  <c r="L432" i="1"/>
  <c r="L378" i="1"/>
  <c r="L504" i="1"/>
  <c r="K407" i="1"/>
  <c r="L350" i="1"/>
  <c r="L272" i="1"/>
  <c r="K306" i="1"/>
  <c r="L328" i="1"/>
  <c r="J328" i="1"/>
  <c r="J221" i="1"/>
  <c r="L769" i="1"/>
  <c r="L375" i="1"/>
  <c r="L234" i="1"/>
  <c r="K533" i="1"/>
  <c r="L656" i="1"/>
  <c r="K428" i="1"/>
  <c r="K396" i="1"/>
  <c r="K732" i="1"/>
  <c r="K731" i="1"/>
  <c r="L570" i="1"/>
  <c r="L534" i="1"/>
  <c r="J794" i="1"/>
  <c r="K588" i="1"/>
  <c r="L449" i="1"/>
  <c r="K440" i="1"/>
  <c r="K278" i="1"/>
  <c r="J379" i="1"/>
  <c r="L301" i="1"/>
  <c r="K263" i="1"/>
  <c r="K253" i="1"/>
  <c r="J170" i="1"/>
  <c r="L157" i="1"/>
  <c r="J178" i="1"/>
  <c r="J581" i="1"/>
  <c r="L178" i="1"/>
  <c r="J461" i="1"/>
  <c r="L657" i="1"/>
  <c r="K808" i="1"/>
  <c r="L815" i="1"/>
  <c r="J469" i="1"/>
  <c r="L373" i="1"/>
  <c r="K394" i="1"/>
  <c r="K331" i="1"/>
  <c r="J299" i="1"/>
  <c r="J121" i="1"/>
  <c r="L830" i="1"/>
  <c r="K266" i="1"/>
  <c r="K361" i="1"/>
  <c r="L240" i="1"/>
  <c r="K648" i="1"/>
  <c r="K622" i="1"/>
  <c r="K277" i="1"/>
  <c r="L433" i="1"/>
  <c r="L731" i="1"/>
  <c r="J576" i="1"/>
  <c r="L588" i="1"/>
  <c r="K572" i="1"/>
  <c r="J786" i="1"/>
  <c r="K782" i="1"/>
  <c r="K804" i="1"/>
  <c r="K705" i="1"/>
  <c r="L664" i="1"/>
  <c r="L613" i="1"/>
  <c r="K625" i="1"/>
  <c r="L572" i="1"/>
  <c r="L496" i="1"/>
  <c r="K471" i="1"/>
  <c r="K421" i="1"/>
  <c r="L459" i="1"/>
  <c r="L423" i="1"/>
  <c r="K508" i="1"/>
  <c r="K432" i="1"/>
  <c r="K480" i="1"/>
  <c r="K274" i="1"/>
  <c r="K190" i="1"/>
  <c r="K141" i="1"/>
  <c r="J280" i="1"/>
  <c r="L93" i="1"/>
  <c r="K299" i="1"/>
  <c r="K237" i="1"/>
  <c r="L245" i="1"/>
  <c r="L121" i="1"/>
  <c r="L533" i="1"/>
  <c r="K548" i="1"/>
  <c r="L192" i="1"/>
  <c r="L366" i="1"/>
  <c r="K441" i="1"/>
  <c r="L145" i="1"/>
  <c r="K155" i="1"/>
  <c r="K136" i="1"/>
  <c r="L153" i="1"/>
  <c r="K102" i="1"/>
  <c r="L155" i="1"/>
  <c r="L164" i="1"/>
  <c r="L176" i="1"/>
  <c r="K127" i="1"/>
  <c r="J162" i="1"/>
  <c r="J264" i="1"/>
  <c r="L828" i="1"/>
  <c r="K725" i="1"/>
  <c r="L457" i="1"/>
  <c r="L418" i="1"/>
  <c r="L186" i="1"/>
  <c r="L649" i="1"/>
  <c r="K261" i="1"/>
  <c r="K795" i="1"/>
  <c r="K832" i="1"/>
  <c r="K839" i="1"/>
  <c r="K772" i="1"/>
  <c r="L780" i="1"/>
  <c r="K798" i="1"/>
  <c r="L701" i="1"/>
  <c r="L757" i="1"/>
  <c r="K757" i="1"/>
  <c r="K743" i="1"/>
  <c r="K706" i="1"/>
  <c r="K694" i="1"/>
  <c r="K563" i="1"/>
  <c r="K564" i="1"/>
  <c r="L523" i="1"/>
  <c r="K491" i="1"/>
  <c r="J343" i="1"/>
  <c r="L507" i="1"/>
  <c r="L251" i="1"/>
  <c r="L260" i="1"/>
  <c r="K89" i="1"/>
  <c r="K114" i="1"/>
  <c r="K240" i="1"/>
  <c r="K177" i="1"/>
  <c r="K210" i="1"/>
  <c r="L565" i="1"/>
  <c r="J540" i="1"/>
  <c r="K438" i="1"/>
  <c r="J186" i="1"/>
  <c r="K819" i="1"/>
  <c r="K840" i="1"/>
  <c r="L808" i="1"/>
  <c r="K793" i="1"/>
  <c r="K786" i="1"/>
  <c r="L739" i="1"/>
  <c r="K837" i="1"/>
  <c r="K829" i="1"/>
  <c r="L643" i="1"/>
  <c r="L669" i="1"/>
  <c r="K651" i="1"/>
  <c r="K595" i="1"/>
  <c r="L562" i="1"/>
  <c r="K375" i="1"/>
  <c r="L369" i="1"/>
  <c r="L592" i="1"/>
  <c r="K291" i="1"/>
  <c r="L312" i="1"/>
  <c r="L363" i="1"/>
  <c r="L325" i="1"/>
  <c r="L246" i="1"/>
  <c r="K313" i="1"/>
  <c r="J154" i="1"/>
  <c r="L294" i="1"/>
  <c r="L200" i="1"/>
  <c r="K418" i="1"/>
  <c r="K184" i="1"/>
  <c r="L184" i="1"/>
  <c r="L742" i="1"/>
  <c r="L779" i="1"/>
  <c r="K717" i="1"/>
  <c r="L585" i="1"/>
  <c r="K550" i="1"/>
  <c r="J256" i="1"/>
  <c r="L362" i="1"/>
  <c r="L228" i="1"/>
  <c r="J818" i="1"/>
  <c r="L840" i="1"/>
  <c r="L837" i="1"/>
  <c r="L741" i="1"/>
  <c r="L715" i="1"/>
  <c r="K677" i="1"/>
  <c r="J613" i="1"/>
  <c r="K736" i="1"/>
  <c r="L695" i="1"/>
  <c r="K663" i="1"/>
  <c r="L590" i="1"/>
  <c r="K560" i="1"/>
  <c r="K529" i="1"/>
  <c r="K589" i="1"/>
  <c r="L549" i="1"/>
  <c r="K475" i="1"/>
  <c r="K343" i="1"/>
  <c r="K453" i="1"/>
  <c r="L444" i="1"/>
  <c r="K416" i="1"/>
  <c r="L340" i="1"/>
  <c r="K294" i="1"/>
  <c r="J261" i="1"/>
  <c r="L242" i="1"/>
  <c r="L414" i="1"/>
  <c r="K252" i="1"/>
  <c r="K169" i="1"/>
  <c r="L146" i="1"/>
  <c r="K296" i="1"/>
  <c r="J589" i="1"/>
  <c r="L501" i="1"/>
  <c r="L370" i="1"/>
  <c r="K218" i="1"/>
  <c r="L396" i="1"/>
  <c r="K412" i="1"/>
  <c r="J253" i="1"/>
  <c r="K623" i="1"/>
  <c r="L725" i="1"/>
  <c r="L630" i="1"/>
  <c r="J259" i="1"/>
  <c r="K238" i="1"/>
  <c r="L753" i="1"/>
  <c r="L210" i="1"/>
  <c r="L548" i="1"/>
  <c r="K162" i="1"/>
  <c r="L747" i="1"/>
  <c r="K818" i="1"/>
  <c r="J375" i="1"/>
  <c r="K844" i="1"/>
  <c r="L734" i="1"/>
  <c r="L796" i="1"/>
  <c r="L788" i="1"/>
  <c r="L763" i="1"/>
  <c r="J704" i="1"/>
  <c r="K734" i="1"/>
  <c r="L593" i="1"/>
  <c r="J520" i="1"/>
  <c r="K478" i="1"/>
  <c r="K631" i="1"/>
  <c r="L537" i="1"/>
  <c r="L512" i="1"/>
  <c r="L454" i="1"/>
  <c r="L485" i="1"/>
  <c r="K538" i="1"/>
  <c r="J354" i="1"/>
  <c r="J275" i="1"/>
  <c r="L256" i="1"/>
  <c r="J195" i="1"/>
  <c r="L367" i="1"/>
  <c r="J358" i="1"/>
  <c r="J283" i="1"/>
  <c r="L163" i="1"/>
  <c r="J222" i="1"/>
  <c r="K289" i="1"/>
  <c r="L221" i="1"/>
  <c r="K180" i="1"/>
  <c r="K370" i="1"/>
  <c r="J336" i="1"/>
  <c r="K245" i="1"/>
  <c r="K753" i="1"/>
  <c r="K617" i="1"/>
  <c r="K813" i="1"/>
  <c r="L618" i="1"/>
  <c r="L662" i="1"/>
  <c r="K653" i="1"/>
  <c r="K661" i="1"/>
  <c r="K520" i="1"/>
  <c r="K607" i="1"/>
  <c r="K463" i="1"/>
  <c r="L371" i="1"/>
  <c r="K512" i="1"/>
  <c r="K494" i="1"/>
  <c r="L101" i="1"/>
  <c r="L239" i="1"/>
  <c r="L231" i="1"/>
  <c r="K635" i="1"/>
  <c r="L635" i="1"/>
  <c r="L353" i="1"/>
  <c r="K353" i="1"/>
  <c r="K269" i="1"/>
  <c r="L269" i="1"/>
  <c r="K217" i="1"/>
  <c r="L217" i="1"/>
  <c r="K828" i="1"/>
  <c r="K792" i="1"/>
  <c r="K662" i="1"/>
  <c r="J376" i="1"/>
  <c r="L376" i="1"/>
  <c r="K156" i="1"/>
  <c r="L249" i="1"/>
  <c r="K249" i="1"/>
  <c r="K746" i="1"/>
  <c r="L746" i="1"/>
  <c r="L821" i="1"/>
  <c r="L755" i="1"/>
  <c r="K805" i="1"/>
  <c r="K752" i="1"/>
  <c r="K643" i="1"/>
  <c r="L709" i="1"/>
  <c r="K679" i="1"/>
  <c r="L651" i="1"/>
  <c r="L661" i="1"/>
  <c r="K678" i="1"/>
  <c r="K585" i="1"/>
  <c r="K439" i="1"/>
  <c r="L439" i="1"/>
  <c r="J439" i="1"/>
  <c r="K490" i="1"/>
  <c r="L490" i="1"/>
  <c r="J490" i="1"/>
  <c r="L462" i="1"/>
  <c r="K462" i="1"/>
  <c r="K387" i="1"/>
  <c r="L387" i="1"/>
  <c r="L254" i="1"/>
  <c r="K254" i="1"/>
  <c r="L758" i="1"/>
  <c r="J834" i="1"/>
  <c r="L844" i="1"/>
  <c r="K780" i="1"/>
  <c r="K802" i="1"/>
  <c r="K718" i="1"/>
  <c r="K655" i="1"/>
  <c r="K323" i="1"/>
  <c r="L323" i="1"/>
  <c r="J220" i="1"/>
  <c r="L220" i="1"/>
  <c r="L258" i="1"/>
  <c r="J258" i="1"/>
  <c r="K258" i="1"/>
  <c r="K493" i="1"/>
  <c r="L787" i="1"/>
  <c r="K820" i="1"/>
  <c r="K765" i="1"/>
  <c r="L803" i="1"/>
  <c r="J762" i="1"/>
  <c r="L800" i="1"/>
  <c r="K742" i="1"/>
  <c r="L748" i="1"/>
  <c r="L683" i="1"/>
  <c r="J608" i="1"/>
  <c r="L628" i="1"/>
  <c r="K530" i="1"/>
  <c r="J530" i="1"/>
  <c r="J288" i="1"/>
  <c r="L288" i="1"/>
  <c r="K212" i="1"/>
  <c r="L212" i="1"/>
  <c r="K148" i="1"/>
  <c r="L292" i="1"/>
  <c r="K292" i="1"/>
  <c r="J292" i="1"/>
  <c r="K747" i="1"/>
  <c r="L829" i="1"/>
  <c r="K627" i="1"/>
  <c r="K628" i="1"/>
  <c r="L598" i="1"/>
  <c r="J590" i="1"/>
  <c r="K544" i="1"/>
  <c r="L631" i="1"/>
  <c r="K537" i="1"/>
  <c r="J500" i="1"/>
  <c r="L397" i="1"/>
  <c r="K397" i="1"/>
  <c r="K225" i="1"/>
  <c r="L225" i="1"/>
  <c r="K633" i="1"/>
  <c r="K835" i="1"/>
  <c r="L824" i="1"/>
  <c r="L802" i="1"/>
  <c r="L577" i="1"/>
  <c r="J390" i="1"/>
  <c r="J765" i="1"/>
  <c r="K639" i="1"/>
  <c r="L668" i="1"/>
  <c r="J571" i="1"/>
  <c r="J477" i="1"/>
  <c r="L448" i="1"/>
  <c r="L784" i="1"/>
  <c r="L653" i="1"/>
  <c r="L584" i="1"/>
  <c r="K584" i="1"/>
  <c r="L727" i="1"/>
  <c r="K727" i="1"/>
  <c r="J668" i="1"/>
  <c r="K614" i="1"/>
  <c r="L603" i="1"/>
  <c r="K552" i="1"/>
  <c r="K569" i="1"/>
  <c r="K477" i="1"/>
  <c r="K455" i="1"/>
  <c r="L455" i="1"/>
  <c r="J455" i="1"/>
  <c r="K360" i="1"/>
  <c r="L486" i="1"/>
  <c r="L406" i="1"/>
  <c r="K406" i="1"/>
  <c r="L521" i="1"/>
  <c r="K521" i="1"/>
  <c r="L428" i="1"/>
  <c r="L377" i="1"/>
  <c r="L346" i="1"/>
  <c r="J346" i="1"/>
  <c r="K346" i="1"/>
  <c r="J327" i="1"/>
  <c r="K327" i="1"/>
  <c r="L110" i="1"/>
  <c r="K110" i="1"/>
  <c r="L201" i="1"/>
  <c r="K220" i="1"/>
  <c r="J152" i="1"/>
  <c r="K152" i="1"/>
  <c r="K649" i="1"/>
  <c r="K843" i="1"/>
  <c r="K758" i="1"/>
  <c r="K824" i="1"/>
  <c r="L843" i="1"/>
  <c r="L812" i="1"/>
  <c r="L795" i="1"/>
  <c r="J592" i="1"/>
  <c r="K709" i="1"/>
  <c r="K686" i="1"/>
  <c r="J663" i="1"/>
  <c r="K711" i="1"/>
  <c r="L552" i="1"/>
  <c r="L526" i="1"/>
  <c r="L622" i="1"/>
  <c r="K500" i="1"/>
  <c r="K445" i="1"/>
  <c r="L385" i="1"/>
  <c r="K385" i="1"/>
  <c r="K295" i="1"/>
  <c r="K333" i="1"/>
  <c r="J737" i="1"/>
  <c r="K737" i="1"/>
  <c r="L737" i="1"/>
  <c r="J606" i="1"/>
  <c r="K606" i="1"/>
  <c r="L503" i="1"/>
  <c r="K503" i="1"/>
  <c r="J503" i="1"/>
  <c r="K836" i="1"/>
  <c r="K816" i="1"/>
  <c r="K800" i="1"/>
  <c r="K788" i="1"/>
  <c r="L771" i="1"/>
  <c r="L781" i="1"/>
  <c r="K685" i="1"/>
  <c r="L654" i="1"/>
  <c r="L621" i="1"/>
  <c r="L640" i="1"/>
  <c r="L568" i="1"/>
  <c r="K568" i="1"/>
  <c r="L672" i="1"/>
  <c r="K672" i="1"/>
  <c r="L711" i="1"/>
  <c r="K515" i="1"/>
  <c r="L493" i="1"/>
  <c r="L429" i="1"/>
  <c r="K446" i="1"/>
  <c r="L446" i="1"/>
  <c r="K242" i="1"/>
  <c r="J335" i="1"/>
  <c r="K335" i="1"/>
  <c r="K315" i="1"/>
  <c r="K373" i="1"/>
  <c r="J806" i="1"/>
  <c r="L806" i="1"/>
  <c r="J579" i="1"/>
  <c r="L579" i="1"/>
  <c r="J822" i="1"/>
  <c r="L822" i="1"/>
  <c r="L314" i="1"/>
  <c r="K314" i="1"/>
  <c r="J215" i="1"/>
  <c r="L215" i="1"/>
  <c r="K215" i="1"/>
  <c r="L174" i="1"/>
  <c r="K174" i="1"/>
  <c r="K417" i="1"/>
  <c r="K699" i="1"/>
  <c r="J637" i="1"/>
  <c r="K288" i="1"/>
  <c r="L129" i="1"/>
  <c r="K129" i="1"/>
  <c r="J801" i="1"/>
  <c r="L801" i="1"/>
  <c r="K801" i="1"/>
  <c r="J298" i="1"/>
  <c r="K298" i="1"/>
  <c r="K133" i="1"/>
  <c r="L133" i="1"/>
  <c r="L185" i="1"/>
  <c r="K185" i="1"/>
  <c r="L438" i="1"/>
  <c r="L467" i="1"/>
  <c r="K342" i="1"/>
  <c r="L236" i="1"/>
  <c r="L279" i="1"/>
  <c r="L273" i="1"/>
  <c r="L171" i="1"/>
  <c r="L193" i="1"/>
  <c r="L678" i="1"/>
  <c r="K598" i="1"/>
  <c r="K488" i="1"/>
  <c r="K507" i="1"/>
  <c r="K451" i="1"/>
  <c r="L344" i="1"/>
  <c r="K303" i="1"/>
  <c r="J227" i="1"/>
  <c r="L259" i="1"/>
  <c r="L339" i="1"/>
  <c r="L283" i="1"/>
  <c r="L206" i="1"/>
  <c r="L182" i="1"/>
  <c r="L135" i="1"/>
  <c r="J131" i="1"/>
  <c r="L180" i="1"/>
  <c r="L161" i="1"/>
  <c r="J127" i="1"/>
  <c r="K193" i="1"/>
  <c r="J151" i="1"/>
  <c r="L112" i="1"/>
  <c r="L122" i="1"/>
  <c r="L434" i="1"/>
  <c r="K434" i="1"/>
  <c r="L681" i="1"/>
  <c r="K549" i="1"/>
  <c r="K234" i="1"/>
  <c r="L87" i="1"/>
  <c r="L128" i="1"/>
  <c r="L106" i="1"/>
  <c r="L573" i="1"/>
  <c r="L356" i="1"/>
  <c r="L402" i="1"/>
  <c r="L614" i="1"/>
  <c r="L586" i="1"/>
  <c r="K600" i="1"/>
  <c r="L594" i="1"/>
  <c r="K587" i="1"/>
  <c r="L558" i="1"/>
  <c r="K401" i="1"/>
  <c r="L440" i="1"/>
  <c r="L409" i="1"/>
  <c r="K502" i="1"/>
  <c r="K430" i="1"/>
  <c r="L492" i="1"/>
  <c r="L518" i="1"/>
  <c r="K483" i="1"/>
  <c r="K367" i="1"/>
  <c r="K276" i="1"/>
  <c r="L179" i="1"/>
  <c r="L196" i="1"/>
  <c r="K233" i="1"/>
  <c r="K122" i="1"/>
  <c r="K106" i="1"/>
  <c r="K228" i="1"/>
  <c r="L759" i="1"/>
  <c r="K761" i="1"/>
  <c r="K482" i="1"/>
  <c r="L298" i="1"/>
  <c r="L194" i="1"/>
  <c r="L481" i="1"/>
  <c r="K481" i="1"/>
  <c r="K168" i="1"/>
  <c r="J396" i="1"/>
  <c r="L278" i="1"/>
  <c r="L160" i="1"/>
  <c r="K208" i="1"/>
  <c r="K681" i="1"/>
  <c r="K676" i="1"/>
  <c r="L692" i="1"/>
  <c r="L619" i="1"/>
  <c r="L560" i="1"/>
  <c r="L445" i="1"/>
  <c r="L381" i="1"/>
  <c r="L510" i="1"/>
  <c r="K459" i="1"/>
  <c r="K454" i="1"/>
  <c r="K422" i="1"/>
  <c r="K400" i="1"/>
  <c r="L332" i="1"/>
  <c r="L335" i="1"/>
  <c r="K250" i="1"/>
  <c r="K382" i="1"/>
  <c r="L276" i="1"/>
  <c r="L204" i="1"/>
  <c r="K179" i="1"/>
  <c r="L117" i="1"/>
  <c r="L267" i="1"/>
  <c r="J150" i="1"/>
  <c r="K183" i="1"/>
  <c r="K164" i="1"/>
  <c r="L798" i="1"/>
  <c r="L460" i="1"/>
  <c r="L154" i="1"/>
  <c r="L190" i="1"/>
  <c r="L463" i="1"/>
  <c r="L421" i="1"/>
  <c r="K461" i="1"/>
  <c r="L403" i="1"/>
  <c r="K166" i="1"/>
  <c r="K182" i="1"/>
  <c r="L120" i="1"/>
  <c r="K132" i="1"/>
  <c r="L152" i="1"/>
  <c r="K730" i="1"/>
  <c r="L745" i="1"/>
  <c r="L793" i="1"/>
  <c r="K525" i="1"/>
  <c r="K433" i="1"/>
  <c r="L170" i="1"/>
  <c r="L751" i="1"/>
  <c r="L266" i="1"/>
  <c r="L232" i="1"/>
  <c r="K200" i="1"/>
  <c r="K138" i="1"/>
  <c r="J138" i="1"/>
  <c r="K146" i="1"/>
  <c r="J119" i="1"/>
  <c r="L96" i="1"/>
  <c r="L125" i="1"/>
  <c r="K144" i="1"/>
  <c r="K86" i="1"/>
  <c r="L85" i="1"/>
  <c r="K119" i="1"/>
  <c r="K137" i="1"/>
  <c r="K98" i="1"/>
  <c r="K128" i="1"/>
  <c r="L151" i="1"/>
  <c r="J103" i="1"/>
  <c r="J95" i="1"/>
  <c r="L104" i="1"/>
  <c r="L88" i="1"/>
  <c r="L98" i="1"/>
  <c r="J128" i="1"/>
  <c r="K95" i="1"/>
  <c r="K126" i="1"/>
  <c r="L109" i="1"/>
  <c r="J111" i="1"/>
  <c r="L114" i="1"/>
  <c r="L140" i="1"/>
  <c r="K149" i="1"/>
  <c r="K103" i="1"/>
  <c r="K150" i="1"/>
  <c r="L147" i="1"/>
  <c r="L136" i="1"/>
  <c r="L484" i="1"/>
  <c r="K484" i="1"/>
  <c r="J554" i="1"/>
  <c r="K599" i="1"/>
  <c r="L405" i="1"/>
  <c r="K405" i="1"/>
  <c r="L415" i="1"/>
  <c r="J502" i="1"/>
  <c r="K516" i="1"/>
  <c r="L430" i="1"/>
  <c r="K376" i="1"/>
  <c r="K470" i="1"/>
  <c r="L401" i="1"/>
  <c r="L316" i="1"/>
  <c r="K316" i="1"/>
  <c r="L386" i="1"/>
  <c r="L368" i="1"/>
  <c r="L319" i="1"/>
  <c r="L393" i="1"/>
  <c r="L327" i="1"/>
  <c r="L359" i="1"/>
  <c r="L539" i="1"/>
  <c r="L92" i="1"/>
  <c r="K92" i="1"/>
  <c r="L123" i="1"/>
  <c r="L91" i="1"/>
  <c r="K195" i="1"/>
  <c r="K369" i="1"/>
  <c r="K107" i="1"/>
  <c r="L235" i="1"/>
  <c r="L684" i="1"/>
  <c r="K684" i="1"/>
  <c r="L836" i="1"/>
  <c r="L575" i="1"/>
  <c r="K575" i="1"/>
  <c r="K553" i="1"/>
  <c r="L582" i="1"/>
  <c r="L605" i="1"/>
  <c r="L554" i="1"/>
  <c r="J560" i="1"/>
  <c r="L542" i="1"/>
  <c r="K513" i="1"/>
  <c r="K577" i="1"/>
  <c r="J479" i="1"/>
  <c r="J447" i="1"/>
  <c r="K456" i="1"/>
  <c r="K424" i="1"/>
  <c r="K616" i="1"/>
  <c r="K506" i="1"/>
  <c r="J485" i="1"/>
  <c r="L470" i="1"/>
  <c r="K368" i="1"/>
  <c r="K389" i="1"/>
  <c r="J359" i="1"/>
  <c r="K188" i="1"/>
  <c r="K211" i="1"/>
  <c r="L173" i="1"/>
  <c r="K125" i="1"/>
  <c r="L214" i="1"/>
  <c r="L227" i="1"/>
  <c r="K755" i="1"/>
  <c r="K636" i="1"/>
  <c r="L636" i="1"/>
  <c r="L676" i="1"/>
  <c r="J604" i="1"/>
  <c r="J828" i="1"/>
  <c r="K797" i="1"/>
  <c r="K794" i="1"/>
  <c r="K770" i="1"/>
  <c r="K810" i="1"/>
  <c r="K789" i="1"/>
  <c r="K834" i="1"/>
  <c r="K760" i="1"/>
  <c r="K771" i="1"/>
  <c r="J703" i="1"/>
  <c r="K703" i="1"/>
  <c r="J781" i="1"/>
  <c r="K779" i="1"/>
  <c r="K756" i="1"/>
  <c r="J715" i="1"/>
  <c r="J599" i="1"/>
  <c r="L688" i="1"/>
  <c r="K695" i="1"/>
  <c r="L655" i="1"/>
  <c r="L702" i="1"/>
  <c r="L574" i="1"/>
  <c r="K603" i="1"/>
  <c r="K561" i="1"/>
  <c r="L531" i="1"/>
  <c r="L505" i="1"/>
  <c r="L476" i="1"/>
  <c r="K476" i="1"/>
  <c r="J619" i="1"/>
  <c r="K542" i="1"/>
  <c r="K499" i="1"/>
  <c r="K594" i="1"/>
  <c r="K496" i="1"/>
  <c r="L479" i="1"/>
  <c r="L374" i="1"/>
  <c r="K374" i="1"/>
  <c r="J374" i="1"/>
  <c r="L447" i="1"/>
  <c r="K429" i="1"/>
  <c r="K398" i="1"/>
  <c r="L563" i="1"/>
  <c r="K467" i="1"/>
  <c r="J389" i="1"/>
  <c r="K492" i="1"/>
  <c r="L494" i="1"/>
  <c r="K464" i="1"/>
  <c r="K518" i="1"/>
  <c r="J506" i="1"/>
  <c r="L342" i="1"/>
  <c r="K386" i="1"/>
  <c r="K354" i="1"/>
  <c r="J311" i="1"/>
  <c r="K311" i="1"/>
  <c r="K300" i="1"/>
  <c r="L300" i="1"/>
  <c r="K287" i="1"/>
  <c r="J287" i="1"/>
  <c r="K241" i="1"/>
  <c r="L241" i="1"/>
  <c r="L390" i="1"/>
  <c r="L275" i="1"/>
  <c r="L315" i="1"/>
  <c r="K325" i="1"/>
  <c r="K268" i="1"/>
  <c r="K235" i="1"/>
  <c r="K196" i="1"/>
  <c r="K423" i="1"/>
  <c r="K257" i="1"/>
  <c r="L107" i="1"/>
  <c r="J187" i="1"/>
  <c r="K135" i="1"/>
  <c r="K143" i="1"/>
  <c r="K99" i="1"/>
  <c r="L233" i="1"/>
  <c r="L813" i="1"/>
  <c r="L604" i="1"/>
  <c r="K620" i="1"/>
  <c r="L620" i="1"/>
  <c r="L833" i="1"/>
  <c r="K833" i="1"/>
  <c r="L817" i="1"/>
  <c r="K817" i="1"/>
  <c r="L832" i="1"/>
  <c r="K821" i="1"/>
  <c r="L792" i="1"/>
  <c r="K768" i="1"/>
  <c r="J796" i="1"/>
  <c r="L776" i="1"/>
  <c r="J754" i="1"/>
  <c r="L707" i="1"/>
  <c r="K707" i="1"/>
  <c r="L762" i="1"/>
  <c r="K710" i="1"/>
  <c r="J804" i="1"/>
  <c r="L811" i="1"/>
  <c r="K715" i="1"/>
  <c r="K683" i="1"/>
  <c r="K593" i="1"/>
  <c r="L567" i="1"/>
  <c r="K567" i="1"/>
  <c r="K664" i="1"/>
  <c r="L623" i="1"/>
  <c r="K578" i="1"/>
  <c r="K505" i="1"/>
  <c r="K619" i="1"/>
  <c r="J647" i="1"/>
  <c r="L550" i="1"/>
  <c r="J539" i="1"/>
  <c r="K590" i="1"/>
  <c r="K566" i="1"/>
  <c r="K558" i="1"/>
  <c r="K497" i="1"/>
  <c r="J594" i="1"/>
  <c r="K547" i="1"/>
  <c r="K534" i="1"/>
  <c r="K409" i="1"/>
  <c r="J391" i="1"/>
  <c r="K510" i="1"/>
  <c r="J438" i="1"/>
  <c r="L435" i="1"/>
  <c r="K435" i="1"/>
  <c r="L419" i="1"/>
  <c r="K419" i="1"/>
  <c r="L483" i="1"/>
  <c r="K281" i="1"/>
  <c r="K383" i="1"/>
  <c r="L351" i="1"/>
  <c r="K236" i="1"/>
  <c r="K349" i="1"/>
  <c r="L291" i="1"/>
  <c r="K279" i="1"/>
  <c r="J341" i="1"/>
  <c r="J382" i="1"/>
  <c r="L139" i="1"/>
  <c r="K139" i="1"/>
  <c r="L360" i="1"/>
  <c r="L268" i="1"/>
  <c r="K229" i="1"/>
  <c r="L116" i="1"/>
  <c r="K116" i="1"/>
  <c r="L100" i="1"/>
  <c r="K100" i="1"/>
  <c r="L237" i="1"/>
  <c r="J219" i="1"/>
  <c r="L191" i="1"/>
  <c r="J163" i="1"/>
  <c r="K198" i="1"/>
  <c r="L149" i="1"/>
  <c r="L189" i="1"/>
  <c r="L134" i="1"/>
  <c r="K205" i="1"/>
  <c r="L183" i="1"/>
  <c r="K134" i="1"/>
  <c r="K93" i="1"/>
  <c r="K101" i="1"/>
  <c r="L203" i="1"/>
  <c r="L752" i="1"/>
  <c r="L652" i="1"/>
  <c r="K652" i="1"/>
  <c r="L627" i="1"/>
  <c r="J778" i="1"/>
  <c r="J844" i="1"/>
  <c r="L770" i="1"/>
  <c r="J746" i="1"/>
  <c r="L827" i="1"/>
  <c r="L700" i="1"/>
  <c r="K700" i="1"/>
  <c r="K723" i="1"/>
  <c r="L723" i="1"/>
  <c r="L675" i="1"/>
  <c r="K675" i="1"/>
  <c r="K728" i="1"/>
  <c r="J756" i="1"/>
  <c r="L659" i="1"/>
  <c r="K659" i="1"/>
  <c r="K692" i="1"/>
  <c r="K576" i="1"/>
  <c r="K647" i="1"/>
  <c r="L704" i="1"/>
  <c r="L392" i="1"/>
  <c r="K437" i="1"/>
  <c r="L391" i="1"/>
  <c r="L536" i="1"/>
  <c r="L472" i="1"/>
  <c r="L413" i="1"/>
  <c r="K413" i="1"/>
  <c r="K392" i="1"/>
  <c r="K332" i="1"/>
  <c r="L304" i="1"/>
  <c r="L349" i="1"/>
  <c r="L324" i="1"/>
  <c r="K324" i="1"/>
  <c r="L284" i="1"/>
  <c r="K284" i="1"/>
  <c r="K271" i="1"/>
  <c r="J271" i="1"/>
  <c r="K344" i="1"/>
  <c r="L307" i="1"/>
  <c r="K339" i="1"/>
  <c r="L295" i="1"/>
  <c r="L263" i="1"/>
  <c r="L331" i="1"/>
  <c r="L130" i="1"/>
  <c r="K130" i="1"/>
  <c r="L84" i="1"/>
  <c r="K84" i="1"/>
  <c r="K260" i="1"/>
  <c r="L175" i="1"/>
  <c r="J141" i="1"/>
  <c r="K120" i="1"/>
  <c r="L209" i="1"/>
  <c r="K243" i="1"/>
  <c r="K104" i="1"/>
  <c r="K109" i="1"/>
  <c r="K96" i="1"/>
  <c r="K181" i="1"/>
  <c r="J720" i="1"/>
  <c r="L591" i="1"/>
  <c r="K591" i="1"/>
  <c r="L383" i="1"/>
  <c r="K219" i="1"/>
  <c r="K87" i="1"/>
  <c r="K273" i="1"/>
  <c r="L159" i="1"/>
  <c r="L115" i="1"/>
  <c r="L205" i="1"/>
  <c r="L94" i="1"/>
  <c r="K85" i="1"/>
  <c r="K117" i="1"/>
  <c r="K123" i="1"/>
  <c r="L660" i="1"/>
  <c r="K660" i="1"/>
  <c r="J810" i="1"/>
  <c r="K739" i="1"/>
  <c r="K545" i="1"/>
  <c r="L841" i="1"/>
  <c r="K841" i="1"/>
  <c r="L825" i="1"/>
  <c r="K825" i="1"/>
  <c r="L738" i="1"/>
  <c r="K738" i="1"/>
  <c r="L760" i="1"/>
  <c r="K764" i="1"/>
  <c r="L716" i="1"/>
  <c r="K716" i="1"/>
  <c r="L666" i="1"/>
  <c r="K666" i="1"/>
  <c r="K763" i="1"/>
  <c r="L719" i="1"/>
  <c r="L670" i="1"/>
  <c r="K726" i="1"/>
  <c r="K708" i="1"/>
  <c r="L677" i="1"/>
  <c r="L699" i="1"/>
  <c r="K640" i="1"/>
  <c r="K624" i="1"/>
  <c r="J584" i="1"/>
  <c r="L639" i="1"/>
  <c r="J621" i="1"/>
  <c r="L616" i="1"/>
  <c r="K638" i="1"/>
  <c r="K586" i="1"/>
  <c r="K571" i="1"/>
  <c r="K489" i="1"/>
  <c r="K610" i="1"/>
  <c r="L600" i="1"/>
  <c r="K562" i="1"/>
  <c r="L595" i="1"/>
  <c r="K670" i="1"/>
  <c r="L475" i="1"/>
  <c r="L411" i="1"/>
  <c r="K411" i="1"/>
  <c r="K523" i="1"/>
  <c r="L491" i="1"/>
  <c r="L443" i="1"/>
  <c r="L508" i="1"/>
  <c r="J488" i="1"/>
  <c r="K504" i="1"/>
  <c r="K443" i="1"/>
  <c r="L538" i="1"/>
  <c r="J516" i="1"/>
  <c r="J300" i="1"/>
  <c r="K377" i="1"/>
  <c r="K319" i="1"/>
  <c r="K304" i="1"/>
  <c r="K265" i="1"/>
  <c r="L265" i="1"/>
  <c r="J211" i="1"/>
  <c r="L400" i="1"/>
  <c r="K285" i="1"/>
  <c r="J317" i="1"/>
  <c r="K341" i="1"/>
  <c r="J130" i="1"/>
  <c r="K222" i="1"/>
  <c r="J181" i="1"/>
  <c r="L172" i="1"/>
  <c r="J267" i="1"/>
  <c r="K209" i="1"/>
  <c r="K248" i="1"/>
  <c r="K203" i="1"/>
  <c r="L143" i="1"/>
  <c r="L99" i="1"/>
  <c r="L167" i="1"/>
  <c r="K88" i="1"/>
  <c r="K691" i="1"/>
  <c r="L691" i="1"/>
  <c r="L671" i="1"/>
  <c r="K671" i="1"/>
  <c r="K720" i="1"/>
  <c r="L365" i="1"/>
  <c r="K365" i="1"/>
  <c r="L842" i="1"/>
  <c r="L816" i="1"/>
  <c r="K778" i="1"/>
  <c r="L724" i="1"/>
  <c r="K724" i="1"/>
  <c r="K754" i="1"/>
  <c r="K826" i="1"/>
  <c r="K687" i="1"/>
  <c r="J687" i="1"/>
  <c r="L612" i="1"/>
  <c r="K612" i="1"/>
  <c r="L583" i="1"/>
  <c r="K583" i="1"/>
  <c r="K582" i="1"/>
  <c r="L528" i="1"/>
  <c r="L566" i="1"/>
  <c r="K528" i="1"/>
  <c r="K608" i="1"/>
  <c r="K570" i="1"/>
  <c r="K719" i="1"/>
  <c r="L453" i="1"/>
  <c r="L408" i="1"/>
  <c r="L451" i="1"/>
  <c r="L431" i="1"/>
  <c r="L502" i="1"/>
  <c r="L427" i="1"/>
  <c r="K427" i="1"/>
  <c r="L480" i="1"/>
  <c r="K297" i="1"/>
  <c r="L317" i="1"/>
  <c r="L303" i="1"/>
  <c r="J312" i="1"/>
  <c r="K301" i="1"/>
  <c r="K363" i="1"/>
  <c r="L148" i="1"/>
  <c r="L238" i="1"/>
  <c r="L124" i="1"/>
  <c r="K124" i="1"/>
  <c r="L108" i="1"/>
  <c r="K108" i="1"/>
  <c r="K172" i="1"/>
  <c r="K111" i="1"/>
  <c r="L132" i="1"/>
  <c r="K201" i="1"/>
  <c r="K115" i="1"/>
  <c r="K91" i="1"/>
  <c r="I2" i="1"/>
  <c r="K2" i="1" s="1"/>
  <c r="F39" i="1"/>
  <c r="G39" i="1" s="1"/>
  <c r="I46" i="1"/>
  <c r="L46" i="1" s="1"/>
  <c r="I70" i="1"/>
  <c r="K70" i="1" s="1"/>
  <c r="F20" i="1"/>
  <c r="G20" i="1" s="1"/>
  <c r="F47" i="1"/>
  <c r="G47" i="1" s="1"/>
  <c r="F53" i="1"/>
  <c r="G53" i="1" s="1"/>
  <c r="F21" i="1"/>
  <c r="G21" i="1" s="1"/>
  <c r="F37" i="1"/>
  <c r="G37" i="1" s="1"/>
  <c r="I61" i="1"/>
  <c r="K61" i="1" s="1"/>
  <c r="F45" i="1"/>
  <c r="G45" i="1" s="1"/>
  <c r="I62" i="1"/>
  <c r="K62" i="1" s="1"/>
  <c r="F79" i="1"/>
  <c r="G79" i="1" s="1"/>
  <c r="F5" i="1"/>
  <c r="G5" i="1" s="1"/>
  <c r="F71" i="1"/>
  <c r="G71" i="1" s="1"/>
  <c r="F23" i="1"/>
  <c r="G23" i="1" s="1"/>
  <c r="I54" i="1"/>
  <c r="K54" i="1" s="1"/>
  <c r="F63" i="1"/>
  <c r="G63" i="1" s="1"/>
  <c r="F77" i="1"/>
  <c r="G77" i="1" s="1"/>
  <c r="I13" i="1"/>
  <c r="K13" i="1" s="1"/>
  <c r="J46" i="1"/>
  <c r="F55" i="1"/>
  <c r="G55" i="1" s="1"/>
  <c r="F69" i="1"/>
  <c r="G69" i="1" s="1"/>
  <c r="I78" i="1"/>
  <c r="K78" i="1" s="1"/>
  <c r="J78" i="1"/>
  <c r="F28" i="1"/>
  <c r="G28" i="1" s="1"/>
  <c r="F31" i="1"/>
  <c r="G31" i="1" s="1"/>
  <c r="F12" i="1"/>
  <c r="G12" i="1" s="1"/>
  <c r="F15" i="1"/>
  <c r="G15" i="1" s="1"/>
  <c r="F4" i="1"/>
  <c r="G4" i="1" s="1"/>
  <c r="F7" i="1"/>
  <c r="G7" i="1" s="1"/>
  <c r="F29" i="1"/>
  <c r="G29" i="1" s="1"/>
  <c r="I10" i="1"/>
  <c r="F10" i="1"/>
  <c r="G10" i="1" s="1"/>
  <c r="I18" i="1"/>
  <c r="F18" i="1"/>
  <c r="G18" i="1" s="1"/>
  <c r="I35" i="1"/>
  <c r="F35" i="1"/>
  <c r="G35" i="1" s="1"/>
  <c r="F43" i="1"/>
  <c r="G43" i="1" s="1"/>
  <c r="I43" i="1"/>
  <c r="I36" i="1"/>
  <c r="L36" i="1" s="1"/>
  <c r="J36" i="1"/>
  <c r="I67" i="1"/>
  <c r="F67" i="1"/>
  <c r="G67" i="1" s="1"/>
  <c r="I52" i="1"/>
  <c r="I26" i="1"/>
  <c r="F26" i="1"/>
  <c r="G26" i="1" s="1"/>
  <c r="I75" i="1"/>
  <c r="F75" i="1"/>
  <c r="G75" i="1" s="1"/>
  <c r="I11" i="1"/>
  <c r="I27" i="1"/>
  <c r="I68" i="1"/>
  <c r="F11" i="1"/>
  <c r="G11" i="1" s="1"/>
  <c r="F19" i="1"/>
  <c r="G19" i="1" s="1"/>
  <c r="F27" i="1"/>
  <c r="G27" i="1" s="1"/>
  <c r="F59" i="1"/>
  <c r="G59" i="1" s="1"/>
  <c r="I59" i="1"/>
  <c r="F68" i="1"/>
  <c r="G68" i="1" s="1"/>
  <c r="F52" i="1"/>
  <c r="G52" i="1" s="1"/>
  <c r="J76" i="1"/>
  <c r="I76" i="1"/>
  <c r="K76" i="1" s="1"/>
  <c r="I60" i="1"/>
  <c r="F38" i="1"/>
  <c r="G38" i="1" s="1"/>
  <c r="J44" i="1"/>
  <c r="I44" i="1"/>
  <c r="L44" i="1" s="1"/>
  <c r="J3" i="1"/>
  <c r="I3" i="1"/>
  <c r="L3" i="1" s="1"/>
  <c r="I19" i="1"/>
  <c r="F6" i="1"/>
  <c r="G6" i="1" s="1"/>
  <c r="F14" i="1"/>
  <c r="G14" i="1" s="1"/>
  <c r="F22" i="1"/>
  <c r="G22" i="1" s="1"/>
  <c r="F30" i="1"/>
  <c r="G30" i="1" s="1"/>
  <c r="I51" i="1"/>
  <c r="F51" i="1"/>
  <c r="G51" i="1" s="1"/>
  <c r="F60" i="1"/>
  <c r="G60" i="1" s="1"/>
  <c r="I83" i="1"/>
  <c r="F83" i="1"/>
  <c r="G83" i="1" s="1"/>
  <c r="F34" i="1"/>
  <c r="G34" i="1" s="1"/>
  <c r="F42" i="1"/>
  <c r="G42" i="1" s="1"/>
  <c r="F50" i="1"/>
  <c r="G50" i="1" s="1"/>
  <c r="F58" i="1"/>
  <c r="G58" i="1" s="1"/>
  <c r="F66" i="1"/>
  <c r="G66" i="1" s="1"/>
  <c r="F74" i="1"/>
  <c r="G74" i="1" s="1"/>
  <c r="F82" i="1"/>
  <c r="G82" i="1" s="1"/>
  <c r="F9" i="1"/>
  <c r="G9" i="1" s="1"/>
  <c r="F17" i="1"/>
  <c r="G17" i="1" s="1"/>
  <c r="F25" i="1"/>
  <c r="G25" i="1" s="1"/>
  <c r="F33" i="1"/>
  <c r="G33" i="1" s="1"/>
  <c r="I34" i="1"/>
  <c r="F41" i="1"/>
  <c r="G41" i="1" s="1"/>
  <c r="I42" i="1"/>
  <c r="F49" i="1"/>
  <c r="G49" i="1" s="1"/>
  <c r="I50" i="1"/>
  <c r="F57" i="1"/>
  <c r="G57" i="1" s="1"/>
  <c r="I58" i="1"/>
  <c r="F65" i="1"/>
  <c r="G65" i="1" s="1"/>
  <c r="I66" i="1"/>
  <c r="F73" i="1"/>
  <c r="G73" i="1" s="1"/>
  <c r="I74" i="1"/>
  <c r="F81" i="1"/>
  <c r="G81" i="1" s="1"/>
  <c r="I82" i="1"/>
  <c r="F8" i="1"/>
  <c r="G8" i="1" s="1"/>
  <c r="I9" i="1"/>
  <c r="F16" i="1"/>
  <c r="G16" i="1" s="1"/>
  <c r="I17" i="1"/>
  <c r="F24" i="1"/>
  <c r="G24" i="1" s="1"/>
  <c r="I25" i="1"/>
  <c r="F32" i="1"/>
  <c r="G32" i="1" s="1"/>
  <c r="I33" i="1"/>
  <c r="F40" i="1"/>
  <c r="G40" i="1" s="1"/>
  <c r="I41" i="1"/>
  <c r="F48" i="1"/>
  <c r="G48" i="1" s="1"/>
  <c r="I49" i="1"/>
  <c r="F56" i="1"/>
  <c r="G56" i="1" s="1"/>
  <c r="I57" i="1"/>
  <c r="F64" i="1"/>
  <c r="G64" i="1" s="1"/>
  <c r="I65" i="1"/>
  <c r="F72" i="1"/>
  <c r="G72" i="1" s="1"/>
  <c r="I73" i="1"/>
  <c r="F80" i="1"/>
  <c r="G80" i="1" s="1"/>
  <c r="I81" i="1"/>
  <c r="V200" i="1" l="1"/>
  <c r="W200" i="1" s="1"/>
  <c r="V220" i="1"/>
  <c r="W220" i="1" s="1"/>
  <c r="V236" i="1"/>
  <c r="W236" i="1" s="1"/>
  <c r="V218" i="1"/>
  <c r="W218" i="1" s="1"/>
  <c r="V232" i="1"/>
  <c r="W232" i="1" s="1"/>
  <c r="V251" i="1"/>
  <c r="W251" i="1" s="1"/>
  <c r="V240" i="1"/>
  <c r="W240" i="1" s="1"/>
  <c r="V228" i="1"/>
  <c r="W228" i="1" s="1"/>
  <c r="V226" i="1"/>
  <c r="W226" i="1" s="1"/>
  <c r="V212" i="1"/>
  <c r="W212" i="1" s="1"/>
  <c r="V253" i="1"/>
  <c r="W253" i="1" s="1"/>
  <c r="V221" i="1"/>
  <c r="W221" i="1" s="1"/>
  <c r="V242" i="1"/>
  <c r="W242" i="1" s="1"/>
  <c r="V238" i="1"/>
  <c r="W238" i="1" s="1"/>
  <c r="V244" i="1"/>
  <c r="W244" i="1" s="1"/>
  <c r="V230" i="1"/>
  <c r="W230" i="1" s="1"/>
  <c r="V219" i="1"/>
  <c r="W219" i="1" s="1"/>
  <c r="V234" i="1"/>
  <c r="W234" i="1" s="1"/>
  <c r="V262" i="1"/>
  <c r="W262" i="1" s="1"/>
  <c r="V223" i="1"/>
  <c r="W223" i="1" s="1"/>
  <c r="V258" i="1"/>
  <c r="W258" i="1" s="1"/>
  <c r="V249" i="1"/>
  <c r="W249" i="1" s="1"/>
  <c r="V225" i="1"/>
  <c r="W225" i="1" s="1"/>
  <c r="V243" i="1"/>
  <c r="W243" i="1" s="1"/>
  <c r="V205" i="1"/>
  <c r="W205" i="1" s="1"/>
  <c r="V217" i="1"/>
  <c r="W217" i="1" s="1"/>
  <c r="V204" i="1"/>
  <c r="W204" i="1" s="1"/>
  <c r="V216" i="1"/>
  <c r="W216" i="1" s="1"/>
  <c r="V210" i="1"/>
  <c r="W210" i="1" s="1"/>
  <c r="V222" i="1"/>
  <c r="W222" i="1" s="1"/>
  <c r="X3" i="1"/>
  <c r="Y3" i="1" s="1"/>
  <c r="V160" i="1"/>
  <c r="W160" i="1" s="1"/>
  <c r="V154" i="1"/>
  <c r="W154" i="1" s="1"/>
  <c r="V172" i="1"/>
  <c r="W172" i="1" s="1"/>
  <c r="V164" i="1"/>
  <c r="W164" i="1" s="1"/>
  <c r="V176" i="1"/>
  <c r="W176" i="1" s="1"/>
  <c r="V214" i="1"/>
  <c r="W214" i="1" s="1"/>
  <c r="V188" i="1"/>
  <c r="W188" i="1" s="1"/>
  <c r="V215" i="1"/>
  <c r="W215" i="1" s="1"/>
  <c r="V202" i="1"/>
  <c r="W202" i="1" s="1"/>
  <c r="V197" i="1"/>
  <c r="W197" i="1" s="1"/>
  <c r="V213" i="1"/>
  <c r="W213" i="1" s="1"/>
  <c r="V203" i="1"/>
  <c r="W203" i="1" s="1"/>
  <c r="V191" i="1"/>
  <c r="W191" i="1" s="1"/>
  <c r="V177" i="1"/>
  <c r="W177" i="1" s="1"/>
  <c r="V181" i="1"/>
  <c r="W181" i="1" s="1"/>
  <c r="V207" i="1"/>
  <c r="W207" i="1" s="1"/>
  <c r="V206" i="1"/>
  <c r="W206" i="1" s="1"/>
  <c r="V190" i="1"/>
  <c r="W190" i="1" s="1"/>
  <c r="V201" i="1"/>
  <c r="W201" i="1" s="1"/>
  <c r="V185" i="1"/>
  <c r="W185" i="1" s="1"/>
  <c r="V196" i="1"/>
  <c r="W196" i="1" s="1"/>
  <c r="V208" i="1"/>
  <c r="W208" i="1" s="1"/>
  <c r="V152" i="1"/>
  <c r="W152" i="1" s="1"/>
  <c r="V174" i="1"/>
  <c r="W174" i="1" s="1"/>
  <c r="V162" i="1"/>
  <c r="W162" i="1" s="1"/>
  <c r="V167" i="1"/>
  <c r="W167" i="1" s="1"/>
  <c r="V155" i="1"/>
  <c r="W155" i="1" s="1"/>
  <c r="V153" i="1"/>
  <c r="W153" i="1" s="1"/>
  <c r="V158" i="1"/>
  <c r="W158" i="1" s="1"/>
  <c r="W77" i="1"/>
  <c r="W50" i="1"/>
  <c r="W29" i="1"/>
  <c r="W23" i="1"/>
  <c r="V156" i="1"/>
  <c r="W156" i="1" s="1"/>
  <c r="W7" i="1"/>
  <c r="W69" i="1"/>
  <c r="V163" i="1"/>
  <c r="W163" i="1" s="1"/>
  <c r="V168" i="1"/>
  <c r="W168" i="1" s="1"/>
  <c r="W15" i="1"/>
  <c r="V159" i="1"/>
  <c r="W159" i="1" s="1"/>
  <c r="V157" i="1"/>
  <c r="W157" i="1" s="1"/>
  <c r="V171" i="1"/>
  <c r="W171" i="1" s="1"/>
  <c r="V169" i="1"/>
  <c r="W169" i="1" s="1"/>
  <c r="W10" i="1"/>
  <c r="W63" i="1"/>
  <c r="V170" i="1"/>
  <c r="W170" i="1" s="1"/>
  <c r="W57" i="1"/>
  <c r="W31" i="1"/>
  <c r="V175" i="1"/>
  <c r="W175" i="1" s="1"/>
  <c r="V199" i="1"/>
  <c r="W199" i="1" s="1"/>
  <c r="V186" i="1"/>
  <c r="W186" i="1" s="1"/>
  <c r="V195" i="1"/>
  <c r="W195" i="1" s="1"/>
  <c r="V189" i="1"/>
  <c r="W189" i="1" s="1"/>
  <c r="V194" i="1"/>
  <c r="V184" i="1"/>
  <c r="V198" i="1"/>
  <c r="V193" i="1"/>
  <c r="V192" i="1"/>
  <c r="V187" i="1"/>
  <c r="W74" i="1"/>
  <c r="W41" i="1"/>
  <c r="W58" i="1"/>
  <c r="W75" i="1"/>
  <c r="W37" i="1"/>
  <c r="W24" i="1"/>
  <c r="W33" i="1"/>
  <c r="W21" i="1"/>
  <c r="W56" i="1"/>
  <c r="W80" i="1"/>
  <c r="W30" i="1"/>
  <c r="W25" i="1"/>
  <c r="W42" i="1"/>
  <c r="W22" i="1"/>
  <c r="W38" i="1"/>
  <c r="W27" i="1"/>
  <c r="W26" i="1"/>
  <c r="W43" i="1"/>
  <c r="W71" i="1"/>
  <c r="W53" i="1"/>
  <c r="W52" i="1"/>
  <c r="W45" i="1"/>
  <c r="W73" i="1"/>
  <c r="W65" i="1"/>
  <c r="W72" i="1"/>
  <c r="W40" i="1"/>
  <c r="W8" i="1"/>
  <c r="W17" i="1"/>
  <c r="W34" i="1"/>
  <c r="W14" i="1"/>
  <c r="W19" i="1"/>
  <c r="W35" i="1"/>
  <c r="W4" i="1"/>
  <c r="W55" i="1"/>
  <c r="W5" i="1"/>
  <c r="W47" i="1"/>
  <c r="W51" i="1"/>
  <c r="W39" i="1"/>
  <c r="W16" i="1"/>
  <c r="W59" i="1"/>
  <c r="W9" i="1"/>
  <c r="W11" i="1"/>
  <c r="W79" i="1"/>
  <c r="W60" i="1"/>
  <c r="W66" i="1"/>
  <c r="W68" i="1"/>
  <c r="W28" i="1"/>
  <c r="W48" i="1"/>
  <c r="W83" i="1"/>
  <c r="W6" i="1"/>
  <c r="W20" i="1"/>
  <c r="W64" i="1"/>
  <c r="W32" i="1"/>
  <c r="W81" i="1"/>
  <c r="W49" i="1"/>
  <c r="W82" i="1"/>
  <c r="W67" i="1"/>
  <c r="W18" i="1"/>
  <c r="W12" i="1"/>
  <c r="K46" i="1"/>
  <c r="J82" i="1"/>
  <c r="J18" i="1"/>
  <c r="J56" i="1"/>
  <c r="K24" i="1"/>
  <c r="J73" i="1"/>
  <c r="J41" i="1"/>
  <c r="J74" i="1"/>
  <c r="J60" i="1"/>
  <c r="J52" i="1"/>
  <c r="L31" i="1"/>
  <c r="J77" i="1"/>
  <c r="J45" i="1"/>
  <c r="J67" i="1"/>
  <c r="J66" i="1"/>
  <c r="K63" i="1"/>
  <c r="J65" i="1"/>
  <c r="K12" i="1"/>
  <c r="J58" i="1"/>
  <c r="J51" i="1"/>
  <c r="L16" i="1"/>
  <c r="J37" i="1"/>
  <c r="J25" i="1"/>
  <c r="J59" i="1"/>
  <c r="J21" i="1"/>
  <c r="K40" i="1"/>
  <c r="J17" i="1"/>
  <c r="J26" i="1"/>
  <c r="L71" i="1"/>
  <c r="J10" i="1"/>
  <c r="L28" i="1"/>
  <c r="J39" i="1"/>
  <c r="J48" i="1"/>
  <c r="J33" i="1"/>
  <c r="J75" i="1"/>
  <c r="J50" i="1"/>
  <c r="J30" i="1"/>
  <c r="J29" i="1"/>
  <c r="J23" i="1"/>
  <c r="J72" i="1"/>
  <c r="K8" i="1"/>
  <c r="J57" i="1"/>
  <c r="J42" i="1"/>
  <c r="J22" i="1"/>
  <c r="K38" i="1"/>
  <c r="J43" i="1"/>
  <c r="J7" i="1"/>
  <c r="J69" i="1"/>
  <c r="J53" i="1"/>
  <c r="J9" i="1"/>
  <c r="J34" i="1"/>
  <c r="J14" i="1"/>
  <c r="J19" i="1"/>
  <c r="J35" i="1"/>
  <c r="L4" i="1"/>
  <c r="J55" i="1"/>
  <c r="J5" i="1"/>
  <c r="L47" i="1"/>
  <c r="J64" i="1"/>
  <c r="J32" i="1"/>
  <c r="J81" i="1"/>
  <c r="J49" i="1"/>
  <c r="J83" i="1"/>
  <c r="J6" i="1"/>
  <c r="J11" i="1"/>
  <c r="J15" i="1"/>
  <c r="L79" i="1"/>
  <c r="J20" i="1"/>
  <c r="L61" i="1"/>
  <c r="L69" i="1"/>
  <c r="K69" i="1"/>
  <c r="K45" i="1"/>
  <c r="L2" i="1"/>
  <c r="X2" i="1" s="1"/>
  <c r="Y2" i="1" s="1"/>
  <c r="K34" i="1"/>
  <c r="L54" i="1"/>
  <c r="J63" i="1"/>
  <c r="L45" i="1"/>
  <c r="L70" i="1"/>
  <c r="K20" i="1"/>
  <c r="L62" i="1"/>
  <c r="L20" i="1"/>
  <c r="L63" i="1"/>
  <c r="J47" i="1"/>
  <c r="L43" i="1"/>
  <c r="K23" i="1"/>
  <c r="K37" i="1"/>
  <c r="K39" i="1"/>
  <c r="L37" i="1"/>
  <c r="L55" i="1"/>
  <c r="L39" i="1"/>
  <c r="K50" i="1"/>
  <c r="L66" i="1"/>
  <c r="K79" i="1"/>
  <c r="K19" i="1"/>
  <c r="L53" i="1"/>
  <c r="K68" i="1"/>
  <c r="K53" i="1"/>
  <c r="K55" i="1"/>
  <c r="L12" i="1"/>
  <c r="L76" i="1"/>
  <c r="K47" i="1"/>
  <c r="J4" i="1"/>
  <c r="K27" i="1"/>
  <c r="L81" i="1"/>
  <c r="L51" i="1"/>
  <c r="K60" i="1"/>
  <c r="K83" i="1"/>
  <c r="K51" i="1"/>
  <c r="K21" i="1"/>
  <c r="L21" i="1"/>
  <c r="K11" i="1"/>
  <c r="L13" i="1"/>
  <c r="J28" i="1"/>
  <c r="K28" i="1"/>
  <c r="L5" i="1"/>
  <c r="L82" i="1"/>
  <c r="K29" i="1"/>
  <c r="L29" i="1"/>
  <c r="K75" i="1"/>
  <c r="L65" i="1"/>
  <c r="K41" i="1"/>
  <c r="K30" i="1"/>
  <c r="L52" i="1"/>
  <c r="L57" i="1"/>
  <c r="L6" i="1"/>
  <c r="K33" i="1"/>
  <c r="K74" i="1"/>
  <c r="L23" i="1"/>
  <c r="L18" i="1"/>
  <c r="K49" i="1"/>
  <c r="L78" i="1"/>
  <c r="L30" i="1"/>
  <c r="L11" i="1"/>
  <c r="J71" i="1"/>
  <c r="K71" i="1"/>
  <c r="L42" i="1"/>
  <c r="K77" i="1"/>
  <c r="L68" i="1"/>
  <c r="K82" i="1"/>
  <c r="L77" i="1"/>
  <c r="K31" i="1"/>
  <c r="L83" i="1"/>
  <c r="K4" i="1"/>
  <c r="L58" i="1"/>
  <c r="L50" i="1"/>
  <c r="L67" i="1"/>
  <c r="L9" i="1"/>
  <c r="K7" i="1"/>
  <c r="K65" i="1"/>
  <c r="L59" i="1"/>
  <c r="K5" i="1"/>
  <c r="K81" i="1"/>
  <c r="K35" i="1"/>
  <c r="J79" i="1"/>
  <c r="L17" i="1"/>
  <c r="K3" i="1"/>
  <c r="L10" i="1"/>
  <c r="K22" i="1"/>
  <c r="L7" i="1"/>
  <c r="J8" i="1"/>
  <c r="L14" i="1"/>
  <c r="L27" i="1"/>
  <c r="J27" i="1"/>
  <c r="L26" i="1"/>
  <c r="J31" i="1"/>
  <c r="L15" i="1"/>
  <c r="L8" i="1"/>
  <c r="J12" i="1"/>
  <c r="K15" i="1"/>
  <c r="L22" i="1"/>
  <c r="J16" i="1"/>
  <c r="K10" i="1"/>
  <c r="K14" i="1"/>
  <c r="K16" i="1"/>
  <c r="K73" i="1"/>
  <c r="L19" i="1"/>
  <c r="J38" i="1"/>
  <c r="K17" i="1"/>
  <c r="L80" i="1"/>
  <c r="K80" i="1"/>
  <c r="K44" i="1"/>
  <c r="J80" i="1"/>
  <c r="L60" i="1"/>
  <c r="K66" i="1"/>
  <c r="L33" i="1"/>
  <c r="J68" i="1"/>
  <c r="L35" i="1"/>
  <c r="L75" i="1"/>
  <c r="K52" i="1"/>
  <c r="K67" i="1"/>
  <c r="K36" i="1"/>
  <c r="K6" i="1"/>
  <c r="L40" i="1"/>
  <c r="L24" i="1"/>
  <c r="L41" i="1"/>
  <c r="L56" i="1"/>
  <c r="K56" i="1"/>
  <c r="L73" i="1"/>
  <c r="L38" i="1"/>
  <c r="K57" i="1"/>
  <c r="K59" i="1"/>
  <c r="K26" i="1"/>
  <c r="K43" i="1"/>
  <c r="L48" i="1"/>
  <c r="K48" i="1"/>
  <c r="J24" i="1"/>
  <c r="L74" i="1"/>
  <c r="L34" i="1"/>
  <c r="L64" i="1"/>
  <c r="K64" i="1"/>
  <c r="K58" i="1"/>
  <c r="L32" i="1"/>
  <c r="K32" i="1"/>
  <c r="K72" i="1"/>
  <c r="L72" i="1"/>
  <c r="L49" i="1"/>
  <c r="L25" i="1"/>
  <c r="K42" i="1"/>
  <c r="K25" i="1"/>
  <c r="K9" i="1"/>
  <c r="K18" i="1"/>
  <c r="J40" i="1"/>
  <c r="X16" i="1" l="1"/>
  <c r="Y16" i="1" s="1"/>
  <c r="X13" i="1"/>
  <c r="Y13" i="1" s="1"/>
  <c r="X27" i="1"/>
  <c r="Y27" i="1" s="1"/>
  <c r="X78" i="1"/>
  <c r="Y78" i="1" s="1"/>
  <c r="X62" i="1"/>
  <c r="Y62" i="1" s="1"/>
  <c r="X71" i="1"/>
  <c r="Y71" i="1" s="1"/>
  <c r="X47" i="1"/>
  <c r="Y47" i="1" s="1"/>
  <c r="X68" i="1"/>
  <c r="Y68" i="1" s="1"/>
  <c r="X54" i="1"/>
  <c r="Y54" i="1" s="1"/>
  <c r="X40" i="1"/>
  <c r="Y40" i="1" s="1"/>
  <c r="X70" i="1"/>
  <c r="Y70" i="1" s="1"/>
  <c r="X76" i="1"/>
  <c r="Y76" i="1" s="1"/>
  <c r="X125" i="1"/>
  <c r="Y125" i="1" s="1"/>
  <c r="X91" i="1"/>
  <c r="Y91" i="1" s="1"/>
  <c r="X24" i="1"/>
  <c r="Y24" i="1" s="1"/>
  <c r="X124" i="1"/>
  <c r="Y124" i="1" s="1"/>
  <c r="X148" i="1"/>
  <c r="Y148" i="1" s="1"/>
  <c r="X138" i="1"/>
  <c r="Y138" i="1" s="1"/>
  <c r="X139" i="1"/>
  <c r="Y139" i="1" s="1"/>
  <c r="X141" i="1"/>
  <c r="Y141" i="1" s="1"/>
  <c r="X114" i="1"/>
  <c r="Y114" i="1" s="1"/>
  <c r="X107" i="1"/>
  <c r="Y107" i="1" s="1"/>
  <c r="X99" i="1"/>
  <c r="Y99" i="1" s="1"/>
  <c r="X89" i="1"/>
  <c r="Y89" i="1" s="1"/>
  <c r="X44" i="1"/>
  <c r="Y44" i="1" s="1"/>
  <c r="X106" i="1"/>
  <c r="Y106" i="1" s="1"/>
  <c r="X130" i="1"/>
  <c r="Y130" i="1" s="1"/>
  <c r="X122" i="1"/>
  <c r="Y122" i="1" s="1"/>
  <c r="X113" i="1"/>
  <c r="Y113" i="1" s="1"/>
  <c r="X105" i="1"/>
  <c r="Y105" i="1" s="1"/>
  <c r="X97" i="1"/>
  <c r="Y97" i="1" s="1"/>
  <c r="X133" i="1"/>
  <c r="Y133" i="1" s="1"/>
  <c r="X146" i="1"/>
  <c r="Y146" i="1" s="1"/>
  <c r="X123" i="1"/>
  <c r="Y123" i="1" s="1"/>
  <c r="X137" i="1"/>
  <c r="Y137" i="1" s="1"/>
  <c r="X129" i="1"/>
  <c r="Y129" i="1" s="1"/>
  <c r="X121" i="1"/>
  <c r="Y121" i="1" s="1"/>
  <c r="X104" i="1"/>
  <c r="Y104" i="1" s="1"/>
  <c r="X96" i="1"/>
  <c r="Y96" i="1" s="1"/>
  <c r="X88" i="1"/>
  <c r="Y88" i="1" s="1"/>
  <c r="X144" i="1"/>
  <c r="Y144" i="1" s="1"/>
  <c r="X23" i="1"/>
  <c r="Y23" i="1" s="1"/>
  <c r="X145" i="1"/>
  <c r="Y145" i="1" s="1"/>
  <c r="X92" i="1"/>
  <c r="Y92" i="1" s="1"/>
  <c r="X128" i="1"/>
  <c r="Y128" i="1" s="1"/>
  <c r="X120" i="1"/>
  <c r="Y120" i="1" s="1"/>
  <c r="X112" i="1"/>
  <c r="Y112" i="1" s="1"/>
  <c r="X95" i="1"/>
  <c r="Y95" i="1" s="1"/>
  <c r="X151" i="1"/>
  <c r="Y151" i="1" s="1"/>
  <c r="X149" i="1"/>
  <c r="Y149" i="1" s="1"/>
  <c r="X93" i="1"/>
  <c r="Y93" i="1" s="1"/>
  <c r="X49" i="1"/>
  <c r="Y49" i="1" s="1"/>
  <c r="X37" i="1"/>
  <c r="Y37" i="1" s="1"/>
  <c r="X136" i="1"/>
  <c r="Y136" i="1" s="1"/>
  <c r="X116" i="1"/>
  <c r="Y116" i="1" s="1"/>
  <c r="X119" i="1"/>
  <c r="Y119" i="1" s="1"/>
  <c r="X111" i="1"/>
  <c r="Y111" i="1" s="1"/>
  <c r="X103" i="1"/>
  <c r="Y103" i="1" s="1"/>
  <c r="X150" i="1"/>
  <c r="Y150" i="1" s="1"/>
  <c r="X87" i="1"/>
  <c r="Y87" i="1" s="1"/>
  <c r="X143" i="1"/>
  <c r="Y143" i="1" s="1"/>
  <c r="X135" i="1"/>
  <c r="Y135" i="1" s="1"/>
  <c r="X61" i="1"/>
  <c r="Y61" i="1" s="1"/>
  <c r="X81" i="1"/>
  <c r="Y81" i="1" s="1"/>
  <c r="X127" i="1"/>
  <c r="Y127" i="1" s="1"/>
  <c r="X36" i="1"/>
  <c r="Y36" i="1" s="1"/>
  <c r="X110" i="1"/>
  <c r="Y110" i="1" s="1"/>
  <c r="X102" i="1"/>
  <c r="Y102" i="1" s="1"/>
  <c r="X94" i="1"/>
  <c r="Y94" i="1" s="1"/>
  <c r="X86" i="1"/>
  <c r="Y86" i="1" s="1"/>
  <c r="X117" i="1"/>
  <c r="Y117" i="1" s="1"/>
  <c r="X134" i="1"/>
  <c r="Y134" i="1" s="1"/>
  <c r="X126" i="1"/>
  <c r="Y126" i="1" s="1"/>
  <c r="X118" i="1"/>
  <c r="Y118" i="1" s="1"/>
  <c r="X147" i="1"/>
  <c r="Y147" i="1" s="1"/>
  <c r="X46" i="1"/>
  <c r="Y46" i="1" s="1"/>
  <c r="X100" i="1"/>
  <c r="Y100" i="1" s="1"/>
  <c r="X115" i="1"/>
  <c r="Y115" i="1" s="1"/>
  <c r="X98" i="1"/>
  <c r="Y98" i="1" s="1"/>
  <c r="X142" i="1"/>
  <c r="Y142" i="1" s="1"/>
  <c r="X132" i="1"/>
  <c r="Y132" i="1" s="1"/>
  <c r="X101" i="1"/>
  <c r="Y101" i="1" s="1"/>
  <c r="X64" i="1"/>
  <c r="Y64" i="1" s="1"/>
  <c r="X34" i="1"/>
  <c r="Y34" i="1" s="1"/>
  <c r="X42" i="1"/>
  <c r="Y42" i="1" s="1"/>
  <c r="X84" i="1"/>
  <c r="Y84" i="1" s="1"/>
  <c r="X90" i="1"/>
  <c r="Y90" i="1" s="1"/>
  <c r="X108" i="1"/>
  <c r="Y108" i="1" s="1"/>
  <c r="X131" i="1"/>
  <c r="Y131" i="1" s="1"/>
  <c r="X85" i="1"/>
  <c r="Y85" i="1" s="1"/>
  <c r="X109" i="1"/>
  <c r="Y109" i="1" s="1"/>
  <c r="X140" i="1"/>
  <c r="Y140" i="1" s="1"/>
  <c r="X58" i="1"/>
  <c r="Y58" i="1" s="1"/>
  <c r="X18" i="1"/>
  <c r="Y18" i="1" s="1"/>
  <c r="X67" i="1"/>
  <c r="Y67" i="1" s="1"/>
  <c r="X63" i="1"/>
  <c r="Y63" i="1" s="1"/>
  <c r="X20" i="1"/>
  <c r="Y20" i="1" s="1"/>
  <c r="X22" i="1"/>
  <c r="Y22" i="1" s="1"/>
  <c r="X83" i="1"/>
  <c r="Y83" i="1" s="1"/>
  <c r="X9" i="1"/>
  <c r="Y9" i="1" s="1"/>
  <c r="X53" i="1"/>
  <c r="Y53" i="1" s="1"/>
  <c r="X48" i="1"/>
  <c r="Y48" i="1" s="1"/>
  <c r="X28" i="1"/>
  <c r="Y28" i="1" s="1"/>
  <c r="X80" i="1"/>
  <c r="Y80" i="1" s="1"/>
  <c r="X4" i="1"/>
  <c r="Y4" i="1" s="1"/>
  <c r="X31" i="1"/>
  <c r="Y31" i="1" s="1"/>
  <c r="X19" i="1"/>
  <c r="Y19" i="1" s="1"/>
  <c r="X30" i="1"/>
  <c r="Y30" i="1" s="1"/>
  <c r="X45" i="1"/>
  <c r="Y45" i="1" s="1"/>
  <c r="X26" i="1"/>
  <c r="Y26" i="1" s="1"/>
  <c r="X77" i="1"/>
  <c r="Y77" i="1" s="1"/>
  <c r="X56" i="1"/>
  <c r="Y56" i="1" s="1"/>
  <c r="X17" i="1"/>
  <c r="Y17" i="1" s="1"/>
  <c r="X38" i="1"/>
  <c r="Y38" i="1" s="1"/>
  <c r="X11" i="1"/>
  <c r="Y11" i="1" s="1"/>
  <c r="X5" i="1"/>
  <c r="Y5" i="1" s="1"/>
  <c r="X21" i="1"/>
  <c r="Y21" i="1" s="1"/>
  <c r="X65" i="1"/>
  <c r="Y65" i="1" s="1"/>
  <c r="X60" i="1"/>
  <c r="Y60" i="1" s="1"/>
  <c r="X175" i="1"/>
  <c r="Y175" i="1" s="1"/>
  <c r="X158" i="1"/>
  <c r="Y158" i="1" s="1"/>
  <c r="X179" i="1"/>
  <c r="Y179" i="1" s="1"/>
  <c r="X154" i="1"/>
  <c r="Y154" i="1" s="1"/>
  <c r="X152" i="1"/>
  <c r="Y152" i="1" s="1"/>
  <c r="X172" i="1"/>
  <c r="Y172" i="1" s="1"/>
  <c r="X173" i="1"/>
  <c r="Y173" i="1" s="1"/>
  <c r="X171" i="1"/>
  <c r="Y171" i="1" s="1"/>
  <c r="X174" i="1"/>
  <c r="Y174" i="1" s="1"/>
  <c r="X159" i="1"/>
  <c r="Y159" i="1" s="1"/>
  <c r="X180" i="1"/>
  <c r="Y180" i="1" s="1"/>
  <c r="X168" i="1"/>
  <c r="Y168" i="1" s="1"/>
  <c r="X166" i="1"/>
  <c r="Y166" i="1" s="1"/>
  <c r="X153" i="1"/>
  <c r="Y153" i="1" s="1"/>
  <c r="X162" i="1"/>
  <c r="Y162" i="1" s="1"/>
  <c r="X160" i="1"/>
  <c r="Y160" i="1" s="1"/>
  <c r="X176" i="1"/>
  <c r="Y176" i="1" s="1"/>
  <c r="X156" i="1"/>
  <c r="Y156" i="1" s="1"/>
  <c r="X157" i="1"/>
  <c r="Y157" i="1" s="1"/>
  <c r="X183" i="1"/>
  <c r="Y183" i="1" s="1"/>
  <c r="X181" i="1"/>
  <c r="Y181" i="1" s="1"/>
  <c r="X167" i="1"/>
  <c r="Y167" i="1" s="1"/>
  <c r="X177" i="1"/>
  <c r="Y177" i="1" s="1"/>
  <c r="X170" i="1"/>
  <c r="Y170" i="1" s="1"/>
  <c r="X163" i="1"/>
  <c r="Y163" i="1" s="1"/>
  <c r="X161" i="1"/>
  <c r="Y161" i="1" s="1"/>
  <c r="X182" i="1"/>
  <c r="Y182" i="1" s="1"/>
  <c r="X169" i="1"/>
  <c r="Y169" i="1" s="1"/>
  <c r="X164" i="1"/>
  <c r="Y164" i="1" s="1"/>
  <c r="X178" i="1"/>
  <c r="Y178" i="1" s="1"/>
  <c r="X12" i="1"/>
  <c r="Y12" i="1" s="1"/>
  <c r="X8" i="1"/>
  <c r="Y8" i="1" s="1"/>
  <c r="X6" i="1"/>
  <c r="Y6" i="1" s="1"/>
  <c r="X55" i="1"/>
  <c r="Y55" i="1" s="1"/>
  <c r="X69" i="1"/>
  <c r="Y69" i="1" s="1"/>
  <c r="X72" i="1"/>
  <c r="Y72" i="1" s="1"/>
  <c r="X39" i="1"/>
  <c r="Y39" i="1" s="1"/>
  <c r="X59" i="1"/>
  <c r="Y59" i="1" s="1"/>
  <c r="X74" i="1"/>
  <c r="Y74" i="1" s="1"/>
  <c r="X75" i="1"/>
  <c r="Y75" i="1" s="1"/>
  <c r="X7" i="1"/>
  <c r="Y7" i="1" s="1"/>
  <c r="X25" i="1"/>
  <c r="Y25" i="1" s="1"/>
  <c r="X66" i="1"/>
  <c r="Y66" i="1" s="1"/>
  <c r="X41" i="1"/>
  <c r="Y41" i="1" s="1"/>
  <c r="X35" i="1"/>
  <c r="Y35" i="1" s="1"/>
  <c r="X43" i="1"/>
  <c r="Y43" i="1" s="1"/>
  <c r="X29" i="1"/>
  <c r="Y29" i="1" s="1"/>
  <c r="X10" i="1"/>
  <c r="Y10" i="1" s="1"/>
  <c r="X73" i="1"/>
  <c r="Y73" i="1" s="1"/>
  <c r="X165" i="1"/>
  <c r="Y165" i="1" s="1"/>
  <c r="X32" i="1"/>
  <c r="Y32" i="1" s="1"/>
  <c r="X14" i="1"/>
  <c r="Y14" i="1" s="1"/>
  <c r="X50" i="1"/>
  <c r="Y50" i="1" s="1"/>
  <c r="X51" i="1"/>
  <c r="Y51" i="1" s="1"/>
  <c r="X155" i="1"/>
  <c r="Y155" i="1" s="1"/>
  <c r="X79" i="1"/>
  <c r="Y79" i="1" s="1"/>
  <c r="X15" i="1"/>
  <c r="Y15" i="1" s="1"/>
  <c r="X57" i="1"/>
  <c r="Y57" i="1" s="1"/>
  <c r="X33" i="1"/>
  <c r="Y33" i="1" s="1"/>
  <c r="X52" i="1"/>
  <c r="Y52" i="1" s="1"/>
  <c r="X82" i="1"/>
  <c r="Y82" i="1" s="1"/>
  <c r="W194" i="1"/>
  <c r="W187" i="1"/>
  <c r="W192" i="1"/>
  <c r="W193" i="1"/>
  <c r="W198" i="1"/>
  <c r="W184" i="1"/>
  <c r="X701" i="1" l="1"/>
  <c r="Y701" i="1" s="1"/>
  <c r="X554" i="1"/>
  <c r="Y554" i="1" s="1"/>
  <c r="X722" i="1"/>
  <c r="Y722" i="1" s="1"/>
  <c r="X301" i="1"/>
  <c r="Y301" i="1" s="1"/>
  <c r="X528" i="1"/>
  <c r="Y528" i="1" s="1"/>
  <c r="X265" i="1"/>
  <c r="Y265" i="1" s="1"/>
  <c r="X610" i="1"/>
  <c r="Y610" i="1" s="1"/>
  <c r="X483" i="1"/>
  <c r="Y483" i="1" s="1"/>
  <c r="X349" i="1"/>
  <c r="Y349" i="1" s="1"/>
  <c r="X191" i="1"/>
  <c r="Y191" i="1" s="1"/>
  <c r="X259" i="1"/>
  <c r="Y259" i="1" s="1"/>
  <c r="X813" i="1"/>
  <c r="Y813" i="1" s="1"/>
  <c r="X612" i="1"/>
  <c r="Y612" i="1" s="1"/>
  <c r="X477" i="1"/>
  <c r="Y477" i="1" s="1"/>
  <c r="X267" i="1"/>
  <c r="Y267" i="1" s="1"/>
  <c r="X812" i="1"/>
  <c r="Y812" i="1" s="1"/>
  <c r="X450" i="1"/>
  <c r="Y450" i="1" s="1"/>
  <c r="X762" i="1"/>
  <c r="Y762" i="1" s="1"/>
  <c r="X348" i="1"/>
  <c r="Y348" i="1" s="1"/>
  <c r="X590" i="1"/>
  <c r="Y590" i="1" s="1"/>
  <c r="X215" i="1"/>
  <c r="Y215" i="1" s="1"/>
  <c r="X595" i="1"/>
  <c r="Y595" i="1" s="1"/>
  <c r="X525" i="1"/>
  <c r="Y525" i="1" s="1"/>
  <c r="X386" i="1"/>
  <c r="Y386" i="1" s="1"/>
  <c r="X698" i="1"/>
  <c r="Y698" i="1" s="1"/>
  <c r="X579" i="1"/>
  <c r="Y579" i="1" s="1"/>
  <c r="X661" i="1"/>
  <c r="Y661" i="1" s="1"/>
  <c r="X713" i="1"/>
  <c r="Y713" i="1" s="1"/>
  <c r="X411" i="1"/>
  <c r="Y411" i="1" s="1"/>
  <c r="X451" i="1"/>
  <c r="Y451" i="1" s="1"/>
  <c r="X588" i="1"/>
  <c r="Y588" i="1" s="1"/>
  <c r="X458" i="1"/>
  <c r="Y458" i="1" s="1"/>
  <c r="X489" i="1"/>
  <c r="Y489" i="1" s="1"/>
  <c r="X801" i="1"/>
  <c r="Y801" i="1" s="1"/>
  <c r="X434" i="1"/>
  <c r="Y434" i="1" s="1"/>
  <c r="X187" i="1"/>
  <c r="Y187" i="1" s="1"/>
  <c r="X254" i="1"/>
  <c r="Y254" i="1" s="1"/>
  <c r="X331" i="1"/>
  <c r="Y331" i="1" s="1"/>
  <c r="X770" i="1"/>
  <c r="Y770" i="1" s="1"/>
  <c r="X356" i="1"/>
  <c r="Y356" i="1" s="1"/>
  <c r="X668" i="1"/>
  <c r="Y668" i="1" s="1"/>
  <c r="X533" i="1"/>
  <c r="Y533" i="1" s="1"/>
  <c r="X418" i="1"/>
  <c r="Y418" i="1" s="1"/>
  <c r="X325" i="1"/>
  <c r="Y325" i="1" s="1"/>
  <c r="X363" i="1"/>
  <c r="Y363" i="1" s="1"/>
  <c r="X659" i="1"/>
  <c r="Y659" i="1" s="1"/>
  <c r="X624" i="1"/>
  <c r="Y624" i="1" s="1"/>
  <c r="X655" i="1"/>
  <c r="Y655" i="1" s="1"/>
  <c r="X288" i="1"/>
  <c r="Y288" i="1" s="1"/>
  <c r="X600" i="1"/>
  <c r="Y600" i="1" s="1"/>
  <c r="X819" i="1"/>
  <c r="Y819" i="1" s="1"/>
  <c r="X291" i="1"/>
  <c r="Y291" i="1" s="1"/>
  <c r="X220" i="1"/>
  <c r="Y220" i="1" s="1"/>
  <c r="X294" i="1"/>
  <c r="Y294" i="1" s="1"/>
  <c r="X740" i="1"/>
  <c r="Y740" i="1" s="1"/>
  <c r="X605" i="1"/>
  <c r="Y605" i="1" s="1"/>
  <c r="X782" i="1"/>
  <c r="Y782" i="1" s="1"/>
  <c r="X631" i="1"/>
  <c r="Y631" i="1" s="1"/>
  <c r="X769" i="1"/>
  <c r="Y769" i="1" s="1"/>
  <c r="X308" i="1"/>
  <c r="Y308" i="1" s="1"/>
  <c r="X742" i="1"/>
  <c r="Y742" i="1" s="1"/>
  <c r="X741" i="1"/>
  <c r="Y741" i="1" s="1"/>
  <c r="X406" i="1"/>
  <c r="Y406" i="1" s="1"/>
  <c r="X639" i="1"/>
  <c r="Y639" i="1" s="1"/>
  <c r="X400" i="1"/>
  <c r="Y400" i="1" s="1"/>
  <c r="X538" i="1"/>
  <c r="Y538" i="1" s="1"/>
  <c r="X371" i="1"/>
  <c r="Y371" i="1" s="1"/>
  <c r="X786" i="1"/>
  <c r="Y786" i="1" s="1"/>
  <c r="X329" i="1"/>
  <c r="Y329" i="1" s="1"/>
  <c r="X253" i="1"/>
  <c r="Y253" i="1" s="1"/>
  <c r="X338" i="1"/>
  <c r="Y338" i="1" s="1"/>
  <c r="X815" i="1"/>
  <c r="Y815" i="1" s="1"/>
  <c r="X696" i="1"/>
  <c r="Y696" i="1" s="1"/>
  <c r="X577" i="1"/>
  <c r="Y577" i="1" s="1"/>
  <c r="X564" i="1"/>
  <c r="Y564" i="1" s="1"/>
  <c r="X380" i="1"/>
  <c r="Y380" i="1" s="1"/>
  <c r="X777" i="1"/>
  <c r="Y777" i="1" s="1"/>
  <c r="X787" i="1"/>
  <c r="Y787" i="1" s="1"/>
  <c r="X530" i="1"/>
  <c r="Y530" i="1" s="1"/>
  <c r="X456" i="1"/>
  <c r="Y456" i="1" s="1"/>
  <c r="X622" i="1"/>
  <c r="Y622" i="1" s="1"/>
  <c r="X502" i="1"/>
  <c r="Y502" i="1" s="1"/>
  <c r="X234" i="1"/>
  <c r="Y234" i="1" s="1"/>
  <c r="X686" i="1"/>
  <c r="Y686" i="1" s="1"/>
  <c r="X694" i="1"/>
  <c r="Y694" i="1" s="1"/>
  <c r="X362" i="1"/>
  <c r="Y362" i="1" s="1"/>
  <c r="X377" i="1"/>
  <c r="Y377" i="1" s="1"/>
  <c r="X410" i="1"/>
  <c r="Y410" i="1" s="1"/>
  <c r="X768" i="1"/>
  <c r="Y768" i="1" s="1"/>
  <c r="X300" i="1"/>
  <c r="Y300" i="1" s="1"/>
  <c r="X621" i="1"/>
  <c r="Y621" i="1" s="1"/>
  <c r="X196" i="1"/>
  <c r="Y196" i="1" s="1"/>
  <c r="X644" i="1"/>
  <c r="Y644" i="1" s="1"/>
  <c r="X514" i="1"/>
  <c r="Y514" i="1" s="1"/>
  <c r="X826" i="1"/>
  <c r="Y826" i="1" s="1"/>
  <c r="X412" i="1"/>
  <c r="Y412" i="1" s="1"/>
  <c r="X619" i="1"/>
  <c r="Y619" i="1" s="1"/>
  <c r="X347" i="1"/>
  <c r="Y347" i="1" s="1"/>
  <c r="X586" i="1"/>
  <c r="Y586" i="1" s="1"/>
  <c r="X617" i="1"/>
  <c r="Y617" i="1" s="1"/>
  <c r="X250" i="1"/>
  <c r="Y250" i="1" s="1"/>
  <c r="X355" i="1"/>
  <c r="Y355" i="1" s="1"/>
  <c r="X725" i="1"/>
  <c r="Y725" i="1" s="1"/>
  <c r="X276" i="1"/>
  <c r="Y276" i="1" s="1"/>
  <c r="X522" i="1"/>
  <c r="Y522" i="1" s="1"/>
  <c r="X553" i="1"/>
  <c r="Y553" i="1" s="1"/>
  <c r="X186" i="1"/>
  <c r="Y186" i="1" s="1"/>
  <c r="X195" i="1"/>
  <c r="Y195" i="1" s="1"/>
  <c r="X596" i="1"/>
  <c r="Y596" i="1" s="1"/>
  <c r="X840" i="1"/>
  <c r="Y840" i="1" s="1"/>
  <c r="X755" i="1"/>
  <c r="Y755" i="1" s="1"/>
  <c r="X523" i="1"/>
  <c r="Y523" i="1" s="1"/>
  <c r="X625" i="1"/>
  <c r="Y625" i="1" s="1"/>
  <c r="X616" i="1"/>
  <c r="Y616" i="1" s="1"/>
  <c r="X289" i="1"/>
  <c r="Y289" i="1" s="1"/>
  <c r="X601" i="1"/>
  <c r="Y601" i="1" s="1"/>
  <c r="X739" i="1"/>
  <c r="Y739" i="1" s="1"/>
  <c r="X326" i="1"/>
  <c r="Y326" i="1" s="1"/>
  <c r="X258" i="1"/>
  <c r="Y258" i="1" s="1"/>
  <c r="X570" i="1"/>
  <c r="Y570" i="1" s="1"/>
  <c r="X468" i="1"/>
  <c r="Y468" i="1" s="1"/>
  <c r="X585" i="1"/>
  <c r="Y585" i="1" s="1"/>
  <c r="X190" i="1"/>
  <c r="Y190" i="1" s="1"/>
  <c r="X791" i="1"/>
  <c r="Y791" i="1" s="1"/>
  <c r="X734" i="1"/>
  <c r="Y734" i="1" s="1"/>
  <c r="X455" i="1"/>
  <c r="Y455" i="1" s="1"/>
  <c r="X767" i="1"/>
  <c r="Y767" i="1" s="1"/>
  <c r="X837" i="1"/>
  <c r="Y837" i="1" s="1"/>
  <c r="X435" i="1"/>
  <c r="Y435" i="1" s="1"/>
  <c r="X332" i="1"/>
  <c r="Y332" i="1" s="1"/>
  <c r="X642" i="1"/>
  <c r="Y642" i="1" s="1"/>
  <c r="X283" i="1"/>
  <c r="Y283" i="1" s="1"/>
  <c r="X540" i="1"/>
  <c r="Y540" i="1" s="1"/>
  <c r="X270" i="1"/>
  <c r="Y270" i="1" s="1"/>
  <c r="X802" i="1"/>
  <c r="Y802" i="1" s="1"/>
  <c r="X257" i="1"/>
  <c r="Y257" i="1" s="1"/>
  <c r="X516" i="1"/>
  <c r="Y516" i="1" s="1"/>
  <c r="X747" i="1"/>
  <c r="Y747" i="1" s="1"/>
  <c r="X427" i="1"/>
  <c r="Y427" i="1" s="1"/>
  <c r="X230" i="1"/>
  <c r="Y230" i="1" s="1"/>
  <c r="X676" i="1"/>
  <c r="Y676" i="1" s="1"/>
  <c r="X541" i="1"/>
  <c r="Y541" i="1" s="1"/>
  <c r="X718" i="1"/>
  <c r="Y718" i="1" s="1"/>
  <c r="X567" i="1"/>
  <c r="Y567" i="1" s="1"/>
  <c r="X705" i="1"/>
  <c r="Y705" i="1" s="1"/>
  <c r="X437" i="1"/>
  <c r="Y437" i="1" s="1"/>
  <c r="X700" i="1"/>
  <c r="Y700" i="1" s="1"/>
  <c r="X674" i="1"/>
  <c r="Y674" i="1" s="1"/>
  <c r="X201" i="1"/>
  <c r="Y201" i="1" s="1"/>
  <c r="X357" i="1"/>
  <c r="Y357" i="1" s="1"/>
  <c r="X521" i="1"/>
  <c r="Y521" i="1" s="1"/>
  <c r="X569" i="1"/>
  <c r="Y569" i="1" s="1"/>
  <c r="X794" i="1"/>
  <c r="Y794" i="1" s="1"/>
  <c r="X629" i="1"/>
  <c r="Y629" i="1" s="1"/>
  <c r="X445" i="1"/>
  <c r="Y445" i="1" s="1"/>
  <c r="X503" i="1"/>
  <c r="Y503" i="1" s="1"/>
  <c r="X628" i="1"/>
  <c r="Y628" i="1" s="1"/>
  <c r="X444" i="1"/>
  <c r="Y444" i="1" s="1"/>
  <c r="X841" i="1"/>
  <c r="Y841" i="1" s="1"/>
  <c r="X543" i="1"/>
  <c r="Y543" i="1" s="1"/>
  <c r="X679" i="1"/>
  <c r="Y679" i="1" s="1"/>
  <c r="X404" i="1"/>
  <c r="Y404" i="1" s="1"/>
  <c r="X607" i="1"/>
  <c r="Y607" i="1" s="1"/>
  <c r="X743" i="1"/>
  <c r="Y743" i="1" s="1"/>
  <c r="X532" i="1"/>
  <c r="Y532" i="1" s="1"/>
  <c r="X710" i="1"/>
  <c r="Y710" i="1" s="1"/>
  <c r="X210" i="1"/>
  <c r="Y210" i="1" s="1"/>
  <c r="X559" i="1"/>
  <c r="Y559" i="1" s="1"/>
  <c r="X684" i="1"/>
  <c r="Y684" i="1" s="1"/>
  <c r="X518" i="1"/>
  <c r="Y518" i="1" s="1"/>
  <c r="X650" i="1"/>
  <c r="Y650" i="1" s="1"/>
  <c r="X681" i="1"/>
  <c r="Y681" i="1" s="1"/>
  <c r="X314" i="1"/>
  <c r="Y314" i="1" s="1"/>
  <c r="X827" i="1"/>
  <c r="Y827" i="1" s="1"/>
  <c r="X388" i="1"/>
  <c r="Y388" i="1" s="1"/>
  <c r="X771" i="1"/>
  <c r="Y771" i="1" s="1"/>
  <c r="X753" i="1"/>
  <c r="Y753" i="1" s="1"/>
  <c r="X744" i="1"/>
  <c r="Y744" i="1" s="1"/>
  <c r="X417" i="1"/>
  <c r="Y417" i="1" s="1"/>
  <c r="X660" i="1"/>
  <c r="Y660" i="1" s="1"/>
  <c r="X581" i="1"/>
  <c r="Y581" i="1" s="1"/>
  <c r="X454" i="1"/>
  <c r="Y454" i="1" s="1"/>
  <c r="X811" i="1"/>
  <c r="Y811" i="1" s="1"/>
  <c r="X689" i="1"/>
  <c r="Y689" i="1" s="1"/>
  <c r="X680" i="1"/>
  <c r="Y680" i="1" s="1"/>
  <c r="X353" i="1"/>
  <c r="Y353" i="1" s="1"/>
  <c r="X498" i="1"/>
  <c r="Y498" i="1" s="1"/>
  <c r="X426" i="1"/>
  <c r="Y426" i="1" s="1"/>
  <c r="X328" i="1"/>
  <c r="Y328" i="1" s="1"/>
  <c r="X781" i="1"/>
  <c r="Y781" i="1" s="1"/>
  <c r="X268" i="1"/>
  <c r="Y268" i="1" s="1"/>
  <c r="X204" i="1"/>
  <c r="Y204" i="1" s="1"/>
  <c r="X752" i="1"/>
  <c r="Y752" i="1" s="1"/>
  <c r="X783" i="1"/>
  <c r="Y783" i="1" s="1"/>
  <c r="X416" i="1"/>
  <c r="Y416" i="1" s="1"/>
  <c r="X728" i="1"/>
  <c r="Y728" i="1" s="1"/>
  <c r="X429" i="1"/>
  <c r="Y429" i="1" s="1"/>
  <c r="X507" i="1"/>
  <c r="Y507" i="1" s="1"/>
  <c r="X394" i="1"/>
  <c r="Y394" i="1" s="1"/>
  <c r="X425" i="1"/>
  <c r="Y425" i="1" s="1"/>
  <c r="X737" i="1"/>
  <c r="Y737" i="1" s="1"/>
  <c r="X370" i="1"/>
  <c r="Y370" i="1" s="1"/>
  <c r="X810" i="1"/>
  <c r="Y810" i="1" s="1"/>
  <c r="X712" i="1"/>
  <c r="Y712" i="1" s="1"/>
  <c r="X231" i="1"/>
  <c r="Y231" i="1" s="1"/>
  <c r="X185" i="1"/>
  <c r="Y185" i="1" s="1"/>
  <c r="X452" i="1"/>
  <c r="Y452" i="1" s="1"/>
  <c r="X279" i="1"/>
  <c r="Y279" i="1" s="1"/>
  <c r="X222" i="1"/>
  <c r="Y222" i="1" s="1"/>
  <c r="X534" i="1"/>
  <c r="Y534" i="1" s="1"/>
  <c r="X255" i="1"/>
  <c r="Y255" i="1" s="1"/>
  <c r="X611" i="1"/>
  <c r="Y611" i="1" s="1"/>
  <c r="X653" i="1"/>
  <c r="Y653" i="1" s="1"/>
  <c r="X778" i="1"/>
  <c r="Y778" i="1" s="1"/>
  <c r="X809" i="1"/>
  <c r="Y809" i="1" s="1"/>
  <c r="X442" i="1"/>
  <c r="Y442" i="1" s="1"/>
  <c r="X715" i="1"/>
  <c r="Y715" i="1" s="1"/>
  <c r="X405" i="1"/>
  <c r="Y405" i="1" s="1"/>
  <c r="X290" i="1"/>
  <c r="Y290" i="1" s="1"/>
  <c r="X384" i="1"/>
  <c r="Y384" i="1" s="1"/>
  <c r="X428" i="1"/>
  <c r="Y428" i="1" s="1"/>
  <c r="X460" i="1"/>
  <c r="Y460" i="1" s="1"/>
  <c r="X578" i="1"/>
  <c r="Y578" i="1" s="1"/>
  <c r="X476" i="1"/>
  <c r="Y476" i="1" s="1"/>
  <c r="X206" i="1"/>
  <c r="Y206" i="1" s="1"/>
  <c r="X738" i="1"/>
  <c r="Y738" i="1" s="1"/>
  <c r="X832" i="1"/>
  <c r="Y832" i="1" s="1"/>
  <c r="X302" i="1"/>
  <c r="Y302" i="1" s="1"/>
  <c r="X829" i="1"/>
  <c r="Y829" i="1" s="1"/>
  <c r="X656" i="1"/>
  <c r="Y656" i="1" s="1"/>
  <c r="X501" i="1"/>
  <c r="Y501" i="1" s="1"/>
  <c r="X764" i="1"/>
  <c r="Y764" i="1" s="1"/>
  <c r="X774" i="1"/>
  <c r="Y774" i="1" s="1"/>
  <c r="X557" i="1"/>
  <c r="Y557" i="1" s="1"/>
  <c r="X402" i="1"/>
  <c r="Y402" i="1" s="1"/>
  <c r="X264" i="1"/>
  <c r="Y264" i="1" s="1"/>
  <c r="X494" i="1"/>
  <c r="Y494" i="1" s="1"/>
  <c r="X374" i="1"/>
  <c r="Y374" i="1" s="1"/>
  <c r="X529" i="1"/>
  <c r="Y529" i="1" s="1"/>
  <c r="X693" i="1"/>
  <c r="Y693" i="1" s="1"/>
  <c r="X509" i="1"/>
  <c r="Y509" i="1" s="1"/>
  <c r="X695" i="1"/>
  <c r="Y695" i="1" s="1"/>
  <c r="X492" i="1"/>
  <c r="Y492" i="1" s="1"/>
  <c r="X376" i="1"/>
  <c r="Y376" i="1" s="1"/>
  <c r="X704" i="1"/>
  <c r="Y704" i="1" s="1"/>
  <c r="X408" i="1"/>
  <c r="Y408" i="1" s="1"/>
  <c r="X440" i="1"/>
  <c r="Y440" i="1" s="1"/>
  <c r="X281" i="1"/>
  <c r="Y281" i="1" s="1"/>
  <c r="X213" i="1"/>
  <c r="Y213" i="1" s="1"/>
  <c r="X292" i="1"/>
  <c r="Y292" i="1" s="1"/>
  <c r="X817" i="1"/>
  <c r="Y817" i="1" s="1"/>
  <c r="X808" i="1"/>
  <c r="Y808" i="1" s="1"/>
  <c r="X481" i="1"/>
  <c r="Y481" i="1" s="1"/>
  <c r="X646" i="1"/>
  <c r="Y646" i="1" s="1"/>
  <c r="X539" i="1"/>
  <c r="Y539" i="1" s="1"/>
  <c r="X309" i="1"/>
  <c r="Y309" i="1" s="1"/>
  <c r="X241" i="1"/>
  <c r="Y241" i="1" s="1"/>
  <c r="X232" i="1"/>
  <c r="Y232" i="1" s="1"/>
  <c r="X544" i="1"/>
  <c r="Y544" i="1" s="1"/>
  <c r="X562" i="1"/>
  <c r="Y562" i="1" s="1"/>
  <c r="X490" i="1"/>
  <c r="Y490" i="1" s="1"/>
  <c r="X251" i="1"/>
  <c r="Y251" i="1" s="1"/>
  <c r="X436" i="1"/>
  <c r="Y436" i="1" s="1"/>
  <c r="X816" i="1"/>
  <c r="Y816" i="1" s="1"/>
  <c r="X480" i="1"/>
  <c r="Y480" i="1" s="1"/>
  <c r="X665" i="1"/>
  <c r="Y665" i="1" s="1"/>
  <c r="X593" i="1"/>
  <c r="Y593" i="1" s="1"/>
  <c r="X495" i="1"/>
  <c r="Y495" i="1" s="1"/>
  <c r="X547" i="1"/>
  <c r="Y547" i="1" s="1"/>
  <c r="X381" i="1"/>
  <c r="Y381" i="1" s="1"/>
  <c r="X211" i="1"/>
  <c r="Y211" i="1" s="1"/>
  <c r="X240" i="1"/>
  <c r="Y240" i="1" s="1"/>
  <c r="X271" i="1"/>
  <c r="Y271" i="1" s="1"/>
  <c r="X583" i="1"/>
  <c r="Y583" i="1" s="1"/>
  <c r="X216" i="1"/>
  <c r="Y216" i="1" s="1"/>
  <c r="X467" i="1"/>
  <c r="Y467" i="1" s="1"/>
  <c r="X772" i="1"/>
  <c r="Y772" i="1" s="1"/>
  <c r="X561" i="1"/>
  <c r="Y561" i="1" s="1"/>
  <c r="X552" i="1"/>
  <c r="Y552" i="1" s="1"/>
  <c r="X225" i="1"/>
  <c r="Y225" i="1" s="1"/>
  <c r="X537" i="1"/>
  <c r="Y537" i="1" s="1"/>
  <c r="X298" i="1"/>
  <c r="Y298" i="1" s="1"/>
  <c r="X200" i="1"/>
  <c r="Y200" i="1" s="1"/>
  <c r="X317" i="1"/>
  <c r="Y317" i="1" s="1"/>
  <c r="X510" i="1"/>
  <c r="Y510" i="1" s="1"/>
  <c r="X795" i="1"/>
  <c r="Y795" i="1" s="1"/>
  <c r="X358" i="1"/>
  <c r="Y358" i="1" s="1"/>
  <c r="X804" i="1"/>
  <c r="Y804" i="1" s="1"/>
  <c r="X669" i="1"/>
  <c r="Y669" i="1" s="1"/>
  <c r="X334" i="1"/>
  <c r="Y334" i="1" s="1"/>
  <c r="X387" i="1"/>
  <c r="Y387" i="1" s="1"/>
  <c r="X587" i="1"/>
  <c r="Y587" i="1" s="1"/>
  <c r="X266" i="1"/>
  <c r="Y266" i="1" s="1"/>
  <c r="X297" i="1"/>
  <c r="Y297" i="1" s="1"/>
  <c r="X609" i="1"/>
  <c r="Y609" i="1" s="1"/>
  <c r="X754" i="1"/>
  <c r="Y754" i="1" s="1"/>
  <c r="X340" i="1"/>
  <c r="Y340" i="1" s="1"/>
  <c r="X457" i="1"/>
  <c r="Y457" i="1" s="1"/>
  <c r="X551" i="1"/>
  <c r="Y551" i="1" s="1"/>
  <c r="X446" i="1"/>
  <c r="Y446" i="1" s="1"/>
  <c r="X667" i="1"/>
  <c r="Y667" i="1" s="1"/>
  <c r="X714" i="1"/>
  <c r="Y714" i="1" s="1"/>
  <c r="X745" i="1"/>
  <c r="Y745" i="1" s="1"/>
  <c r="X378" i="1"/>
  <c r="Y378" i="1" s="1"/>
  <c r="X691" i="1"/>
  <c r="Y691" i="1" s="1"/>
  <c r="X788" i="1"/>
  <c r="Y788" i="1" s="1"/>
  <c r="X226" i="1"/>
  <c r="Y226" i="1" s="1"/>
  <c r="X320" i="1"/>
  <c r="Y320" i="1" s="1"/>
  <c r="X814" i="1"/>
  <c r="Y814" i="1" s="1"/>
  <c r="X822" i="1"/>
  <c r="Y822" i="1" s="1"/>
  <c r="X746" i="1"/>
  <c r="Y746" i="1" s="1"/>
  <c r="X366" i="1"/>
  <c r="Y366" i="1" s="1"/>
  <c r="X246" i="1"/>
  <c r="Y246" i="1" s="1"/>
  <c r="X209" i="1"/>
  <c r="Y209" i="1" s="1"/>
  <c r="X500" i="1"/>
  <c r="Y500" i="1" s="1"/>
  <c r="X835" i="1"/>
  <c r="Y835" i="1" s="1"/>
  <c r="X649" i="1"/>
  <c r="Y649" i="1" s="1"/>
  <c r="X415" i="1"/>
  <c r="Y415" i="1" s="1"/>
  <c r="X423" i="1"/>
  <c r="Y423" i="1" s="1"/>
  <c r="X654" i="1"/>
  <c r="Y654" i="1" s="1"/>
  <c r="X558" i="1"/>
  <c r="Y558" i="1" s="1"/>
  <c r="X438" i="1"/>
  <c r="Y438" i="1" s="1"/>
  <c r="X721" i="1"/>
  <c r="Y721" i="1" s="1"/>
  <c r="X249" i="1"/>
  <c r="Y249" i="1" s="1"/>
  <c r="X218" i="1"/>
  <c r="Y218" i="1" s="1"/>
  <c r="X364" i="1"/>
  <c r="Y364" i="1" s="1"/>
  <c r="X313" i="1"/>
  <c r="Y313" i="1" s="1"/>
  <c r="X282" i="1"/>
  <c r="Y282" i="1" s="1"/>
  <c r="X820" i="1"/>
  <c r="Y820" i="1" s="1"/>
  <c r="X636" i="1"/>
  <c r="Y636" i="1" s="1"/>
  <c r="X275" i="1"/>
  <c r="Y275" i="1" s="1"/>
  <c r="X207" i="1"/>
  <c r="Y207" i="1" s="1"/>
  <c r="X221" i="1"/>
  <c r="Y221" i="1" s="1"/>
  <c r="X305" i="1"/>
  <c r="Y305" i="1" s="1"/>
  <c r="X296" i="1"/>
  <c r="Y296" i="1" s="1"/>
  <c r="X608" i="1"/>
  <c r="Y608" i="1" s="1"/>
  <c r="X198" i="1"/>
  <c r="Y198" i="1" s="1"/>
  <c r="X499" i="1"/>
  <c r="Y499" i="1" s="1"/>
  <c r="X368" i="1"/>
  <c r="Y368" i="1" s="1"/>
  <c r="X399" i="1"/>
  <c r="Y399" i="1" s="1"/>
  <c r="X711" i="1"/>
  <c r="Y711" i="1" s="1"/>
  <c r="X729" i="1"/>
  <c r="Y729" i="1" s="1"/>
  <c r="X657" i="1"/>
  <c r="Y657" i="1" s="1"/>
  <c r="X395" i="1"/>
  <c r="Y395" i="1" s="1"/>
  <c r="X651" i="1"/>
  <c r="Y651" i="1" s="1"/>
  <c r="X731" i="1"/>
  <c r="Y731" i="1" s="1"/>
  <c r="X304" i="1"/>
  <c r="Y304" i="1" s="1"/>
  <c r="X335" i="1"/>
  <c r="Y335" i="1" s="1"/>
  <c r="X647" i="1"/>
  <c r="Y647" i="1" s="1"/>
  <c r="X792" i="1"/>
  <c r="Y792" i="1" s="1"/>
  <c r="X720" i="1"/>
  <c r="Y720" i="1" s="1"/>
  <c r="X574" i="1"/>
  <c r="Y574" i="1" s="1"/>
  <c r="X323" i="1"/>
  <c r="Y323" i="1" s="1"/>
  <c r="X645" i="1"/>
  <c r="Y645" i="1" s="1"/>
  <c r="X582" i="1"/>
  <c r="Y582" i="1" s="1"/>
  <c r="X407" i="1"/>
  <c r="Y407" i="1" s="1"/>
  <c r="X350" i="1"/>
  <c r="Y350" i="1" s="1"/>
  <c r="X662" i="1"/>
  <c r="Y662" i="1" s="1"/>
  <c r="X383" i="1"/>
  <c r="Y383" i="1" s="1"/>
  <c r="X285" i="1"/>
  <c r="Y285" i="1" s="1"/>
  <c r="X688" i="1"/>
  <c r="Y688" i="1" s="1"/>
  <c r="X719" i="1"/>
  <c r="Y719" i="1" s="1"/>
  <c r="X352" i="1"/>
  <c r="Y352" i="1" s="1"/>
  <c r="X664" i="1"/>
  <c r="Y664" i="1" s="1"/>
  <c r="X465" i="1"/>
  <c r="Y465" i="1" s="1"/>
  <c r="X367" i="1"/>
  <c r="Y367" i="1" s="1"/>
  <c r="X589" i="1"/>
  <c r="Y589" i="1" s="1"/>
  <c r="X227" i="1"/>
  <c r="Y227" i="1" s="1"/>
  <c r="X706" i="1"/>
  <c r="Y706" i="1" s="1"/>
  <c r="X643" i="1"/>
  <c r="Y643" i="1" s="1"/>
  <c r="X604" i="1"/>
  <c r="Y604" i="1" s="1"/>
  <c r="X365" i="1"/>
  <c r="Y365" i="1" s="1"/>
  <c r="X716" i="1"/>
  <c r="Y716" i="1" s="1"/>
  <c r="X341" i="1"/>
  <c r="Y341" i="1" s="1"/>
  <c r="X433" i="1"/>
  <c r="Y433" i="1" s="1"/>
  <c r="X424" i="1"/>
  <c r="Y424" i="1" s="1"/>
  <c r="X736" i="1"/>
  <c r="Y736" i="1" s="1"/>
  <c r="X242" i="1"/>
  <c r="Y242" i="1" s="1"/>
  <c r="X682" i="1"/>
  <c r="Y682" i="1" s="1"/>
  <c r="X584" i="1"/>
  <c r="Y584" i="1" s="1"/>
  <c r="X630" i="1"/>
  <c r="Y630" i="1" s="1"/>
  <c r="X307" i="1"/>
  <c r="Y307" i="1" s="1"/>
  <c r="X262" i="1"/>
  <c r="Y262" i="1" s="1"/>
  <c r="X202" i="1"/>
  <c r="Y202" i="1" s="1"/>
  <c r="X233" i="1"/>
  <c r="Y233" i="1" s="1"/>
  <c r="X545" i="1"/>
  <c r="Y545" i="1" s="1"/>
  <c r="X690" i="1"/>
  <c r="Y690" i="1" s="1"/>
  <c r="X515" i="1"/>
  <c r="Y515" i="1" s="1"/>
  <c r="X393" i="1"/>
  <c r="Y393" i="1" s="1"/>
  <c r="X487" i="1"/>
  <c r="Y487" i="1" s="1"/>
  <c r="X735" i="1"/>
  <c r="Y735" i="1" s="1"/>
  <c r="X192" i="1"/>
  <c r="Y192" i="1" s="1"/>
  <c r="X469" i="1"/>
  <c r="Y469" i="1" s="1"/>
  <c r="X287" i="1"/>
  <c r="Y287" i="1" s="1"/>
  <c r="X295" i="1"/>
  <c r="Y295" i="1" s="1"/>
  <c r="X597" i="1"/>
  <c r="Y597" i="1" s="1"/>
  <c r="X565" i="1"/>
  <c r="Y565" i="1" s="1"/>
  <c r="X828" i="1"/>
  <c r="Y828" i="1" s="1"/>
  <c r="X311" i="1"/>
  <c r="Y311" i="1" s="1"/>
  <c r="X248" i="1"/>
  <c r="Y248" i="1" s="1"/>
  <c r="X512" i="1"/>
  <c r="Y512" i="1" s="1"/>
  <c r="X652" i="1"/>
  <c r="Y652" i="1" s="1"/>
  <c r="X479" i="1"/>
  <c r="Y479" i="1" s="1"/>
  <c r="X615" i="1"/>
  <c r="Y615" i="1" s="1"/>
  <c r="X243" i="1"/>
  <c r="Y243" i="1" s="1"/>
  <c r="X491" i="1"/>
  <c r="Y491" i="1" s="1"/>
  <c r="X761" i="1"/>
  <c r="Y761" i="1" s="1"/>
  <c r="X303" i="1"/>
  <c r="Y303" i="1" s="1"/>
  <c r="X236" i="1"/>
  <c r="Y236" i="1" s="1"/>
  <c r="X825" i="1"/>
  <c r="Y825" i="1" s="1"/>
  <c r="X431" i="1"/>
  <c r="Y431" i="1" s="1"/>
  <c r="X238" i="1"/>
  <c r="Y238" i="1" s="1"/>
  <c r="X389" i="1"/>
  <c r="Y389" i="1" s="1"/>
  <c r="X580" i="1"/>
  <c r="Y580" i="1" s="1"/>
  <c r="X517" i="1"/>
  <c r="Y517" i="1" s="1"/>
  <c r="X432" i="1"/>
  <c r="Y432" i="1" s="1"/>
  <c r="X463" i="1"/>
  <c r="Y463" i="1" s="1"/>
  <c r="X775" i="1"/>
  <c r="Y775" i="1" s="1"/>
  <c r="X763" i="1"/>
  <c r="Y763" i="1" s="1"/>
  <c r="X675" i="1"/>
  <c r="Y675" i="1" s="1"/>
  <c r="X709" i="1"/>
  <c r="Y709" i="1" s="1"/>
  <c r="X535" i="1"/>
  <c r="Y535" i="1" s="1"/>
  <c r="X478" i="1"/>
  <c r="Y478" i="1" s="1"/>
  <c r="X790" i="1"/>
  <c r="Y790" i="1" s="1"/>
  <c r="X217" i="1"/>
  <c r="Y217" i="1" s="1"/>
  <c r="X784" i="1"/>
  <c r="Y784" i="1" s="1"/>
  <c r="X193" i="1"/>
  <c r="Y193" i="1" s="1"/>
  <c r="X197" i="1"/>
  <c r="Y197" i="1" s="1"/>
  <c r="X471" i="1"/>
  <c r="Y471" i="1" s="1"/>
  <c r="X414" i="1"/>
  <c r="Y414" i="1" s="1"/>
  <c r="X726" i="1"/>
  <c r="Y726" i="1" s="1"/>
  <c r="X280" i="1"/>
  <c r="Y280" i="1" s="1"/>
  <c r="X208" i="1"/>
  <c r="Y208" i="1" s="1"/>
  <c r="X346" i="1"/>
  <c r="Y346" i="1" s="1"/>
  <c r="X708" i="1"/>
  <c r="Y708" i="1" s="1"/>
  <c r="X284" i="1"/>
  <c r="Y284" i="1" s="1"/>
  <c r="X189" i="1"/>
  <c r="Y189" i="1" s="1"/>
  <c r="X486" i="1"/>
  <c r="Y486" i="1" s="1"/>
  <c r="X485" i="1"/>
  <c r="Y485" i="1" s="1"/>
  <c r="X797" i="1"/>
  <c r="Y797" i="1" s="1"/>
  <c r="X462" i="1"/>
  <c r="Y462" i="1" s="1"/>
  <c r="X683" i="1"/>
  <c r="Y683" i="1" s="1"/>
  <c r="X379" i="1"/>
  <c r="Y379" i="1" s="1"/>
  <c r="X798" i="1"/>
  <c r="Y798" i="1" s="1"/>
  <c r="X519" i="1"/>
  <c r="Y519" i="1" s="1"/>
  <c r="X831" i="1"/>
  <c r="Y831" i="1" s="1"/>
  <c r="X592" i="1"/>
  <c r="Y592" i="1" s="1"/>
  <c r="X730" i="1"/>
  <c r="Y730" i="1" s="1"/>
  <c r="X269" i="1"/>
  <c r="Y269" i="1" s="1"/>
  <c r="X205" i="1"/>
  <c r="Y205" i="1" s="1"/>
  <c r="X842" i="1"/>
  <c r="Y842" i="1" s="1"/>
  <c r="X194" i="1"/>
  <c r="Y194" i="1" s="1"/>
  <c r="X506" i="1"/>
  <c r="Y506" i="1" s="1"/>
  <c r="X818" i="1"/>
  <c r="Y818" i="1" s="1"/>
  <c r="X555" i="1"/>
  <c r="Y555" i="1" s="1"/>
  <c r="X245" i="1"/>
  <c r="Y245" i="1" s="1"/>
  <c r="X239" i="1"/>
  <c r="Y239" i="1" s="1"/>
  <c r="X560" i="1"/>
  <c r="Y560" i="1" s="1"/>
  <c r="X591" i="1"/>
  <c r="Y591" i="1" s="1"/>
  <c r="X224" i="1"/>
  <c r="Y224" i="1" s="1"/>
  <c r="X409" i="1"/>
  <c r="Y409" i="1" s="1"/>
  <c r="X751" i="1"/>
  <c r="Y751" i="1" s="1"/>
  <c r="X765" i="1"/>
  <c r="Y765" i="1" s="1"/>
  <c r="X803" i="1"/>
  <c r="Y803" i="1" s="1"/>
  <c r="X369" i="1"/>
  <c r="Y369" i="1" s="1"/>
  <c r="X360" i="1"/>
  <c r="Y360" i="1" s="1"/>
  <c r="X672" i="1"/>
  <c r="Y672" i="1" s="1"/>
  <c r="X618" i="1"/>
  <c r="Y618" i="1" s="1"/>
  <c r="X520" i="1"/>
  <c r="Y520" i="1" s="1"/>
  <c r="X566" i="1"/>
  <c r="Y566" i="1" s="1"/>
  <c r="X568" i="1"/>
  <c r="Y568" i="1" s="1"/>
  <c r="X385" i="1"/>
  <c r="Y385" i="1" s="1"/>
  <c r="X626" i="1"/>
  <c r="Y626" i="1" s="1"/>
  <c r="X799" i="1"/>
  <c r="Y799" i="1" s="1"/>
  <c r="X256" i="1"/>
  <c r="Y256" i="1" s="1"/>
  <c r="X430" i="1"/>
  <c r="Y430" i="1" s="1"/>
  <c r="X310" i="1"/>
  <c r="Y310" i="1" s="1"/>
  <c r="X401" i="1"/>
  <c r="Y401" i="1" s="1"/>
  <c r="X836" i="1"/>
  <c r="Y836" i="1" s="1"/>
  <c r="X760" i="1"/>
  <c r="Y760" i="1" s="1"/>
  <c r="X641" i="1"/>
  <c r="Y641" i="1" s="1"/>
  <c r="X277" i="1"/>
  <c r="Y277" i="1" s="1"/>
  <c r="X312" i="1"/>
  <c r="Y312" i="1" s="1"/>
  <c r="X576" i="1"/>
  <c r="Y576" i="1" s="1"/>
  <c r="X575" i="1"/>
  <c r="Y575" i="1" s="1"/>
  <c r="X333" i="1"/>
  <c r="Y333" i="1" s="1"/>
  <c r="X594" i="1"/>
  <c r="Y594" i="1" s="1"/>
  <c r="X648" i="1"/>
  <c r="Y648" i="1" s="1"/>
  <c r="X188" i="1"/>
  <c r="Y188" i="1" s="1"/>
  <c r="X658" i="1"/>
  <c r="Y658" i="1" s="1"/>
  <c r="X776" i="1"/>
  <c r="Y776" i="1" s="1"/>
  <c r="X750" i="1"/>
  <c r="Y750" i="1" s="1"/>
  <c r="X261" i="1"/>
  <c r="Y261" i="1" s="1"/>
  <c r="X723" i="1"/>
  <c r="Y723" i="1" s="1"/>
  <c r="X599" i="1"/>
  <c r="Y599" i="1" s="1"/>
  <c r="X542" i="1"/>
  <c r="Y542" i="1" s="1"/>
  <c r="X263" i="1"/>
  <c r="Y263" i="1" s="1"/>
  <c r="X397" i="1"/>
  <c r="Y397" i="1" s="1"/>
  <c r="X443" i="1"/>
  <c r="Y443" i="1" s="1"/>
  <c r="X373" i="1"/>
  <c r="Y373" i="1" s="1"/>
  <c r="X614" i="1"/>
  <c r="Y614" i="1" s="1"/>
  <c r="X613" i="1"/>
  <c r="Y613" i="1" s="1"/>
  <c r="X278" i="1"/>
  <c r="Y278" i="1" s="1"/>
  <c r="X344" i="1"/>
  <c r="Y344" i="1" s="1"/>
  <c r="X272" i="1"/>
  <c r="Y272" i="1" s="1"/>
  <c r="X524" i="1"/>
  <c r="Y524" i="1" s="1"/>
  <c r="X212" i="1"/>
  <c r="Y212" i="1" s="1"/>
  <c r="X318" i="1"/>
  <c r="Y318" i="1" s="1"/>
  <c r="X550" i="1"/>
  <c r="Y550" i="1" s="1"/>
  <c r="X549" i="1"/>
  <c r="Y549" i="1" s="1"/>
  <c r="X214" i="1"/>
  <c r="Y214" i="1" s="1"/>
  <c r="X447" i="1"/>
  <c r="Y447" i="1" s="1"/>
  <c r="X375" i="1"/>
  <c r="Y375" i="1" s="1"/>
  <c r="X513" i="1"/>
  <c r="Y513" i="1" s="1"/>
  <c r="X229" i="1"/>
  <c r="Y229" i="1" s="1"/>
  <c r="X315" i="1"/>
  <c r="Y315" i="1" s="1"/>
  <c r="X563" i="1"/>
  <c r="Y563" i="1" s="1"/>
  <c r="X834" i="1"/>
  <c r="Y834" i="1" s="1"/>
  <c r="X420" i="1"/>
  <c r="Y420" i="1" s="1"/>
  <c r="X732" i="1"/>
  <c r="Y732" i="1" s="1"/>
  <c r="X396" i="1"/>
  <c r="Y396" i="1" s="1"/>
  <c r="X324" i="1"/>
  <c r="Y324" i="1" s="1"/>
  <c r="X343" i="1"/>
  <c r="Y343" i="1" s="1"/>
  <c r="X286" i="1"/>
  <c r="Y286" i="1" s="1"/>
  <c r="X598" i="1"/>
  <c r="Y598" i="1" s="1"/>
  <c r="X319" i="1"/>
  <c r="Y319" i="1" s="1"/>
  <c r="X759" i="1"/>
  <c r="Y759" i="1" s="1"/>
  <c r="X199" i="1"/>
  <c r="Y199" i="1" s="1"/>
  <c r="X459" i="1"/>
  <c r="Y459" i="1" s="1"/>
  <c r="X330" i="1"/>
  <c r="Y330" i="1" s="1"/>
  <c r="X361" i="1"/>
  <c r="Y361" i="1" s="1"/>
  <c r="X673" i="1"/>
  <c r="Y673" i="1" s="1"/>
  <c r="X306" i="1"/>
  <c r="Y306" i="1" s="1"/>
  <c r="X372" i="1"/>
  <c r="Y372" i="1" s="1"/>
  <c r="X316" i="1"/>
  <c r="Y316" i="1" s="1"/>
  <c r="X620" i="1"/>
  <c r="Y620" i="1" s="1"/>
  <c r="X727" i="1"/>
  <c r="Y727" i="1" s="1"/>
  <c r="X670" i="1"/>
  <c r="Y670" i="1" s="1"/>
  <c r="X391" i="1"/>
  <c r="Y391" i="1" s="1"/>
  <c r="X536" i="1"/>
  <c r="Y536" i="1" s="1"/>
  <c r="X337" i="1"/>
  <c r="Y337" i="1" s="1"/>
  <c r="X830" i="1"/>
  <c r="Y830" i="1" s="1"/>
  <c r="X235" i="1"/>
  <c r="Y235" i="1" s="1"/>
  <c r="X453" i="1"/>
  <c r="Y453" i="1" s="1"/>
  <c r="X571" i="1"/>
  <c r="Y571" i="1" s="1"/>
  <c r="X496" i="1"/>
  <c r="Y496" i="1" s="1"/>
  <c r="X527" i="1"/>
  <c r="Y527" i="1" s="1"/>
  <c r="X839" i="1"/>
  <c r="Y839" i="1" s="1"/>
  <c r="X345" i="1"/>
  <c r="Y345" i="1" s="1"/>
  <c r="X785" i="1"/>
  <c r="Y785" i="1" s="1"/>
  <c r="X687" i="1"/>
  <c r="Y687" i="1" s="1"/>
  <c r="X382" i="1"/>
  <c r="Y382" i="1" s="1"/>
  <c r="X441" i="1"/>
  <c r="Y441" i="1" s="1"/>
  <c r="X474" i="1"/>
  <c r="Y474" i="1" s="1"/>
  <c r="X632" i="1"/>
  <c r="Y632" i="1" s="1"/>
  <c r="X449" i="1"/>
  <c r="Y449" i="1" s="1"/>
  <c r="X351" i="1"/>
  <c r="Y351" i="1" s="1"/>
  <c r="X359" i="1"/>
  <c r="Y359" i="1" s="1"/>
  <c r="X789" i="1"/>
  <c r="Y789" i="1" s="1"/>
  <c r="X699" i="1"/>
  <c r="Y699" i="1" s="1"/>
  <c r="X633" i="1"/>
  <c r="Y633" i="1" s="1"/>
  <c r="X638" i="1"/>
  <c r="Y638" i="1" s="1"/>
  <c r="X824" i="1"/>
  <c r="Y824" i="1" s="1"/>
  <c r="X833" i="1"/>
  <c r="Y833" i="1" s="1"/>
  <c r="X692" i="1"/>
  <c r="Y692" i="1" s="1"/>
  <c r="X508" i="1"/>
  <c r="Y508" i="1" s="1"/>
  <c r="X354" i="1"/>
  <c r="Y354" i="1" s="1"/>
  <c r="X756" i="1"/>
  <c r="Y756" i="1" s="1"/>
  <c r="X572" i="1"/>
  <c r="Y572" i="1" s="1"/>
  <c r="X482" i="1"/>
  <c r="Y482" i="1" s="1"/>
  <c r="X671" i="1"/>
  <c r="Y671" i="1" s="1"/>
  <c r="X807" i="1"/>
  <c r="Y807" i="1" s="1"/>
  <c r="X724" i="1"/>
  <c r="Y724" i="1" s="1"/>
  <c r="X247" i="1"/>
  <c r="Y247" i="1" s="1"/>
  <c r="X779" i="1"/>
  <c r="Y779" i="1" s="1"/>
  <c r="X203" i="1"/>
  <c r="Y203" i="1" s="1"/>
  <c r="X678" i="1"/>
  <c r="Y678" i="1" s="1"/>
  <c r="X677" i="1"/>
  <c r="Y677" i="1" s="1"/>
  <c r="X342" i="1"/>
  <c r="Y342" i="1" s="1"/>
  <c r="X403" i="1"/>
  <c r="Y403" i="1" s="1"/>
  <c r="X748" i="1"/>
  <c r="Y748" i="1" s="1"/>
  <c r="X635" i="1"/>
  <c r="Y635" i="1" s="1"/>
  <c r="X749" i="1"/>
  <c r="Y749" i="1" s="1"/>
  <c r="X548" i="1"/>
  <c r="Y548" i="1" s="1"/>
  <c r="X413" i="1"/>
  <c r="Y413" i="1" s="1"/>
  <c r="X511" i="1"/>
  <c r="Y511" i="1" s="1"/>
  <c r="X439" i="1"/>
  <c r="Y439" i="1" s="1"/>
  <c r="X228" i="1"/>
  <c r="Y228" i="1" s="1"/>
  <c r="X461" i="1"/>
  <c r="Y461" i="1" s="1"/>
  <c r="X237" i="1"/>
  <c r="Y237" i="1" s="1"/>
  <c r="X685" i="1"/>
  <c r="Y685" i="1" s="1"/>
  <c r="X484" i="1"/>
  <c r="Y484" i="1" s="1"/>
  <c r="X796" i="1"/>
  <c r="Y796" i="1" s="1"/>
  <c r="X526" i="1"/>
  <c r="Y526" i="1" s="1"/>
  <c r="X546" i="1"/>
  <c r="Y546" i="1" s="1"/>
  <c r="X640" i="1"/>
  <c r="Y640" i="1" s="1"/>
  <c r="X293" i="1"/>
  <c r="Y293" i="1" s="1"/>
  <c r="X223" i="1"/>
  <c r="Y223" i="1" s="1"/>
  <c r="X717" i="1"/>
  <c r="Y717" i="1" s="1"/>
  <c r="X322" i="1"/>
  <c r="Y322" i="1" s="1"/>
  <c r="X634" i="1"/>
  <c r="Y634" i="1" s="1"/>
  <c r="X260" i="1"/>
  <c r="Y260" i="1" s="1"/>
  <c r="X390" i="1"/>
  <c r="Y390" i="1" s="1"/>
  <c r="X603" i="1"/>
  <c r="Y603" i="1" s="1"/>
  <c r="X339" i="1"/>
  <c r="Y339" i="1" s="1"/>
  <c r="X422" i="1"/>
  <c r="Y422" i="1" s="1"/>
  <c r="X421" i="1"/>
  <c r="Y421" i="1" s="1"/>
  <c r="X733" i="1"/>
  <c r="Y733" i="1" s="1"/>
  <c r="X398" i="1"/>
  <c r="Y398" i="1" s="1"/>
  <c r="X838" i="1"/>
  <c r="Y838" i="1" s="1"/>
  <c r="X252" i="1"/>
  <c r="Y252" i="1" s="1"/>
  <c r="X556" i="1"/>
  <c r="Y556" i="1" s="1"/>
  <c r="X493" i="1"/>
  <c r="Y493" i="1" s="1"/>
  <c r="X497" i="1"/>
  <c r="Y497" i="1" s="1"/>
  <c r="X488" i="1"/>
  <c r="Y488" i="1" s="1"/>
  <c r="X800" i="1"/>
  <c r="Y800" i="1" s="1"/>
  <c r="X473" i="1"/>
  <c r="Y473" i="1" s="1"/>
  <c r="X475" i="1"/>
  <c r="Y475" i="1" s="1"/>
  <c r="X707" i="1"/>
  <c r="Y707" i="1" s="1"/>
  <c r="X806" i="1"/>
  <c r="Y806" i="1" s="1"/>
  <c r="X805" i="1"/>
  <c r="Y805" i="1" s="1"/>
  <c r="X470" i="1"/>
  <c r="Y470" i="1" s="1"/>
  <c r="X703" i="1"/>
  <c r="Y703" i="1" s="1"/>
  <c r="X464" i="1"/>
  <c r="Y464" i="1" s="1"/>
  <c r="X602" i="1"/>
  <c r="Y602" i="1" s="1"/>
  <c r="X244" i="1"/>
  <c r="Y244" i="1" s="1"/>
  <c r="X531" i="1"/>
  <c r="Y531" i="1" s="1"/>
  <c r="X780" i="1"/>
  <c r="Y780" i="1" s="1"/>
  <c r="X663" i="1"/>
  <c r="Y663" i="1" s="1"/>
  <c r="X606" i="1"/>
  <c r="Y606" i="1" s="1"/>
  <c r="X327" i="1"/>
  <c r="Y327" i="1" s="1"/>
  <c r="X472" i="1"/>
  <c r="Y472" i="1" s="1"/>
  <c r="X273" i="1"/>
  <c r="Y273" i="1" s="1"/>
  <c r="X766" i="1"/>
  <c r="Y766" i="1" s="1"/>
  <c r="X627" i="1"/>
  <c r="Y627" i="1" s="1"/>
  <c r="X274" i="1"/>
  <c r="Y274" i="1" s="1"/>
  <c r="X623" i="1"/>
  <c r="Y623" i="1" s="1"/>
  <c r="X773" i="1"/>
  <c r="Y773" i="1" s="1"/>
  <c r="X505" i="1"/>
  <c r="Y505" i="1" s="1"/>
  <c r="X666" i="1"/>
  <c r="Y666" i="1" s="1"/>
  <c r="X184" i="1"/>
  <c r="Y184" i="1" s="1"/>
  <c r="X448" i="1"/>
  <c r="Y448" i="1" s="1"/>
  <c r="X299" i="1"/>
  <c r="Y299" i="1" s="1"/>
  <c r="X419" i="1"/>
  <c r="Y419" i="1" s="1"/>
  <c r="X466" i="1"/>
  <c r="Y466" i="1" s="1"/>
  <c r="X392" i="1"/>
  <c r="Y392" i="1" s="1"/>
  <c r="X219" i="1"/>
  <c r="Y219" i="1" s="1"/>
  <c r="X697" i="1"/>
  <c r="Y697" i="1" s="1"/>
  <c r="X702" i="1"/>
  <c r="Y702" i="1" s="1"/>
  <c r="X757" i="1"/>
  <c r="Y757" i="1" s="1"/>
  <c r="X573" i="1"/>
  <c r="Y573" i="1" s="1"/>
  <c r="X823" i="1"/>
  <c r="Y823" i="1" s="1"/>
  <c r="X821" i="1"/>
  <c r="Y821" i="1" s="1"/>
  <c r="X637" i="1"/>
  <c r="Y637" i="1" s="1"/>
  <c r="X336" i="1"/>
  <c r="Y336" i="1" s="1"/>
  <c r="X504" i="1"/>
  <c r="Y504" i="1" s="1"/>
  <c r="X321" i="1"/>
  <c r="Y321" i="1" s="1"/>
  <c r="X793" i="1"/>
  <c r="Y793" i="1" s="1"/>
  <c r="X758" i="1"/>
  <c r="Y758" i="1" s="1"/>
  <c r="X844" i="1"/>
  <c r="X843" i="1"/>
</calcChain>
</file>

<file path=xl/comments1.xml><?xml version="1.0" encoding="utf-8"?>
<comments xmlns="http://schemas.openxmlformats.org/spreadsheetml/2006/main">
  <authors>
    <author>Ронгонен Анатолий Викторович</author>
  </authors>
  <commentList>
    <comment ref="W1" authorId="0" shapeId="0">
      <text>
        <r>
          <rPr>
            <b/>
            <sz val="9"/>
            <color indexed="81"/>
            <rFont val="Tahoma"/>
            <family val="2"/>
            <charset val="204"/>
          </rPr>
          <t>Стрелки должны быть в " ".Правильно:
A_--&gt;_B
Неправильно:
A--&gt;B</t>
        </r>
      </text>
    </comment>
  </commentList>
</comments>
</file>

<file path=xl/sharedStrings.xml><?xml version="1.0" encoding="utf-8"?>
<sst xmlns="http://schemas.openxmlformats.org/spreadsheetml/2006/main" count="1715" uniqueCount="31">
  <si>
    <t>стр1</t>
  </si>
  <si>
    <t>стр2</t>
  </si>
  <si>
    <t>АС</t>
  </si>
  <si>
    <t>Наим</t>
  </si>
  <si>
    <t>поз2</t>
  </si>
  <si>
    <t>Заменить из "Наим"</t>
  </si>
  <si>
    <t>Trim</t>
  </si>
  <si>
    <t>стили</t>
  </si>
  <si>
    <t>Позиция "AS"</t>
  </si>
  <si>
    <t>2. Выбрать "+"</t>
  </si>
  <si>
    <t xml:space="preserve">rnote over </t>
  </si>
  <si>
    <t xml:space="preserve"> &lt;&lt;noBack&gt;&gt; &lt;&lt;fontSmall&gt;&gt;: </t>
  </si>
  <si>
    <t>Позиция разделителя после второй АС</t>
  </si>
  <si>
    <t>Первая АС</t>
  </si>
  <si>
    <t>Вторая АС</t>
  </si>
  <si>
    <t>Позиция "as"</t>
  </si>
  <si>
    <t>"&lt;&lt;", "&gt;&gt;", "--" замена на одинарные</t>
  </si>
  <si>
    <t>раздеитель после псевдонима АС</t>
  </si>
  <si>
    <t>АС есть в интеграциях</t>
  </si>
  <si>
    <t>Используется (beta) (снять фильтр при потерях)</t>
  </si>
  <si>
    <t>Нет</t>
  </si>
  <si>
    <t>Позиция " " 1</t>
  </si>
  <si>
    <t>Позиция " " 2</t>
  </si>
  <si>
    <t>Позиция " " 3</t>
  </si>
  <si>
    <t>X</t>
  </si>
  <si>
    <t>Заголовок из предыдущего комментария</t>
  </si>
  <si>
    <t>строка заголовка без учета комментария из предыдущей строки</t>
  </si>
  <si>
    <t>1. Вставить код диаграммы в этот столбец (до 800 строк)</t>
  </si>
  <si>
    <t>3. Скопировать блок промежуточных заголовков отсюда</t>
  </si>
  <si>
    <t>5. Выйти из формы без сохранения для подготовки к следующему использованию.</t>
  </si>
  <si>
    <t>4. Вставить текст в UML диаграмму, для удобства скроллинга. Отредактировать, при необходимости, по месту.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</si>
</sst>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Protection="1">
      <protection locked="0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2</xdr:row>
      <xdr:rowOff>0</xdr:rowOff>
    </xdr:from>
    <xdr:to>
      <xdr:col>18</xdr:col>
      <xdr:colOff>419100</xdr:colOff>
      <xdr:row>27</xdr:row>
      <xdr:rowOff>91440</xdr:rowOff>
    </xdr:to>
    <xdr:sp macro="" textlink="">
      <xdr:nvSpPr>
        <xdr:cNvPr id="2" name="TextBox 1"/>
        <xdr:cNvSpPr txBox="1"/>
      </xdr:nvSpPr>
      <xdr:spPr>
        <a:xfrm>
          <a:off x="426720" y="365760"/>
          <a:ext cx="10965180" cy="466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Форма предназначена для формирования промежуточных заголовков в </a:t>
          </a:r>
          <a:r>
            <a:rPr lang="en-US" sz="1100"/>
            <a:t>Sequence </a:t>
          </a:r>
          <a:r>
            <a:rPr lang="ru-RU" sz="1100"/>
            <a:t>описанной</a:t>
          </a:r>
          <a:r>
            <a:rPr lang="ru-RU" sz="1100" baseline="0"/>
            <a:t> в синтаксисе </a:t>
          </a:r>
          <a:r>
            <a:rPr lang="en-US" sz="1100" baseline="0"/>
            <a:t>PlantUML</a:t>
          </a:r>
          <a:r>
            <a:rPr lang="ru-RU" sz="1100"/>
            <a:t>.</a:t>
          </a:r>
        </a:p>
        <a:p>
          <a:r>
            <a:rPr lang="ru-RU" sz="1100" b="1"/>
            <a:t>Порядок формирования заголовков:</a:t>
          </a:r>
        </a:p>
        <a:p>
          <a:r>
            <a:rPr lang="ru-RU" sz="1100"/>
            <a:t>   1.</a:t>
          </a:r>
          <a:r>
            <a:rPr lang="ru-RU" sz="1100" baseline="0"/>
            <a:t> Открыть форму в </a:t>
          </a:r>
          <a:r>
            <a:rPr lang="en-US" sz="1100" baseline="0"/>
            <a:t>MS Excel/</a:t>
          </a:r>
          <a:r>
            <a:rPr lang="ru-RU" sz="1100" baseline="0"/>
            <a:t>Р7</a:t>
          </a:r>
          <a:r>
            <a:rPr lang="en-US" sz="1100" baseline="0"/>
            <a:t> Office</a:t>
          </a:r>
          <a:r>
            <a:rPr lang="ru-RU" sz="1100" baseline="0"/>
            <a:t>/</a:t>
          </a:r>
          <a:r>
            <a:rPr lang="en-US" sz="1100" baseline="0"/>
            <a:t>Libre Office</a:t>
          </a:r>
        </a:p>
        <a:p>
          <a:r>
            <a:rPr lang="ru-RU" sz="1100" baseline="0"/>
            <a:t>   </a:t>
          </a:r>
          <a:r>
            <a:rPr lang="en-US" sz="1100" baseline="0"/>
            <a:t>2</a:t>
          </a:r>
          <a:r>
            <a:rPr lang="ru-RU" sz="1100" baseline="0"/>
            <a:t>. Вставить текст </a:t>
          </a:r>
          <a:r>
            <a:rPr lang="en-US" sz="1100" baseline="0"/>
            <a:t>Sequence </a:t>
          </a:r>
          <a:r>
            <a:rPr lang="ru-RU" sz="1100" baseline="0"/>
            <a:t>диаграммы на Лист "Заголовки" в первый столбец "Вставить код диаграммы в этот столбец (до 800 строк)" </a:t>
          </a:r>
          <a:r>
            <a:rPr lang="en-US" sz="1100" baseline="0"/>
            <a:t>(</a:t>
          </a:r>
          <a:r>
            <a:rPr lang="ru-RU" sz="1100" baseline="0"/>
            <a:t>со строки 2</a:t>
          </a:r>
          <a:r>
            <a:rPr lang="en-US" sz="1100" baseline="0"/>
            <a:t>)</a:t>
          </a:r>
          <a:endParaRPr lang="ru-RU" sz="1100" baseline="0"/>
        </a:p>
        <a:p>
          <a:r>
            <a:rPr lang="ru-RU" sz="1100" baseline="0"/>
            <a:t>   3. Выбрать фильтр "+"  во втором столбце "2. Выбрать "+""</a:t>
          </a:r>
        </a:p>
        <a:p>
          <a:r>
            <a:rPr lang="ru-RU" sz="1100" baseline="0"/>
            <a:t>   4. Текст блока промежуточных заголовков будет расположен с столбце "3. Скопировать блок промежуточных заголовков отсюда"</a:t>
          </a:r>
          <a:endParaRPr lang="en-US" sz="1100" baseline="0"/>
        </a:p>
        <a:p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Функциинальность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формы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>
              <a:effectLst/>
            </a:rPr>
            <a:t>1. Формирование блока промежуточных заголовков</a:t>
          </a:r>
          <a:r>
            <a:rPr lang="ru-RU" baseline="0">
              <a:effectLst/>
            </a:rPr>
            <a:t> из описаний "</a:t>
          </a:r>
          <a:r>
            <a:rPr lang="en-US" baseline="0">
              <a:effectLst/>
            </a:rPr>
            <a:t>parcipant</a:t>
          </a:r>
          <a:r>
            <a:rPr lang="ru-RU" baseline="0">
              <a:effectLst/>
            </a:rPr>
            <a:t>" и "</a:t>
          </a:r>
          <a:r>
            <a:rPr lang="en-US" baseline="0">
              <a:effectLst/>
            </a:rPr>
            <a:t>actor</a:t>
          </a:r>
          <a:r>
            <a:rPr lang="ru-RU" baseline="0">
              <a:effectLst/>
            </a:rPr>
            <a:t>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aseline="0">
              <a:effectLst/>
            </a:rPr>
            <a:t>2. Исключение из заголовков неиспользуемых в диаграмме объектов.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aseline="0">
              <a:effectLst/>
            </a:rPr>
            <a:t>    </a:t>
          </a:r>
          <a:r>
            <a:rPr lang="ru-RU" b="1" baseline="0">
              <a:effectLst/>
            </a:rPr>
            <a:t>Особенности: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aseline="0">
              <a:effectLst/>
            </a:rPr>
            <a:t>    </a:t>
          </a:r>
          <a:r>
            <a:rPr lang="en-US" baseline="0">
              <a:effectLst/>
            </a:rPr>
            <a:t>a.</a:t>
          </a:r>
          <a:r>
            <a:rPr lang="ru-RU" baseline="0">
              <a:effectLst/>
            </a:rPr>
            <a:t> для корректной работы стрелки в диаграмме должны отделяться от объектов проблелами - </a:t>
          </a:r>
          <a:r>
            <a:rPr lang="en-US" baseline="0">
              <a:effectLst/>
            </a:rPr>
            <a:t>Ok</a:t>
          </a:r>
          <a:r>
            <a:rPr lang="ru-RU" baseline="0">
              <a:effectLst/>
            </a:rPr>
            <a:t>:</a:t>
          </a:r>
          <a:r>
            <a:rPr lang="en-US" baseline="0">
              <a:effectLst/>
            </a:rPr>
            <a:t> </a:t>
          </a:r>
          <a:r>
            <a:rPr lang="en-US" sz="11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VD -&gt;&gt; PacToTFS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Не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VD-&gt;&gt;PacToTFS</a:t>
          </a:r>
          <a:endParaRPr lang="ru-RU" b="1" baseline="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baseline="0">
              <a:effectLst/>
            </a:rPr>
            <a:t>    </a:t>
          </a:r>
          <a:r>
            <a:rPr lang="en-US" baseline="0">
              <a:effectLst/>
            </a:rPr>
            <a:t>b. </a:t>
          </a:r>
          <a:r>
            <a:rPr lang="ru-RU" baseline="0">
              <a:effectLst/>
            </a:rPr>
            <a:t>д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ля отключения - снять фильтр в столбце "Используется (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beta) (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снять фильтр при потерях)"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Если наименование объекта слишком длинно, то форма может использовать для  заголовка комментарий с предыдущей описанию объекта строки.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Особенности:</a:t>
          </a:r>
          <a:endParaRPr lang="ru-RU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если на предыдущей строке комментарий отстутсвует - для заголовка используется описание объекта.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'ЦПС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participant "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Центр\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партнерских\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сервисов"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CPS &lt;&lt;sysC&gt;&gt;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7" tint="0.39997558519241921"/>
  </sheetPr>
  <dimension ref="A1:AA844"/>
  <sheetViews>
    <sheetView tabSelected="1" zoomScale="70" zoomScaleNormal="70" workbookViewId="0">
      <selection activeCell="Z1" sqref="Z1"/>
    </sheetView>
  </sheetViews>
  <sheetFormatPr defaultRowHeight="14.4" x14ac:dyDescent="0.3"/>
  <cols>
    <col min="1" max="1" width="40.6640625" customWidth="1"/>
    <col min="2" max="3" width="40.6640625" hidden="1" customWidth="1"/>
    <col min="4" max="4" width="13.109375" hidden="1" customWidth="1"/>
    <col min="5" max="5" width="9.88671875" hidden="1" customWidth="1"/>
    <col min="6" max="6" width="19.44140625" hidden="1" customWidth="1"/>
    <col min="7" max="7" width="19.44140625" customWidth="1"/>
    <col min="8" max="8" width="19.44140625" hidden="1" customWidth="1"/>
    <col min="9" max="22" width="9.109375" hidden="1" customWidth="1"/>
    <col min="23" max="23" width="15.5546875" customWidth="1"/>
    <col min="24" max="24" width="88.6640625" hidden="1" customWidth="1"/>
    <col min="25" max="25" width="88.6640625" customWidth="1"/>
    <col min="26" max="26" width="41.33203125" customWidth="1"/>
    <col min="27" max="27" width="35.5546875" customWidth="1"/>
  </cols>
  <sheetData>
    <row r="1" spans="1:27" s="1" customFormat="1" ht="55.5" customHeight="1" x14ac:dyDescent="0.3">
      <c r="A1" s="3" t="s">
        <v>27</v>
      </c>
      <c r="B1" s="2" t="s">
        <v>6</v>
      </c>
      <c r="C1" s="2" t="s">
        <v>16</v>
      </c>
      <c r="D1" s="2" t="s">
        <v>0</v>
      </c>
      <c r="E1" s="2" t="s">
        <v>1</v>
      </c>
      <c r="F1" s="9" t="s">
        <v>8</v>
      </c>
      <c r="G1" s="6" t="s">
        <v>9</v>
      </c>
      <c r="H1" s="9" t="s">
        <v>7</v>
      </c>
      <c r="I1" s="2" t="s">
        <v>4</v>
      </c>
      <c r="J1" s="2" t="s">
        <v>2</v>
      </c>
      <c r="K1" s="2" t="s">
        <v>3</v>
      </c>
      <c r="L1" s="2" t="s">
        <v>5</v>
      </c>
      <c r="M1" s="2" t="s">
        <v>21</v>
      </c>
      <c r="N1" s="2" t="s">
        <v>22</v>
      </c>
      <c r="O1" s="2" t="s">
        <v>23</v>
      </c>
      <c r="P1" s="10" t="s">
        <v>12</v>
      </c>
      <c r="Q1" s="10" t="s">
        <v>13</v>
      </c>
      <c r="R1" s="10" t="s">
        <v>14</v>
      </c>
      <c r="S1" s="10" t="s">
        <v>25</v>
      </c>
      <c r="T1" s="10" t="s">
        <v>15</v>
      </c>
      <c r="U1" s="10" t="s">
        <v>17</v>
      </c>
      <c r="V1" s="10" t="s">
        <v>18</v>
      </c>
      <c r="W1" s="12" t="s">
        <v>19</v>
      </c>
      <c r="X1" s="7" t="s">
        <v>26</v>
      </c>
      <c r="Y1" s="7" t="s">
        <v>28</v>
      </c>
      <c r="Z1" s="8" t="s">
        <v>30</v>
      </c>
      <c r="AA1" s="8" t="s">
        <v>29</v>
      </c>
    </row>
    <row r="2" spans="1:27" x14ac:dyDescent="0.3">
      <c r="A2" s="11"/>
      <c r="B2" s="5" t="str">
        <f>TRIM(LEFT(A2,IFERROR(FIND("'",A2)-1,1000)))</f>
        <v/>
      </c>
      <c r="C2" s="5" t="str">
        <f>SUBSTITUTE(SUBSTITUTE(SUBSTITUTE(SUBSTITUTE(TRIM(LEFT(A2,IFERROR(FIND("'",A2)-1,1000))),"&lt;&lt;","&lt;"),"--","-"),"&gt;&gt;","&gt;"),"&amp;","")</f>
        <v/>
      </c>
      <c r="D2" s="4" t="s">
        <v>10</v>
      </c>
      <c r="E2" s="4" t="s">
        <v>11</v>
      </c>
      <c r="F2" s="4" t="str">
        <f>IFERROR(SEARCH(" as ",B2),"!!!")</f>
        <v>!!!</v>
      </c>
      <c r="G2" s="4" t="str">
        <f>IF(AND($A$2="",$A$3="",$A$4="",$A$5=""),"+",IF(F2="!!!","X","+"))</f>
        <v>+</v>
      </c>
      <c r="H2" s="4"/>
      <c r="I2" s="4" t="str">
        <f>IFERROR(SEARCH(" ",B2),"!!!")</f>
        <v>!!!</v>
      </c>
      <c r="J2" s="4" t="e">
        <f>RIGHT(B2,LEN(B2)-F2-3)</f>
        <v>#VALUE!</v>
      </c>
      <c r="K2" s="4" t="e">
        <f>MID(B2,I2+1,F2-I2)</f>
        <v>#VALUE!</v>
      </c>
      <c r="L2" s="4" t="e">
        <f>MID(B2,I2+1,F2-I2)</f>
        <v>#VALUE!</v>
      </c>
      <c r="M2" s="4">
        <f>MIN(IFERROR(FIND(" ",$C2),1000))</f>
        <v>1000</v>
      </c>
      <c r="N2" s="4">
        <f>MIN(IFERROR(FIND(" ",$C2,M2+1),1000))</f>
        <v>1000</v>
      </c>
      <c r="O2" s="4">
        <f>MIN(IFERROR(FIND(" ",$C2,N2+1),1000))</f>
        <v>1000</v>
      </c>
      <c r="P2" s="4">
        <f>MIN(IFERROR(FIND(" ",C2,O2+1),0),IFERROR(FIND("&lt;",C2,O2+1),0),IFERROR(FIND(":",C2,O2+1),0))</f>
        <v>0</v>
      </c>
      <c r="Q2" s="4" t="str">
        <f t="shared" ref="Q2:Q65" si="0">LEFT(C2,M2-1)</f>
        <v/>
      </c>
      <c r="R2" s="4" t="str">
        <f t="shared" ref="R2:R65" si="1">IFERROR(MID(C2,N2+1,O2-N2-1),"")</f>
        <v/>
      </c>
      <c r="S2" s="4" t="str">
        <f t="shared" ref="S2:S65" si="2">IFERROR(IF(LEFT(A1,1)="'",SUBSTITUTE(A1,"'",""),""),"")</f>
        <v/>
      </c>
      <c r="T2" s="4" t="e">
        <f>FIND(" ",C2,FIND("as",C2))+1</f>
        <v>#VALUE!</v>
      </c>
      <c r="U2" s="4" t="e">
        <f>MID(C2,T2,MIN(FIND(" ",C2,T2),FIND("&lt;",C2,T2))-T2)</f>
        <v>#VALUE!</v>
      </c>
      <c r="V2" s="4" t="b">
        <f t="shared" ref="V2:V65" si="3">OR(IFERROR(MATCH(U2,Q:Q,0),0)&lt;&gt;0,IFERROR(MATCH(U2,R:R,0),0)&lt;&gt;0)</f>
        <v>0</v>
      </c>
      <c r="W2" s="13" t="str">
        <f t="shared" ref="W2:W65" si="4">IF(A2="","Да",IF(OR(F2="!!!",NOT(V2)),"Нет","Да"))</f>
        <v>Да</v>
      </c>
      <c r="X2" s="4" t="e">
        <f>(IF(COUNTIFS($G$2:G2,"+",$W$2:W2,"Да")&gt;1,"&amp; ","")&amp;D2&amp;J2&amp;E2&amp;SUBSTITUTE(L2,"""",""))</f>
        <v>#VALUE!</v>
      </c>
      <c r="Y2" s="4" t="e">
        <f t="shared" ref="Y2:Y65" si="5">IF(S2="",X2,LEFT(X2,FIND(":",X2))&amp;" "&amp;S2)</f>
        <v>#VALUE!</v>
      </c>
    </row>
    <row r="3" spans="1:27" x14ac:dyDescent="0.3">
      <c r="A3" s="11"/>
      <c r="B3" s="5" t="str">
        <f t="shared" ref="B3:B66" si="6">TRIM(LEFT(A3,IFERROR(FIND("'",A3)-1,1000)))</f>
        <v/>
      </c>
      <c r="C3" s="5" t="str">
        <f t="shared" ref="C3:C66" si="7">SUBSTITUTE(SUBSTITUTE(SUBSTITUTE(SUBSTITUTE(TRIM(LEFT(A3,IFERROR(FIND("'",A3)-1,1000))),"&lt;&lt;","&lt;"),"--","-"),"&gt;&gt;","&gt;"),"&amp;","")</f>
        <v/>
      </c>
      <c r="D3" s="4" t="s">
        <v>10</v>
      </c>
      <c r="E3" s="4" t="s">
        <v>11</v>
      </c>
      <c r="F3" s="4" t="str">
        <f t="shared" ref="F3:F66" si="8">IFERROR(SEARCH(" as ",B3),"!!!")</f>
        <v>!!!</v>
      </c>
      <c r="G3" s="4" t="str">
        <f t="shared" ref="G3:G66" si="9">IF(AND($A$2="",$A$3="",$A$4="",$A$5=""),"+",IF(F3="!!!","X","+"))</f>
        <v>+</v>
      </c>
      <c r="H3" s="4"/>
      <c r="I3" s="4" t="str">
        <f t="shared" ref="I3:I66" si="10">IFERROR(SEARCH(" ",B3),"!!!")</f>
        <v>!!!</v>
      </c>
      <c r="J3" s="4" t="e">
        <f t="shared" ref="J3:J66" si="11">RIGHT(B3,LEN(B3)-F3-3)</f>
        <v>#VALUE!</v>
      </c>
      <c r="K3" s="4" t="e">
        <f t="shared" ref="K3:K66" si="12">MID(B3,I3+1,F3-I3)</f>
        <v>#VALUE!</v>
      </c>
      <c r="L3" s="4" t="e">
        <f t="shared" ref="L3:L66" si="13">MID(B3,I3+1,F3-I3)</f>
        <v>#VALUE!</v>
      </c>
      <c r="M3" s="4">
        <f t="shared" ref="M3:M66" si="14">MIN(IFERROR(FIND(" ",$C3),1000))</f>
        <v>1000</v>
      </c>
      <c r="N3" s="4">
        <f t="shared" ref="N3:O3" si="15">MIN(IFERROR(FIND(" ",$C3,M3+1),1000))</f>
        <v>1000</v>
      </c>
      <c r="O3" s="4">
        <f t="shared" si="15"/>
        <v>1000</v>
      </c>
      <c r="P3" s="4">
        <f t="shared" ref="P3:P66" si="16">MIN(IFERROR(FIND(" ",C3,O3+1),0),IFERROR(FIND("&lt;",C3,O3+1),0),IFERROR(FIND(":",C3,O3+1),0))</f>
        <v>0</v>
      </c>
      <c r="Q3" s="4" t="str">
        <f t="shared" si="0"/>
        <v/>
      </c>
      <c r="R3" s="4" t="str">
        <f t="shared" si="1"/>
        <v/>
      </c>
      <c r="S3" s="4" t="str">
        <f t="shared" si="2"/>
        <v/>
      </c>
      <c r="T3" s="4" t="e">
        <f t="shared" ref="T3:T66" si="17">FIND(" ",C3,FIND("as",C3))+1</f>
        <v>#VALUE!</v>
      </c>
      <c r="U3" s="4" t="e">
        <f t="shared" ref="U3:U66" si="18">MID(C3,T3,MIN(FIND(" ",C3,T3),FIND("&lt;",C3,T3))-T3)</f>
        <v>#VALUE!</v>
      </c>
      <c r="V3" s="4" t="b">
        <f t="shared" si="3"/>
        <v>0</v>
      </c>
      <c r="W3" s="13" t="str">
        <f t="shared" si="4"/>
        <v>Да</v>
      </c>
      <c r="X3" s="4" t="e">
        <f>(IF(COUNTIFS($G$2:G3,"+",$W$2:W3,"Да")&gt;1,"&amp; ","")&amp;D3&amp;J3&amp;E3&amp;SUBSTITUTE(L3,"""",""))</f>
        <v>#VALUE!</v>
      </c>
      <c r="Y3" s="4" t="e">
        <f t="shared" si="5"/>
        <v>#VALUE!</v>
      </c>
    </row>
    <row r="4" spans="1:27" x14ac:dyDescent="0.3">
      <c r="A4" s="11"/>
      <c r="B4" s="5" t="str">
        <f t="shared" si="6"/>
        <v/>
      </c>
      <c r="C4" s="5" t="str">
        <f t="shared" si="7"/>
        <v/>
      </c>
      <c r="D4" s="4" t="s">
        <v>10</v>
      </c>
      <c r="E4" s="4" t="s">
        <v>11</v>
      </c>
      <c r="F4" s="4" t="str">
        <f t="shared" si="8"/>
        <v>!!!</v>
      </c>
      <c r="G4" s="4" t="str">
        <f t="shared" si="9"/>
        <v>+</v>
      </c>
      <c r="H4" s="4"/>
      <c r="I4" s="4" t="str">
        <f t="shared" si="10"/>
        <v>!!!</v>
      </c>
      <c r="J4" s="4" t="e">
        <f t="shared" si="11"/>
        <v>#VALUE!</v>
      </c>
      <c r="K4" s="4" t="e">
        <f t="shared" si="12"/>
        <v>#VALUE!</v>
      </c>
      <c r="L4" s="4" t="e">
        <f t="shared" si="13"/>
        <v>#VALUE!</v>
      </c>
      <c r="M4" s="4">
        <f t="shared" si="14"/>
        <v>1000</v>
      </c>
      <c r="N4" s="4">
        <f t="shared" ref="N4:O4" si="19">MIN(IFERROR(FIND(" ",$C4,M4+1),1000))</f>
        <v>1000</v>
      </c>
      <c r="O4" s="4">
        <f t="shared" si="19"/>
        <v>1000</v>
      </c>
      <c r="P4" s="4">
        <f t="shared" si="16"/>
        <v>0</v>
      </c>
      <c r="Q4" s="4" t="str">
        <f t="shared" si="0"/>
        <v/>
      </c>
      <c r="R4" s="4" t="str">
        <f t="shared" si="1"/>
        <v/>
      </c>
      <c r="S4" s="4" t="str">
        <f t="shared" si="2"/>
        <v/>
      </c>
      <c r="T4" s="4" t="e">
        <f t="shared" si="17"/>
        <v>#VALUE!</v>
      </c>
      <c r="U4" s="4" t="e">
        <f t="shared" si="18"/>
        <v>#VALUE!</v>
      </c>
      <c r="V4" s="4" t="b">
        <f t="shared" si="3"/>
        <v>0</v>
      </c>
      <c r="W4" s="13" t="str">
        <f t="shared" si="4"/>
        <v>Да</v>
      </c>
      <c r="X4" s="4" t="e">
        <f>(IF(COUNTIFS($G$2:G4,"+",$W$2:W4,"Да")&gt;1,"&amp; ","")&amp;D4&amp;J4&amp;E4&amp;SUBSTITUTE(L4,"""",""))</f>
        <v>#VALUE!</v>
      </c>
      <c r="Y4" s="4" t="e">
        <f t="shared" si="5"/>
        <v>#VALUE!</v>
      </c>
    </row>
    <row r="5" spans="1:27" x14ac:dyDescent="0.3">
      <c r="A5" s="11"/>
      <c r="B5" s="5" t="str">
        <f t="shared" si="6"/>
        <v/>
      </c>
      <c r="C5" s="5" t="str">
        <f t="shared" si="7"/>
        <v/>
      </c>
      <c r="D5" s="4" t="s">
        <v>10</v>
      </c>
      <c r="E5" s="4" t="s">
        <v>11</v>
      </c>
      <c r="F5" s="4" t="str">
        <f t="shared" si="8"/>
        <v>!!!</v>
      </c>
      <c r="G5" s="4" t="str">
        <f t="shared" si="9"/>
        <v>+</v>
      </c>
      <c r="H5" s="4"/>
      <c r="I5" s="4" t="str">
        <f t="shared" si="10"/>
        <v>!!!</v>
      </c>
      <c r="J5" s="4" t="e">
        <f t="shared" si="11"/>
        <v>#VALUE!</v>
      </c>
      <c r="K5" s="4" t="e">
        <f t="shared" si="12"/>
        <v>#VALUE!</v>
      </c>
      <c r="L5" s="4" t="e">
        <f t="shared" si="13"/>
        <v>#VALUE!</v>
      </c>
      <c r="M5" s="4">
        <f t="shared" si="14"/>
        <v>1000</v>
      </c>
      <c r="N5" s="4">
        <f t="shared" ref="N5:O5" si="20">MIN(IFERROR(FIND(" ",$C5,M5+1),1000))</f>
        <v>1000</v>
      </c>
      <c r="O5" s="4">
        <f t="shared" si="20"/>
        <v>1000</v>
      </c>
      <c r="P5" s="4">
        <f t="shared" si="16"/>
        <v>0</v>
      </c>
      <c r="Q5" s="4" t="str">
        <f t="shared" si="0"/>
        <v/>
      </c>
      <c r="R5" s="4" t="str">
        <f t="shared" si="1"/>
        <v/>
      </c>
      <c r="S5" s="4" t="str">
        <f t="shared" si="2"/>
        <v/>
      </c>
      <c r="T5" s="4" t="e">
        <f t="shared" si="17"/>
        <v>#VALUE!</v>
      </c>
      <c r="U5" s="4" t="e">
        <f t="shared" si="18"/>
        <v>#VALUE!</v>
      </c>
      <c r="V5" s="4" t="b">
        <f t="shared" si="3"/>
        <v>0</v>
      </c>
      <c r="W5" s="13" t="str">
        <f t="shared" si="4"/>
        <v>Да</v>
      </c>
      <c r="X5" s="4" t="e">
        <f>(IF(COUNTIFS($G$2:G5,"+",$W$2:W5,"Да")&gt;1,"&amp; ","")&amp;D5&amp;J5&amp;E5&amp;SUBSTITUTE(L5,"""",""))</f>
        <v>#VALUE!</v>
      </c>
      <c r="Y5" s="4" t="e">
        <f t="shared" si="5"/>
        <v>#VALUE!</v>
      </c>
    </row>
    <row r="6" spans="1:27" x14ac:dyDescent="0.3">
      <c r="A6" s="11"/>
      <c r="B6" s="5" t="str">
        <f t="shared" si="6"/>
        <v/>
      </c>
      <c r="C6" s="5" t="str">
        <f t="shared" si="7"/>
        <v/>
      </c>
      <c r="D6" s="4" t="s">
        <v>10</v>
      </c>
      <c r="E6" s="4" t="s">
        <v>11</v>
      </c>
      <c r="F6" s="4" t="str">
        <f t="shared" si="8"/>
        <v>!!!</v>
      </c>
      <c r="G6" s="4" t="str">
        <f t="shared" si="9"/>
        <v>+</v>
      </c>
      <c r="H6" s="4"/>
      <c r="I6" s="4" t="str">
        <f t="shared" si="10"/>
        <v>!!!</v>
      </c>
      <c r="J6" s="4" t="e">
        <f t="shared" si="11"/>
        <v>#VALUE!</v>
      </c>
      <c r="K6" s="4" t="e">
        <f t="shared" si="12"/>
        <v>#VALUE!</v>
      </c>
      <c r="L6" s="4" t="e">
        <f t="shared" si="13"/>
        <v>#VALUE!</v>
      </c>
      <c r="M6" s="4">
        <f t="shared" si="14"/>
        <v>1000</v>
      </c>
      <c r="N6" s="4">
        <f t="shared" ref="N6:O6" si="21">MIN(IFERROR(FIND(" ",$C6,M6+1),1000))</f>
        <v>1000</v>
      </c>
      <c r="O6" s="4">
        <f t="shared" si="21"/>
        <v>1000</v>
      </c>
      <c r="P6" s="4">
        <f t="shared" si="16"/>
        <v>0</v>
      </c>
      <c r="Q6" s="4" t="str">
        <f t="shared" si="0"/>
        <v/>
      </c>
      <c r="R6" s="4" t="str">
        <f t="shared" si="1"/>
        <v/>
      </c>
      <c r="S6" s="4" t="str">
        <f t="shared" si="2"/>
        <v/>
      </c>
      <c r="T6" s="4" t="e">
        <f t="shared" si="17"/>
        <v>#VALUE!</v>
      </c>
      <c r="U6" s="4" t="e">
        <f t="shared" si="18"/>
        <v>#VALUE!</v>
      </c>
      <c r="V6" s="4" t="b">
        <f t="shared" si="3"/>
        <v>0</v>
      </c>
      <c r="W6" s="13" t="str">
        <f t="shared" si="4"/>
        <v>Да</v>
      </c>
      <c r="X6" s="4" t="e">
        <f>(IF(COUNTIFS($G$2:G6,"+",$W$2:W6,"Да")&gt;1,"&amp; ","")&amp;D6&amp;J6&amp;E6&amp;SUBSTITUTE(L6,"""",""))</f>
        <v>#VALUE!</v>
      </c>
      <c r="Y6" s="4" t="e">
        <f t="shared" si="5"/>
        <v>#VALUE!</v>
      </c>
    </row>
    <row r="7" spans="1:27" x14ac:dyDescent="0.3">
      <c r="A7" s="11"/>
      <c r="B7" s="5" t="str">
        <f t="shared" si="6"/>
        <v/>
      </c>
      <c r="C7" s="5" t="str">
        <f t="shared" si="7"/>
        <v/>
      </c>
      <c r="D7" s="4" t="s">
        <v>10</v>
      </c>
      <c r="E7" s="4" t="s">
        <v>11</v>
      </c>
      <c r="F7" s="4" t="str">
        <f t="shared" si="8"/>
        <v>!!!</v>
      </c>
      <c r="G7" s="4" t="str">
        <f t="shared" si="9"/>
        <v>+</v>
      </c>
      <c r="H7" s="4"/>
      <c r="I7" s="4" t="str">
        <f t="shared" si="10"/>
        <v>!!!</v>
      </c>
      <c r="J7" s="4" t="e">
        <f t="shared" si="11"/>
        <v>#VALUE!</v>
      </c>
      <c r="K7" s="4" t="e">
        <f t="shared" si="12"/>
        <v>#VALUE!</v>
      </c>
      <c r="L7" s="4" t="e">
        <f t="shared" si="13"/>
        <v>#VALUE!</v>
      </c>
      <c r="M7" s="4">
        <f t="shared" si="14"/>
        <v>1000</v>
      </c>
      <c r="N7" s="4">
        <f t="shared" ref="N7:O7" si="22">MIN(IFERROR(FIND(" ",$C7,M7+1),1000))</f>
        <v>1000</v>
      </c>
      <c r="O7" s="4">
        <f t="shared" si="22"/>
        <v>1000</v>
      </c>
      <c r="P7" s="4">
        <f t="shared" si="16"/>
        <v>0</v>
      </c>
      <c r="Q7" s="4" t="str">
        <f t="shared" si="0"/>
        <v/>
      </c>
      <c r="R7" s="4" t="str">
        <f t="shared" si="1"/>
        <v/>
      </c>
      <c r="S7" s="4" t="str">
        <f t="shared" si="2"/>
        <v/>
      </c>
      <c r="T7" s="4" t="e">
        <f t="shared" si="17"/>
        <v>#VALUE!</v>
      </c>
      <c r="U7" s="4" t="e">
        <f t="shared" si="18"/>
        <v>#VALUE!</v>
      </c>
      <c r="V7" s="4" t="b">
        <f t="shared" si="3"/>
        <v>0</v>
      </c>
      <c r="W7" s="13" t="str">
        <f t="shared" si="4"/>
        <v>Да</v>
      </c>
      <c r="X7" s="4" t="e">
        <f>(IF(COUNTIFS($G$2:G7,"+",$W$2:W7,"Да")&gt;1,"&amp; ","")&amp;D7&amp;J7&amp;E7&amp;SUBSTITUTE(L7,"""",""))</f>
        <v>#VALUE!</v>
      </c>
      <c r="Y7" s="4" t="e">
        <f t="shared" si="5"/>
        <v>#VALUE!</v>
      </c>
    </row>
    <row r="8" spans="1:27" x14ac:dyDescent="0.3">
      <c r="A8" s="11"/>
      <c r="B8" s="5" t="str">
        <f t="shared" si="6"/>
        <v/>
      </c>
      <c r="C8" s="5" t="str">
        <f t="shared" si="7"/>
        <v/>
      </c>
      <c r="D8" s="4" t="s">
        <v>10</v>
      </c>
      <c r="E8" s="4" t="s">
        <v>11</v>
      </c>
      <c r="F8" s="4" t="str">
        <f t="shared" si="8"/>
        <v>!!!</v>
      </c>
      <c r="G8" s="4" t="str">
        <f t="shared" si="9"/>
        <v>+</v>
      </c>
      <c r="H8" s="4"/>
      <c r="I8" s="4" t="str">
        <f t="shared" si="10"/>
        <v>!!!</v>
      </c>
      <c r="J8" s="4" t="e">
        <f t="shared" si="11"/>
        <v>#VALUE!</v>
      </c>
      <c r="K8" s="4" t="e">
        <f t="shared" si="12"/>
        <v>#VALUE!</v>
      </c>
      <c r="L8" s="4" t="e">
        <f t="shared" si="13"/>
        <v>#VALUE!</v>
      </c>
      <c r="M8" s="4">
        <f t="shared" si="14"/>
        <v>1000</v>
      </c>
      <c r="N8" s="4">
        <f t="shared" ref="N8:O8" si="23">MIN(IFERROR(FIND(" ",$C8,M8+1),1000))</f>
        <v>1000</v>
      </c>
      <c r="O8" s="4">
        <f t="shared" si="23"/>
        <v>1000</v>
      </c>
      <c r="P8" s="4">
        <f t="shared" si="16"/>
        <v>0</v>
      </c>
      <c r="Q8" s="4" t="str">
        <f t="shared" si="0"/>
        <v/>
      </c>
      <c r="R8" s="4" t="str">
        <f t="shared" si="1"/>
        <v/>
      </c>
      <c r="S8" s="4" t="str">
        <f t="shared" si="2"/>
        <v/>
      </c>
      <c r="T8" s="4" t="e">
        <f t="shared" si="17"/>
        <v>#VALUE!</v>
      </c>
      <c r="U8" s="4" t="e">
        <f t="shared" si="18"/>
        <v>#VALUE!</v>
      </c>
      <c r="V8" s="4" t="b">
        <f t="shared" si="3"/>
        <v>0</v>
      </c>
      <c r="W8" s="13" t="str">
        <f t="shared" si="4"/>
        <v>Да</v>
      </c>
      <c r="X8" s="4" t="e">
        <f>(IF(COUNTIFS($G$2:G8,"+",$W$2:W8,"Да")&gt;1,"&amp; ","")&amp;D8&amp;J8&amp;E8&amp;SUBSTITUTE(L8,"""",""))</f>
        <v>#VALUE!</v>
      </c>
      <c r="Y8" s="4" t="e">
        <f t="shared" si="5"/>
        <v>#VALUE!</v>
      </c>
    </row>
    <row r="9" spans="1:27" x14ac:dyDescent="0.3">
      <c r="A9" s="11"/>
      <c r="B9" s="5" t="str">
        <f t="shared" si="6"/>
        <v/>
      </c>
      <c r="C9" s="5" t="str">
        <f t="shared" si="7"/>
        <v/>
      </c>
      <c r="D9" s="4" t="s">
        <v>10</v>
      </c>
      <c r="E9" s="4" t="s">
        <v>11</v>
      </c>
      <c r="F9" s="4" t="str">
        <f t="shared" si="8"/>
        <v>!!!</v>
      </c>
      <c r="G9" s="4" t="str">
        <f t="shared" si="9"/>
        <v>+</v>
      </c>
      <c r="H9" s="4"/>
      <c r="I9" s="4" t="str">
        <f t="shared" si="10"/>
        <v>!!!</v>
      </c>
      <c r="J9" s="4" t="e">
        <f t="shared" si="11"/>
        <v>#VALUE!</v>
      </c>
      <c r="K9" s="4" t="e">
        <f t="shared" si="12"/>
        <v>#VALUE!</v>
      </c>
      <c r="L9" s="4" t="e">
        <f t="shared" si="13"/>
        <v>#VALUE!</v>
      </c>
      <c r="M9" s="4">
        <f t="shared" si="14"/>
        <v>1000</v>
      </c>
      <c r="N9" s="4">
        <f t="shared" ref="N9:O9" si="24">MIN(IFERROR(FIND(" ",$C9,M9+1),1000))</f>
        <v>1000</v>
      </c>
      <c r="O9" s="4">
        <f t="shared" si="24"/>
        <v>1000</v>
      </c>
      <c r="P9" s="4">
        <f t="shared" si="16"/>
        <v>0</v>
      </c>
      <c r="Q9" s="4" t="str">
        <f t="shared" si="0"/>
        <v/>
      </c>
      <c r="R9" s="4" t="str">
        <f t="shared" si="1"/>
        <v/>
      </c>
      <c r="S9" s="4" t="str">
        <f t="shared" si="2"/>
        <v/>
      </c>
      <c r="T9" s="4" t="e">
        <f t="shared" si="17"/>
        <v>#VALUE!</v>
      </c>
      <c r="U9" s="4" t="e">
        <f t="shared" si="18"/>
        <v>#VALUE!</v>
      </c>
      <c r="V9" s="4" t="b">
        <f t="shared" si="3"/>
        <v>0</v>
      </c>
      <c r="W9" s="13" t="str">
        <f t="shared" si="4"/>
        <v>Да</v>
      </c>
      <c r="X9" s="4" t="e">
        <f>(IF(COUNTIFS($G$2:G9,"+",$W$2:W9,"Да")&gt;1,"&amp; ","")&amp;D9&amp;J9&amp;E9&amp;SUBSTITUTE(L9,"""",""))</f>
        <v>#VALUE!</v>
      </c>
      <c r="Y9" s="4" t="e">
        <f t="shared" si="5"/>
        <v>#VALUE!</v>
      </c>
    </row>
    <row r="10" spans="1:27" x14ac:dyDescent="0.3">
      <c r="A10" s="11"/>
      <c r="B10" s="5" t="str">
        <f t="shared" si="6"/>
        <v/>
      </c>
      <c r="C10" s="5" t="str">
        <f t="shared" si="7"/>
        <v/>
      </c>
      <c r="D10" s="4" t="s">
        <v>10</v>
      </c>
      <c r="E10" s="4" t="s">
        <v>11</v>
      </c>
      <c r="F10" s="4" t="str">
        <f t="shared" si="8"/>
        <v>!!!</v>
      </c>
      <c r="G10" s="4" t="str">
        <f t="shared" si="9"/>
        <v>+</v>
      </c>
      <c r="H10" s="4"/>
      <c r="I10" s="4" t="str">
        <f t="shared" si="10"/>
        <v>!!!</v>
      </c>
      <c r="J10" s="4" t="e">
        <f t="shared" si="11"/>
        <v>#VALUE!</v>
      </c>
      <c r="K10" s="4" t="e">
        <f t="shared" si="12"/>
        <v>#VALUE!</v>
      </c>
      <c r="L10" s="4" t="e">
        <f t="shared" si="13"/>
        <v>#VALUE!</v>
      </c>
      <c r="M10" s="4">
        <f t="shared" si="14"/>
        <v>1000</v>
      </c>
      <c r="N10" s="4">
        <f t="shared" ref="N10:O10" si="25">MIN(IFERROR(FIND(" ",$C10,M10+1),1000))</f>
        <v>1000</v>
      </c>
      <c r="O10" s="4">
        <f t="shared" si="25"/>
        <v>1000</v>
      </c>
      <c r="P10" s="4">
        <f t="shared" si="16"/>
        <v>0</v>
      </c>
      <c r="Q10" s="4" t="str">
        <f t="shared" si="0"/>
        <v/>
      </c>
      <c r="R10" s="4" t="str">
        <f t="shared" si="1"/>
        <v/>
      </c>
      <c r="S10" s="4" t="str">
        <f t="shared" si="2"/>
        <v/>
      </c>
      <c r="T10" s="4" t="e">
        <f t="shared" si="17"/>
        <v>#VALUE!</v>
      </c>
      <c r="U10" s="4" t="e">
        <f t="shared" si="18"/>
        <v>#VALUE!</v>
      </c>
      <c r="V10" s="4" t="b">
        <f t="shared" si="3"/>
        <v>0</v>
      </c>
      <c r="W10" s="13" t="str">
        <f t="shared" si="4"/>
        <v>Да</v>
      </c>
      <c r="X10" s="4" t="e">
        <f>(IF(COUNTIFS($G$2:G10,"+",$W$2:W10,"Да")&gt;1,"&amp; ","")&amp;D10&amp;J10&amp;E10&amp;SUBSTITUTE(L10,"""",""))</f>
        <v>#VALUE!</v>
      </c>
      <c r="Y10" s="4" t="e">
        <f t="shared" si="5"/>
        <v>#VALUE!</v>
      </c>
    </row>
    <row r="11" spans="1:27" x14ac:dyDescent="0.3">
      <c r="A11" s="11"/>
      <c r="B11" s="5" t="str">
        <f t="shared" si="6"/>
        <v/>
      </c>
      <c r="C11" s="5" t="str">
        <f t="shared" si="7"/>
        <v/>
      </c>
      <c r="D11" s="4" t="s">
        <v>10</v>
      </c>
      <c r="E11" s="4" t="s">
        <v>11</v>
      </c>
      <c r="F11" s="4" t="str">
        <f t="shared" si="8"/>
        <v>!!!</v>
      </c>
      <c r="G11" s="4" t="str">
        <f t="shared" si="9"/>
        <v>+</v>
      </c>
      <c r="H11" s="4"/>
      <c r="I11" s="4" t="str">
        <f t="shared" si="10"/>
        <v>!!!</v>
      </c>
      <c r="J11" s="4" t="e">
        <f t="shared" si="11"/>
        <v>#VALUE!</v>
      </c>
      <c r="K11" s="4" t="e">
        <f t="shared" si="12"/>
        <v>#VALUE!</v>
      </c>
      <c r="L11" s="4" t="e">
        <f t="shared" si="13"/>
        <v>#VALUE!</v>
      </c>
      <c r="M11" s="4">
        <f t="shared" si="14"/>
        <v>1000</v>
      </c>
      <c r="N11" s="4">
        <f t="shared" ref="N11:O11" si="26">MIN(IFERROR(FIND(" ",$C11,M11+1),1000))</f>
        <v>1000</v>
      </c>
      <c r="O11" s="4">
        <f t="shared" si="26"/>
        <v>1000</v>
      </c>
      <c r="P11" s="4">
        <f t="shared" si="16"/>
        <v>0</v>
      </c>
      <c r="Q11" s="4" t="str">
        <f t="shared" si="0"/>
        <v/>
      </c>
      <c r="R11" s="4" t="str">
        <f t="shared" si="1"/>
        <v/>
      </c>
      <c r="S11" s="4" t="str">
        <f t="shared" si="2"/>
        <v/>
      </c>
      <c r="T11" s="4" t="e">
        <f t="shared" si="17"/>
        <v>#VALUE!</v>
      </c>
      <c r="U11" s="4" t="e">
        <f t="shared" si="18"/>
        <v>#VALUE!</v>
      </c>
      <c r="V11" s="4" t="b">
        <f t="shared" si="3"/>
        <v>0</v>
      </c>
      <c r="W11" s="13" t="str">
        <f t="shared" si="4"/>
        <v>Да</v>
      </c>
      <c r="X11" s="4" t="e">
        <f>(IF(COUNTIFS($G$2:G11,"+",$W$2:W11,"Да")&gt;1,"&amp; ","")&amp;D11&amp;J11&amp;E11&amp;SUBSTITUTE(L11,"""",""))</f>
        <v>#VALUE!</v>
      </c>
      <c r="Y11" s="4" t="e">
        <f t="shared" si="5"/>
        <v>#VALUE!</v>
      </c>
    </row>
    <row r="12" spans="1:27" x14ac:dyDescent="0.3">
      <c r="A12" s="11"/>
      <c r="B12" s="5" t="str">
        <f t="shared" si="6"/>
        <v/>
      </c>
      <c r="C12" s="5" t="str">
        <f t="shared" si="7"/>
        <v/>
      </c>
      <c r="D12" s="4" t="s">
        <v>10</v>
      </c>
      <c r="E12" s="4" t="s">
        <v>11</v>
      </c>
      <c r="F12" s="4" t="str">
        <f t="shared" si="8"/>
        <v>!!!</v>
      </c>
      <c r="G12" s="4" t="str">
        <f t="shared" si="9"/>
        <v>+</v>
      </c>
      <c r="H12" s="4"/>
      <c r="I12" s="4" t="str">
        <f t="shared" si="10"/>
        <v>!!!</v>
      </c>
      <c r="J12" s="4" t="e">
        <f t="shared" si="11"/>
        <v>#VALUE!</v>
      </c>
      <c r="K12" s="4" t="e">
        <f t="shared" si="12"/>
        <v>#VALUE!</v>
      </c>
      <c r="L12" s="4" t="e">
        <f t="shared" si="13"/>
        <v>#VALUE!</v>
      </c>
      <c r="M12" s="4">
        <f t="shared" si="14"/>
        <v>1000</v>
      </c>
      <c r="N12" s="4">
        <f t="shared" ref="N12:O12" si="27">MIN(IFERROR(FIND(" ",$C12,M12+1),1000))</f>
        <v>1000</v>
      </c>
      <c r="O12" s="4">
        <f t="shared" si="27"/>
        <v>1000</v>
      </c>
      <c r="P12" s="4">
        <f t="shared" si="16"/>
        <v>0</v>
      </c>
      <c r="Q12" s="4" t="str">
        <f t="shared" si="0"/>
        <v/>
      </c>
      <c r="R12" s="4" t="str">
        <f t="shared" si="1"/>
        <v/>
      </c>
      <c r="S12" s="4" t="str">
        <f t="shared" si="2"/>
        <v/>
      </c>
      <c r="T12" s="4" t="e">
        <f t="shared" si="17"/>
        <v>#VALUE!</v>
      </c>
      <c r="U12" s="4" t="e">
        <f t="shared" si="18"/>
        <v>#VALUE!</v>
      </c>
      <c r="V12" s="4" t="b">
        <f t="shared" si="3"/>
        <v>0</v>
      </c>
      <c r="W12" s="13" t="str">
        <f t="shared" si="4"/>
        <v>Да</v>
      </c>
      <c r="X12" s="4" t="e">
        <f>(IF(COUNTIFS($G$2:G12,"+",$W$2:W12,"Да")&gt;1,"&amp; ","")&amp;D12&amp;J12&amp;E12&amp;SUBSTITUTE(L12,"""",""))</f>
        <v>#VALUE!</v>
      </c>
      <c r="Y12" s="4" t="e">
        <f t="shared" si="5"/>
        <v>#VALUE!</v>
      </c>
    </row>
    <row r="13" spans="1:27" x14ac:dyDescent="0.3">
      <c r="A13" s="11"/>
      <c r="B13" s="5" t="str">
        <f t="shared" si="6"/>
        <v/>
      </c>
      <c r="C13" s="5" t="str">
        <f t="shared" si="7"/>
        <v/>
      </c>
      <c r="D13" s="4" t="s">
        <v>10</v>
      </c>
      <c r="E13" s="4" t="s">
        <v>11</v>
      </c>
      <c r="F13" s="4" t="str">
        <f t="shared" si="8"/>
        <v>!!!</v>
      </c>
      <c r="G13" s="4" t="str">
        <f t="shared" si="9"/>
        <v>+</v>
      </c>
      <c r="H13" s="4"/>
      <c r="I13" s="4" t="str">
        <f t="shared" si="10"/>
        <v>!!!</v>
      </c>
      <c r="J13" s="4" t="e">
        <f t="shared" si="11"/>
        <v>#VALUE!</v>
      </c>
      <c r="K13" s="4" t="e">
        <f t="shared" si="12"/>
        <v>#VALUE!</v>
      </c>
      <c r="L13" s="4" t="e">
        <f t="shared" si="13"/>
        <v>#VALUE!</v>
      </c>
      <c r="M13" s="4">
        <f t="shared" si="14"/>
        <v>1000</v>
      </c>
      <c r="N13" s="4">
        <f t="shared" ref="N13:O13" si="28">MIN(IFERROR(FIND(" ",$C13,M13+1),1000))</f>
        <v>1000</v>
      </c>
      <c r="O13" s="4">
        <f t="shared" si="28"/>
        <v>1000</v>
      </c>
      <c r="P13" s="4">
        <f t="shared" si="16"/>
        <v>0</v>
      </c>
      <c r="Q13" s="4" t="str">
        <f t="shared" si="0"/>
        <v/>
      </c>
      <c r="R13" s="4" t="str">
        <f t="shared" si="1"/>
        <v/>
      </c>
      <c r="S13" s="4" t="str">
        <f t="shared" si="2"/>
        <v/>
      </c>
      <c r="T13" s="4" t="e">
        <f t="shared" si="17"/>
        <v>#VALUE!</v>
      </c>
      <c r="U13" s="4" t="e">
        <f t="shared" si="18"/>
        <v>#VALUE!</v>
      </c>
      <c r="V13" s="4" t="b">
        <f t="shared" si="3"/>
        <v>0</v>
      </c>
      <c r="W13" s="13" t="str">
        <f t="shared" si="4"/>
        <v>Да</v>
      </c>
      <c r="X13" s="4" t="e">
        <f>(IF(COUNTIFS($G$2:G13,"+",$W$2:W13,"Да")&gt;1,"&amp; ","")&amp;D13&amp;J13&amp;E13&amp;SUBSTITUTE(L13,"""",""))</f>
        <v>#VALUE!</v>
      </c>
      <c r="Y13" s="4" t="e">
        <f t="shared" si="5"/>
        <v>#VALUE!</v>
      </c>
    </row>
    <row r="14" spans="1:27" x14ac:dyDescent="0.3">
      <c r="A14" s="11"/>
      <c r="B14" s="5" t="str">
        <f t="shared" si="6"/>
        <v/>
      </c>
      <c r="C14" s="5" t="str">
        <f t="shared" si="7"/>
        <v/>
      </c>
      <c r="D14" s="4" t="s">
        <v>10</v>
      </c>
      <c r="E14" s="4" t="s">
        <v>11</v>
      </c>
      <c r="F14" s="4" t="str">
        <f t="shared" si="8"/>
        <v>!!!</v>
      </c>
      <c r="G14" s="4" t="str">
        <f t="shared" si="9"/>
        <v>+</v>
      </c>
      <c r="H14" s="4"/>
      <c r="I14" s="4" t="str">
        <f t="shared" si="10"/>
        <v>!!!</v>
      </c>
      <c r="J14" s="4" t="e">
        <f t="shared" si="11"/>
        <v>#VALUE!</v>
      </c>
      <c r="K14" s="4" t="e">
        <f t="shared" si="12"/>
        <v>#VALUE!</v>
      </c>
      <c r="L14" s="4" t="e">
        <f t="shared" si="13"/>
        <v>#VALUE!</v>
      </c>
      <c r="M14" s="4">
        <f t="shared" si="14"/>
        <v>1000</v>
      </c>
      <c r="N14" s="4">
        <f t="shared" ref="N14:O14" si="29">MIN(IFERROR(FIND(" ",$C14,M14+1),1000))</f>
        <v>1000</v>
      </c>
      <c r="O14" s="4">
        <f t="shared" si="29"/>
        <v>1000</v>
      </c>
      <c r="P14" s="4">
        <f t="shared" si="16"/>
        <v>0</v>
      </c>
      <c r="Q14" s="4" t="str">
        <f t="shared" si="0"/>
        <v/>
      </c>
      <c r="R14" s="4" t="str">
        <f t="shared" si="1"/>
        <v/>
      </c>
      <c r="S14" s="4" t="str">
        <f t="shared" si="2"/>
        <v/>
      </c>
      <c r="T14" s="4" t="e">
        <f t="shared" si="17"/>
        <v>#VALUE!</v>
      </c>
      <c r="U14" s="4" t="e">
        <f t="shared" si="18"/>
        <v>#VALUE!</v>
      </c>
      <c r="V14" s="4" t="b">
        <f t="shared" si="3"/>
        <v>0</v>
      </c>
      <c r="W14" s="13" t="str">
        <f t="shared" si="4"/>
        <v>Да</v>
      </c>
      <c r="X14" s="4" t="e">
        <f>(IF(COUNTIFS($G$2:G14,"+",$W$2:W14,"Да")&gt;1,"&amp; ","")&amp;D14&amp;J14&amp;E14&amp;SUBSTITUTE(L14,"""",""))</f>
        <v>#VALUE!</v>
      </c>
      <c r="Y14" s="4" t="e">
        <f t="shared" si="5"/>
        <v>#VALUE!</v>
      </c>
    </row>
    <row r="15" spans="1:27" x14ac:dyDescent="0.3">
      <c r="A15" s="11"/>
      <c r="B15" s="5" t="str">
        <f t="shared" si="6"/>
        <v/>
      </c>
      <c r="C15" s="5" t="str">
        <f t="shared" si="7"/>
        <v/>
      </c>
      <c r="D15" s="4" t="s">
        <v>10</v>
      </c>
      <c r="E15" s="4" t="s">
        <v>11</v>
      </c>
      <c r="F15" s="4" t="str">
        <f t="shared" si="8"/>
        <v>!!!</v>
      </c>
      <c r="G15" s="4" t="str">
        <f t="shared" si="9"/>
        <v>+</v>
      </c>
      <c r="H15" s="4"/>
      <c r="I15" s="4" t="str">
        <f t="shared" si="10"/>
        <v>!!!</v>
      </c>
      <c r="J15" s="4" t="e">
        <f t="shared" si="11"/>
        <v>#VALUE!</v>
      </c>
      <c r="K15" s="4" t="e">
        <f t="shared" si="12"/>
        <v>#VALUE!</v>
      </c>
      <c r="L15" s="4" t="e">
        <f t="shared" si="13"/>
        <v>#VALUE!</v>
      </c>
      <c r="M15" s="4">
        <f t="shared" si="14"/>
        <v>1000</v>
      </c>
      <c r="N15" s="4">
        <f t="shared" ref="N15:O15" si="30">MIN(IFERROR(FIND(" ",$C15,M15+1),1000))</f>
        <v>1000</v>
      </c>
      <c r="O15" s="4">
        <f t="shared" si="30"/>
        <v>1000</v>
      </c>
      <c r="P15" s="4">
        <f t="shared" si="16"/>
        <v>0</v>
      </c>
      <c r="Q15" s="4" t="str">
        <f t="shared" si="0"/>
        <v/>
      </c>
      <c r="R15" s="4" t="str">
        <f t="shared" si="1"/>
        <v/>
      </c>
      <c r="S15" s="4" t="str">
        <f t="shared" si="2"/>
        <v/>
      </c>
      <c r="T15" s="4" t="e">
        <f t="shared" si="17"/>
        <v>#VALUE!</v>
      </c>
      <c r="U15" s="4" t="e">
        <f t="shared" si="18"/>
        <v>#VALUE!</v>
      </c>
      <c r="V15" s="4" t="b">
        <f t="shared" si="3"/>
        <v>0</v>
      </c>
      <c r="W15" s="13" t="str">
        <f t="shared" si="4"/>
        <v>Да</v>
      </c>
      <c r="X15" s="4" t="e">
        <f>(IF(COUNTIFS($G$2:G15,"+",$W$2:W15,"Да")&gt;1,"&amp; ","")&amp;D15&amp;J15&amp;E15&amp;SUBSTITUTE(L15,"""",""))</f>
        <v>#VALUE!</v>
      </c>
      <c r="Y15" s="4" t="e">
        <f t="shared" si="5"/>
        <v>#VALUE!</v>
      </c>
    </row>
    <row r="16" spans="1:27" x14ac:dyDescent="0.3">
      <c r="A16" s="11"/>
      <c r="B16" s="5" t="str">
        <f t="shared" si="6"/>
        <v/>
      </c>
      <c r="C16" s="5" t="str">
        <f t="shared" si="7"/>
        <v/>
      </c>
      <c r="D16" s="4" t="s">
        <v>10</v>
      </c>
      <c r="E16" s="4" t="s">
        <v>11</v>
      </c>
      <c r="F16" s="4" t="str">
        <f t="shared" si="8"/>
        <v>!!!</v>
      </c>
      <c r="G16" s="4" t="str">
        <f t="shared" si="9"/>
        <v>+</v>
      </c>
      <c r="H16" s="4"/>
      <c r="I16" s="4" t="str">
        <f t="shared" si="10"/>
        <v>!!!</v>
      </c>
      <c r="J16" s="4" t="e">
        <f t="shared" si="11"/>
        <v>#VALUE!</v>
      </c>
      <c r="K16" s="4" t="e">
        <f t="shared" si="12"/>
        <v>#VALUE!</v>
      </c>
      <c r="L16" s="4" t="e">
        <f t="shared" si="13"/>
        <v>#VALUE!</v>
      </c>
      <c r="M16" s="4">
        <f t="shared" si="14"/>
        <v>1000</v>
      </c>
      <c r="N16" s="4">
        <f t="shared" ref="N16:O16" si="31">MIN(IFERROR(FIND(" ",$C16,M16+1),1000))</f>
        <v>1000</v>
      </c>
      <c r="O16" s="4">
        <f t="shared" si="31"/>
        <v>1000</v>
      </c>
      <c r="P16" s="4">
        <f t="shared" si="16"/>
        <v>0</v>
      </c>
      <c r="Q16" s="4" t="str">
        <f t="shared" si="0"/>
        <v/>
      </c>
      <c r="R16" s="4" t="str">
        <f t="shared" si="1"/>
        <v/>
      </c>
      <c r="S16" s="4" t="str">
        <f t="shared" si="2"/>
        <v/>
      </c>
      <c r="T16" s="4" t="e">
        <f t="shared" si="17"/>
        <v>#VALUE!</v>
      </c>
      <c r="U16" s="4" t="e">
        <f t="shared" si="18"/>
        <v>#VALUE!</v>
      </c>
      <c r="V16" s="4" t="b">
        <f t="shared" si="3"/>
        <v>0</v>
      </c>
      <c r="W16" s="13" t="str">
        <f t="shared" si="4"/>
        <v>Да</v>
      </c>
      <c r="X16" s="4" t="e">
        <f>(IF(COUNTIFS($G$2:G16,"+",$W$2:W16,"Да")&gt;1,"&amp; ","")&amp;D16&amp;J16&amp;E16&amp;SUBSTITUTE(L16,"""",""))</f>
        <v>#VALUE!</v>
      </c>
      <c r="Y16" s="4" t="e">
        <f t="shared" si="5"/>
        <v>#VALUE!</v>
      </c>
    </row>
    <row r="17" spans="1:25" x14ac:dyDescent="0.3">
      <c r="A17" s="11"/>
      <c r="B17" s="5" t="str">
        <f t="shared" si="6"/>
        <v/>
      </c>
      <c r="C17" s="5" t="str">
        <f t="shared" si="7"/>
        <v/>
      </c>
      <c r="D17" s="4" t="s">
        <v>10</v>
      </c>
      <c r="E17" s="4" t="s">
        <v>11</v>
      </c>
      <c r="F17" s="4" t="str">
        <f t="shared" si="8"/>
        <v>!!!</v>
      </c>
      <c r="G17" s="4" t="str">
        <f t="shared" si="9"/>
        <v>+</v>
      </c>
      <c r="H17" s="4"/>
      <c r="I17" s="4" t="str">
        <f t="shared" si="10"/>
        <v>!!!</v>
      </c>
      <c r="J17" s="4" t="e">
        <f t="shared" si="11"/>
        <v>#VALUE!</v>
      </c>
      <c r="K17" s="4" t="e">
        <f t="shared" si="12"/>
        <v>#VALUE!</v>
      </c>
      <c r="L17" s="4" t="e">
        <f t="shared" si="13"/>
        <v>#VALUE!</v>
      </c>
      <c r="M17" s="4">
        <f t="shared" si="14"/>
        <v>1000</v>
      </c>
      <c r="N17" s="4">
        <f t="shared" ref="N17:O17" si="32">MIN(IFERROR(FIND(" ",$C17,M17+1),1000))</f>
        <v>1000</v>
      </c>
      <c r="O17" s="4">
        <f t="shared" si="32"/>
        <v>1000</v>
      </c>
      <c r="P17" s="4">
        <f t="shared" si="16"/>
        <v>0</v>
      </c>
      <c r="Q17" s="4" t="str">
        <f t="shared" si="0"/>
        <v/>
      </c>
      <c r="R17" s="4" t="str">
        <f t="shared" si="1"/>
        <v/>
      </c>
      <c r="S17" s="4" t="str">
        <f t="shared" si="2"/>
        <v/>
      </c>
      <c r="T17" s="4" t="e">
        <f t="shared" si="17"/>
        <v>#VALUE!</v>
      </c>
      <c r="U17" s="4" t="e">
        <f t="shared" si="18"/>
        <v>#VALUE!</v>
      </c>
      <c r="V17" s="4" t="b">
        <f t="shared" si="3"/>
        <v>0</v>
      </c>
      <c r="W17" s="13" t="str">
        <f t="shared" si="4"/>
        <v>Да</v>
      </c>
      <c r="X17" s="4" t="e">
        <f>(IF(COUNTIFS($G$2:G17,"+",$W$2:W17,"Да")&gt;1,"&amp; ","")&amp;D17&amp;J17&amp;E17&amp;SUBSTITUTE(L17,"""",""))</f>
        <v>#VALUE!</v>
      </c>
      <c r="Y17" s="4" t="e">
        <f t="shared" si="5"/>
        <v>#VALUE!</v>
      </c>
    </row>
    <row r="18" spans="1:25" x14ac:dyDescent="0.3">
      <c r="A18" s="11"/>
      <c r="B18" s="5" t="str">
        <f t="shared" si="6"/>
        <v/>
      </c>
      <c r="C18" s="5" t="str">
        <f t="shared" si="7"/>
        <v/>
      </c>
      <c r="D18" s="4" t="s">
        <v>10</v>
      </c>
      <c r="E18" s="4" t="s">
        <v>11</v>
      </c>
      <c r="F18" s="4" t="str">
        <f t="shared" si="8"/>
        <v>!!!</v>
      </c>
      <c r="G18" s="4" t="str">
        <f t="shared" si="9"/>
        <v>+</v>
      </c>
      <c r="H18" s="4"/>
      <c r="I18" s="4" t="str">
        <f t="shared" si="10"/>
        <v>!!!</v>
      </c>
      <c r="J18" s="4" t="e">
        <f t="shared" si="11"/>
        <v>#VALUE!</v>
      </c>
      <c r="K18" s="4" t="e">
        <f t="shared" si="12"/>
        <v>#VALUE!</v>
      </c>
      <c r="L18" s="4" t="e">
        <f t="shared" si="13"/>
        <v>#VALUE!</v>
      </c>
      <c r="M18" s="4">
        <f t="shared" si="14"/>
        <v>1000</v>
      </c>
      <c r="N18" s="4">
        <f t="shared" ref="N18:O18" si="33">MIN(IFERROR(FIND(" ",$C18,M18+1),1000))</f>
        <v>1000</v>
      </c>
      <c r="O18" s="4">
        <f t="shared" si="33"/>
        <v>1000</v>
      </c>
      <c r="P18" s="4">
        <f t="shared" si="16"/>
        <v>0</v>
      </c>
      <c r="Q18" s="4" t="str">
        <f t="shared" si="0"/>
        <v/>
      </c>
      <c r="R18" s="4" t="str">
        <f t="shared" si="1"/>
        <v/>
      </c>
      <c r="S18" s="4" t="str">
        <f t="shared" si="2"/>
        <v/>
      </c>
      <c r="T18" s="4" t="e">
        <f t="shared" si="17"/>
        <v>#VALUE!</v>
      </c>
      <c r="U18" s="4" t="e">
        <f t="shared" si="18"/>
        <v>#VALUE!</v>
      </c>
      <c r="V18" s="4" t="b">
        <f t="shared" si="3"/>
        <v>0</v>
      </c>
      <c r="W18" s="13" t="str">
        <f t="shared" si="4"/>
        <v>Да</v>
      </c>
      <c r="X18" s="4" t="e">
        <f>(IF(COUNTIFS($G$2:G18,"+",$W$2:W18,"Да")&gt;1,"&amp; ","")&amp;D18&amp;J18&amp;E18&amp;SUBSTITUTE(L18,"""",""))</f>
        <v>#VALUE!</v>
      </c>
      <c r="Y18" s="4" t="e">
        <f t="shared" si="5"/>
        <v>#VALUE!</v>
      </c>
    </row>
    <row r="19" spans="1:25" x14ac:dyDescent="0.3">
      <c r="A19" s="11"/>
      <c r="B19" s="5" t="str">
        <f t="shared" si="6"/>
        <v/>
      </c>
      <c r="C19" s="5" t="str">
        <f t="shared" si="7"/>
        <v/>
      </c>
      <c r="D19" s="4" t="s">
        <v>10</v>
      </c>
      <c r="E19" s="4" t="s">
        <v>11</v>
      </c>
      <c r="F19" s="4" t="str">
        <f t="shared" si="8"/>
        <v>!!!</v>
      </c>
      <c r="G19" s="4" t="str">
        <f t="shared" si="9"/>
        <v>+</v>
      </c>
      <c r="H19" s="4"/>
      <c r="I19" s="4" t="str">
        <f t="shared" si="10"/>
        <v>!!!</v>
      </c>
      <c r="J19" s="4" t="e">
        <f t="shared" si="11"/>
        <v>#VALUE!</v>
      </c>
      <c r="K19" s="4" t="e">
        <f t="shared" si="12"/>
        <v>#VALUE!</v>
      </c>
      <c r="L19" s="4" t="e">
        <f t="shared" si="13"/>
        <v>#VALUE!</v>
      </c>
      <c r="M19" s="4">
        <f t="shared" si="14"/>
        <v>1000</v>
      </c>
      <c r="N19" s="4">
        <f t="shared" ref="N19:O19" si="34">MIN(IFERROR(FIND(" ",$C19,M19+1),1000))</f>
        <v>1000</v>
      </c>
      <c r="O19" s="4">
        <f t="shared" si="34"/>
        <v>1000</v>
      </c>
      <c r="P19" s="4">
        <f t="shared" si="16"/>
        <v>0</v>
      </c>
      <c r="Q19" s="4" t="str">
        <f t="shared" si="0"/>
        <v/>
      </c>
      <c r="R19" s="4" t="str">
        <f t="shared" si="1"/>
        <v/>
      </c>
      <c r="S19" s="4" t="str">
        <f t="shared" si="2"/>
        <v/>
      </c>
      <c r="T19" s="4" t="e">
        <f t="shared" si="17"/>
        <v>#VALUE!</v>
      </c>
      <c r="U19" s="4" t="e">
        <f t="shared" si="18"/>
        <v>#VALUE!</v>
      </c>
      <c r="V19" s="4" t="b">
        <f t="shared" si="3"/>
        <v>0</v>
      </c>
      <c r="W19" s="13" t="str">
        <f t="shared" si="4"/>
        <v>Да</v>
      </c>
      <c r="X19" s="4" t="e">
        <f>(IF(COUNTIFS($G$2:G19,"+",$W$2:W19,"Да")&gt;1,"&amp; ","")&amp;D19&amp;J19&amp;E19&amp;SUBSTITUTE(L19,"""",""))</f>
        <v>#VALUE!</v>
      </c>
      <c r="Y19" s="4" t="e">
        <f t="shared" si="5"/>
        <v>#VALUE!</v>
      </c>
    </row>
    <row r="20" spans="1:25" x14ac:dyDescent="0.3">
      <c r="A20" s="11"/>
      <c r="B20" s="5" t="str">
        <f t="shared" si="6"/>
        <v/>
      </c>
      <c r="C20" s="5" t="str">
        <f t="shared" si="7"/>
        <v/>
      </c>
      <c r="D20" s="4" t="s">
        <v>10</v>
      </c>
      <c r="E20" s="4" t="s">
        <v>11</v>
      </c>
      <c r="F20" s="4" t="str">
        <f t="shared" si="8"/>
        <v>!!!</v>
      </c>
      <c r="G20" s="4" t="str">
        <f t="shared" si="9"/>
        <v>+</v>
      </c>
      <c r="H20" s="4"/>
      <c r="I20" s="4" t="str">
        <f t="shared" si="10"/>
        <v>!!!</v>
      </c>
      <c r="J20" s="4" t="e">
        <f t="shared" si="11"/>
        <v>#VALUE!</v>
      </c>
      <c r="K20" s="4" t="e">
        <f t="shared" si="12"/>
        <v>#VALUE!</v>
      </c>
      <c r="L20" s="4" t="e">
        <f t="shared" si="13"/>
        <v>#VALUE!</v>
      </c>
      <c r="M20" s="4">
        <f t="shared" si="14"/>
        <v>1000</v>
      </c>
      <c r="N20" s="4">
        <f t="shared" ref="N20:O20" si="35">MIN(IFERROR(FIND(" ",$C20,M20+1),1000))</f>
        <v>1000</v>
      </c>
      <c r="O20" s="4">
        <f t="shared" si="35"/>
        <v>1000</v>
      </c>
      <c r="P20" s="4">
        <f t="shared" si="16"/>
        <v>0</v>
      </c>
      <c r="Q20" s="4" t="str">
        <f t="shared" si="0"/>
        <v/>
      </c>
      <c r="R20" s="4" t="str">
        <f t="shared" si="1"/>
        <v/>
      </c>
      <c r="S20" s="4" t="str">
        <f t="shared" si="2"/>
        <v/>
      </c>
      <c r="T20" s="4" t="e">
        <f t="shared" si="17"/>
        <v>#VALUE!</v>
      </c>
      <c r="U20" s="4" t="e">
        <f t="shared" si="18"/>
        <v>#VALUE!</v>
      </c>
      <c r="V20" s="4" t="b">
        <f t="shared" si="3"/>
        <v>0</v>
      </c>
      <c r="W20" s="13" t="str">
        <f t="shared" si="4"/>
        <v>Да</v>
      </c>
      <c r="X20" s="4" t="e">
        <f>(IF(COUNTIFS($G$2:G20,"+",$W$2:W20,"Да")&gt;1,"&amp; ","")&amp;D20&amp;J20&amp;E20&amp;SUBSTITUTE(L20,"""",""))</f>
        <v>#VALUE!</v>
      </c>
      <c r="Y20" s="4" t="e">
        <f t="shared" si="5"/>
        <v>#VALUE!</v>
      </c>
    </row>
    <row r="21" spans="1:25" x14ac:dyDescent="0.3">
      <c r="A21" s="11"/>
      <c r="B21" s="5" t="str">
        <f t="shared" si="6"/>
        <v/>
      </c>
      <c r="C21" s="5" t="str">
        <f t="shared" si="7"/>
        <v/>
      </c>
      <c r="D21" s="4" t="s">
        <v>10</v>
      </c>
      <c r="E21" s="4" t="s">
        <v>11</v>
      </c>
      <c r="F21" s="4" t="str">
        <f t="shared" si="8"/>
        <v>!!!</v>
      </c>
      <c r="G21" s="4" t="str">
        <f t="shared" si="9"/>
        <v>+</v>
      </c>
      <c r="H21" s="4"/>
      <c r="I21" s="4" t="str">
        <f t="shared" si="10"/>
        <v>!!!</v>
      </c>
      <c r="J21" s="4" t="e">
        <f t="shared" si="11"/>
        <v>#VALUE!</v>
      </c>
      <c r="K21" s="4" t="e">
        <f t="shared" si="12"/>
        <v>#VALUE!</v>
      </c>
      <c r="L21" s="4" t="e">
        <f t="shared" si="13"/>
        <v>#VALUE!</v>
      </c>
      <c r="M21" s="4">
        <f t="shared" si="14"/>
        <v>1000</v>
      </c>
      <c r="N21" s="4">
        <f t="shared" ref="N21:O21" si="36">MIN(IFERROR(FIND(" ",$C21,M21+1),1000))</f>
        <v>1000</v>
      </c>
      <c r="O21" s="4">
        <f t="shared" si="36"/>
        <v>1000</v>
      </c>
      <c r="P21" s="4">
        <f t="shared" si="16"/>
        <v>0</v>
      </c>
      <c r="Q21" s="4" t="str">
        <f t="shared" si="0"/>
        <v/>
      </c>
      <c r="R21" s="4" t="str">
        <f t="shared" si="1"/>
        <v/>
      </c>
      <c r="S21" s="4" t="str">
        <f t="shared" si="2"/>
        <v/>
      </c>
      <c r="T21" s="4" t="e">
        <f t="shared" si="17"/>
        <v>#VALUE!</v>
      </c>
      <c r="U21" s="4" t="e">
        <f t="shared" si="18"/>
        <v>#VALUE!</v>
      </c>
      <c r="V21" s="4" t="b">
        <f t="shared" si="3"/>
        <v>0</v>
      </c>
      <c r="W21" s="13" t="str">
        <f t="shared" si="4"/>
        <v>Да</v>
      </c>
      <c r="X21" s="4" t="e">
        <f>(IF(COUNTIFS($G$2:G21,"+",$W$2:W21,"Да")&gt;1,"&amp; ","")&amp;D21&amp;J21&amp;E21&amp;SUBSTITUTE(L21,"""",""))</f>
        <v>#VALUE!</v>
      </c>
      <c r="Y21" s="4" t="e">
        <f t="shared" si="5"/>
        <v>#VALUE!</v>
      </c>
    </row>
    <row r="22" spans="1:25" x14ac:dyDescent="0.3">
      <c r="A22" s="11"/>
      <c r="B22" s="5" t="str">
        <f t="shared" si="6"/>
        <v/>
      </c>
      <c r="C22" s="5" t="str">
        <f t="shared" si="7"/>
        <v/>
      </c>
      <c r="D22" s="4" t="s">
        <v>10</v>
      </c>
      <c r="E22" s="4" t="s">
        <v>11</v>
      </c>
      <c r="F22" s="4" t="str">
        <f t="shared" si="8"/>
        <v>!!!</v>
      </c>
      <c r="G22" s="4" t="str">
        <f t="shared" si="9"/>
        <v>+</v>
      </c>
      <c r="H22" s="4"/>
      <c r="I22" s="4" t="str">
        <f t="shared" si="10"/>
        <v>!!!</v>
      </c>
      <c r="J22" s="4" t="e">
        <f t="shared" si="11"/>
        <v>#VALUE!</v>
      </c>
      <c r="K22" s="4" t="e">
        <f t="shared" si="12"/>
        <v>#VALUE!</v>
      </c>
      <c r="L22" s="4" t="e">
        <f t="shared" si="13"/>
        <v>#VALUE!</v>
      </c>
      <c r="M22" s="4">
        <f t="shared" si="14"/>
        <v>1000</v>
      </c>
      <c r="N22" s="4">
        <f t="shared" ref="N22:O22" si="37">MIN(IFERROR(FIND(" ",$C22,M22+1),1000))</f>
        <v>1000</v>
      </c>
      <c r="O22" s="4">
        <f t="shared" si="37"/>
        <v>1000</v>
      </c>
      <c r="P22" s="4">
        <f t="shared" si="16"/>
        <v>0</v>
      </c>
      <c r="Q22" s="4" t="str">
        <f t="shared" si="0"/>
        <v/>
      </c>
      <c r="R22" s="4" t="str">
        <f t="shared" si="1"/>
        <v/>
      </c>
      <c r="S22" s="4" t="str">
        <f t="shared" si="2"/>
        <v/>
      </c>
      <c r="T22" s="4" t="e">
        <f t="shared" si="17"/>
        <v>#VALUE!</v>
      </c>
      <c r="U22" s="4" t="e">
        <f t="shared" si="18"/>
        <v>#VALUE!</v>
      </c>
      <c r="V22" s="4" t="b">
        <f t="shared" si="3"/>
        <v>0</v>
      </c>
      <c r="W22" s="13" t="str">
        <f t="shared" si="4"/>
        <v>Да</v>
      </c>
      <c r="X22" s="4" t="e">
        <f>(IF(COUNTIFS($G$2:G22,"+",$W$2:W22,"Да")&gt;1,"&amp; ","")&amp;D22&amp;J22&amp;E22&amp;SUBSTITUTE(L22,"""",""))</f>
        <v>#VALUE!</v>
      </c>
      <c r="Y22" s="4" t="e">
        <f t="shared" si="5"/>
        <v>#VALUE!</v>
      </c>
    </row>
    <row r="23" spans="1:25" x14ac:dyDescent="0.3">
      <c r="A23" s="11"/>
      <c r="B23" s="5" t="str">
        <f t="shared" si="6"/>
        <v/>
      </c>
      <c r="C23" s="5" t="str">
        <f t="shared" si="7"/>
        <v/>
      </c>
      <c r="D23" s="4" t="s">
        <v>10</v>
      </c>
      <c r="E23" s="4" t="s">
        <v>11</v>
      </c>
      <c r="F23" s="4" t="str">
        <f t="shared" si="8"/>
        <v>!!!</v>
      </c>
      <c r="G23" s="4" t="str">
        <f t="shared" si="9"/>
        <v>+</v>
      </c>
      <c r="H23" s="4"/>
      <c r="I23" s="4" t="str">
        <f t="shared" si="10"/>
        <v>!!!</v>
      </c>
      <c r="J23" s="4" t="e">
        <f t="shared" si="11"/>
        <v>#VALUE!</v>
      </c>
      <c r="K23" s="4" t="e">
        <f t="shared" si="12"/>
        <v>#VALUE!</v>
      </c>
      <c r="L23" s="4" t="e">
        <f t="shared" si="13"/>
        <v>#VALUE!</v>
      </c>
      <c r="M23" s="4">
        <f t="shared" si="14"/>
        <v>1000</v>
      </c>
      <c r="N23" s="4">
        <f t="shared" ref="N23:O23" si="38">MIN(IFERROR(FIND(" ",$C23,M23+1),1000))</f>
        <v>1000</v>
      </c>
      <c r="O23" s="4">
        <f t="shared" si="38"/>
        <v>1000</v>
      </c>
      <c r="P23" s="4">
        <f t="shared" si="16"/>
        <v>0</v>
      </c>
      <c r="Q23" s="4" t="str">
        <f t="shared" si="0"/>
        <v/>
      </c>
      <c r="R23" s="4" t="str">
        <f t="shared" si="1"/>
        <v/>
      </c>
      <c r="S23" s="4" t="str">
        <f t="shared" si="2"/>
        <v/>
      </c>
      <c r="T23" s="4" t="e">
        <f t="shared" si="17"/>
        <v>#VALUE!</v>
      </c>
      <c r="U23" s="4" t="e">
        <f t="shared" si="18"/>
        <v>#VALUE!</v>
      </c>
      <c r="V23" s="4" t="b">
        <f t="shared" si="3"/>
        <v>0</v>
      </c>
      <c r="W23" s="13" t="str">
        <f t="shared" si="4"/>
        <v>Да</v>
      </c>
      <c r="X23" s="4" t="e">
        <f>(IF(COUNTIFS($G$2:G23,"+",$W$2:W23,"Да")&gt;1,"&amp; ","")&amp;D23&amp;J23&amp;E23&amp;SUBSTITUTE(L23,"""",""))</f>
        <v>#VALUE!</v>
      </c>
      <c r="Y23" s="4" t="e">
        <f t="shared" si="5"/>
        <v>#VALUE!</v>
      </c>
    </row>
    <row r="24" spans="1:25" x14ac:dyDescent="0.3">
      <c r="A24" s="11"/>
      <c r="B24" s="5" t="str">
        <f t="shared" si="6"/>
        <v/>
      </c>
      <c r="C24" s="5" t="str">
        <f t="shared" si="7"/>
        <v/>
      </c>
      <c r="D24" s="4" t="s">
        <v>10</v>
      </c>
      <c r="E24" s="4" t="s">
        <v>11</v>
      </c>
      <c r="F24" s="4" t="str">
        <f t="shared" si="8"/>
        <v>!!!</v>
      </c>
      <c r="G24" s="4" t="str">
        <f t="shared" si="9"/>
        <v>+</v>
      </c>
      <c r="H24" s="4"/>
      <c r="I24" s="4" t="str">
        <f t="shared" si="10"/>
        <v>!!!</v>
      </c>
      <c r="J24" s="4" t="e">
        <f t="shared" si="11"/>
        <v>#VALUE!</v>
      </c>
      <c r="K24" s="4" t="e">
        <f t="shared" si="12"/>
        <v>#VALUE!</v>
      </c>
      <c r="L24" s="4" t="e">
        <f t="shared" si="13"/>
        <v>#VALUE!</v>
      </c>
      <c r="M24" s="4">
        <f t="shared" si="14"/>
        <v>1000</v>
      </c>
      <c r="N24" s="4">
        <f t="shared" ref="N24:O24" si="39">MIN(IFERROR(FIND(" ",$C24,M24+1),1000))</f>
        <v>1000</v>
      </c>
      <c r="O24" s="4">
        <f t="shared" si="39"/>
        <v>1000</v>
      </c>
      <c r="P24" s="4">
        <f t="shared" si="16"/>
        <v>0</v>
      </c>
      <c r="Q24" s="4" t="str">
        <f t="shared" si="0"/>
        <v/>
      </c>
      <c r="R24" s="4" t="str">
        <f t="shared" si="1"/>
        <v/>
      </c>
      <c r="S24" s="4" t="str">
        <f t="shared" si="2"/>
        <v/>
      </c>
      <c r="T24" s="4" t="e">
        <f t="shared" si="17"/>
        <v>#VALUE!</v>
      </c>
      <c r="U24" s="4" t="e">
        <f t="shared" si="18"/>
        <v>#VALUE!</v>
      </c>
      <c r="V24" s="4" t="b">
        <f t="shared" si="3"/>
        <v>0</v>
      </c>
      <c r="W24" s="13" t="str">
        <f t="shared" si="4"/>
        <v>Да</v>
      </c>
      <c r="X24" s="4" t="e">
        <f>(IF(COUNTIFS($G$2:G24,"+",$W$2:W24,"Да")&gt;1,"&amp; ","")&amp;D24&amp;J24&amp;E24&amp;SUBSTITUTE(L24,"""",""))</f>
        <v>#VALUE!</v>
      </c>
      <c r="Y24" s="4" t="e">
        <f t="shared" si="5"/>
        <v>#VALUE!</v>
      </c>
    </row>
    <row r="25" spans="1:25" x14ac:dyDescent="0.3">
      <c r="A25" s="11"/>
      <c r="B25" s="5" t="str">
        <f t="shared" si="6"/>
        <v/>
      </c>
      <c r="C25" s="5" t="str">
        <f t="shared" si="7"/>
        <v/>
      </c>
      <c r="D25" s="4" t="s">
        <v>10</v>
      </c>
      <c r="E25" s="4" t="s">
        <v>11</v>
      </c>
      <c r="F25" s="4" t="str">
        <f t="shared" si="8"/>
        <v>!!!</v>
      </c>
      <c r="G25" s="4" t="str">
        <f t="shared" si="9"/>
        <v>+</v>
      </c>
      <c r="H25" s="4"/>
      <c r="I25" s="4" t="str">
        <f t="shared" si="10"/>
        <v>!!!</v>
      </c>
      <c r="J25" s="4" t="e">
        <f t="shared" si="11"/>
        <v>#VALUE!</v>
      </c>
      <c r="K25" s="4" t="e">
        <f t="shared" si="12"/>
        <v>#VALUE!</v>
      </c>
      <c r="L25" s="4" t="e">
        <f t="shared" si="13"/>
        <v>#VALUE!</v>
      </c>
      <c r="M25" s="4">
        <f t="shared" si="14"/>
        <v>1000</v>
      </c>
      <c r="N25" s="4">
        <f t="shared" ref="N25:O25" si="40">MIN(IFERROR(FIND(" ",$C25,M25+1),1000))</f>
        <v>1000</v>
      </c>
      <c r="O25" s="4">
        <f t="shared" si="40"/>
        <v>1000</v>
      </c>
      <c r="P25" s="4">
        <f t="shared" si="16"/>
        <v>0</v>
      </c>
      <c r="Q25" s="4" t="str">
        <f t="shared" si="0"/>
        <v/>
      </c>
      <c r="R25" s="4" t="str">
        <f t="shared" si="1"/>
        <v/>
      </c>
      <c r="S25" s="4" t="str">
        <f t="shared" si="2"/>
        <v/>
      </c>
      <c r="T25" s="4" t="e">
        <f t="shared" si="17"/>
        <v>#VALUE!</v>
      </c>
      <c r="U25" s="4" t="e">
        <f t="shared" si="18"/>
        <v>#VALUE!</v>
      </c>
      <c r="V25" s="4" t="b">
        <f t="shared" si="3"/>
        <v>0</v>
      </c>
      <c r="W25" s="13" t="str">
        <f t="shared" si="4"/>
        <v>Да</v>
      </c>
      <c r="X25" s="4" t="e">
        <f>(IF(COUNTIFS($G$2:G25,"+",$W$2:W25,"Да")&gt;1,"&amp; ","")&amp;D25&amp;J25&amp;E25&amp;SUBSTITUTE(L25,"""",""))</f>
        <v>#VALUE!</v>
      </c>
      <c r="Y25" s="4" t="e">
        <f t="shared" si="5"/>
        <v>#VALUE!</v>
      </c>
    </row>
    <row r="26" spans="1:25" x14ac:dyDescent="0.3">
      <c r="A26" s="11"/>
      <c r="B26" s="5" t="str">
        <f t="shared" si="6"/>
        <v/>
      </c>
      <c r="C26" s="5" t="str">
        <f t="shared" si="7"/>
        <v/>
      </c>
      <c r="D26" s="4" t="s">
        <v>10</v>
      </c>
      <c r="E26" s="4" t="s">
        <v>11</v>
      </c>
      <c r="F26" s="4" t="str">
        <f t="shared" si="8"/>
        <v>!!!</v>
      </c>
      <c r="G26" s="4" t="str">
        <f t="shared" si="9"/>
        <v>+</v>
      </c>
      <c r="H26" s="4"/>
      <c r="I26" s="4" t="str">
        <f t="shared" si="10"/>
        <v>!!!</v>
      </c>
      <c r="J26" s="4" t="e">
        <f t="shared" si="11"/>
        <v>#VALUE!</v>
      </c>
      <c r="K26" s="4" t="e">
        <f t="shared" si="12"/>
        <v>#VALUE!</v>
      </c>
      <c r="L26" s="4" t="e">
        <f t="shared" si="13"/>
        <v>#VALUE!</v>
      </c>
      <c r="M26" s="4">
        <f t="shared" si="14"/>
        <v>1000</v>
      </c>
      <c r="N26" s="4">
        <f t="shared" ref="N26:O26" si="41">MIN(IFERROR(FIND(" ",$C26,M26+1),1000))</f>
        <v>1000</v>
      </c>
      <c r="O26" s="4">
        <f t="shared" si="41"/>
        <v>1000</v>
      </c>
      <c r="P26" s="4">
        <f t="shared" si="16"/>
        <v>0</v>
      </c>
      <c r="Q26" s="4" t="str">
        <f t="shared" si="0"/>
        <v/>
      </c>
      <c r="R26" s="4" t="str">
        <f t="shared" si="1"/>
        <v/>
      </c>
      <c r="S26" s="4" t="str">
        <f t="shared" si="2"/>
        <v/>
      </c>
      <c r="T26" s="4" t="e">
        <f t="shared" si="17"/>
        <v>#VALUE!</v>
      </c>
      <c r="U26" s="4" t="e">
        <f t="shared" si="18"/>
        <v>#VALUE!</v>
      </c>
      <c r="V26" s="4" t="b">
        <f t="shared" si="3"/>
        <v>0</v>
      </c>
      <c r="W26" s="13" t="str">
        <f t="shared" si="4"/>
        <v>Да</v>
      </c>
      <c r="X26" s="4" t="e">
        <f>(IF(COUNTIFS($G$2:G26,"+",$W$2:W26,"Да")&gt;1,"&amp; ","")&amp;D26&amp;J26&amp;E26&amp;SUBSTITUTE(L26,"""",""))</f>
        <v>#VALUE!</v>
      </c>
      <c r="Y26" s="4" t="e">
        <f t="shared" si="5"/>
        <v>#VALUE!</v>
      </c>
    </row>
    <row r="27" spans="1:25" x14ac:dyDescent="0.3">
      <c r="A27" s="11"/>
      <c r="B27" s="5" t="str">
        <f t="shared" si="6"/>
        <v/>
      </c>
      <c r="C27" s="5" t="str">
        <f t="shared" si="7"/>
        <v/>
      </c>
      <c r="D27" s="4" t="s">
        <v>10</v>
      </c>
      <c r="E27" s="4" t="s">
        <v>11</v>
      </c>
      <c r="F27" s="4" t="str">
        <f t="shared" si="8"/>
        <v>!!!</v>
      </c>
      <c r="G27" s="4" t="str">
        <f t="shared" si="9"/>
        <v>+</v>
      </c>
      <c r="H27" s="4"/>
      <c r="I27" s="4" t="str">
        <f t="shared" si="10"/>
        <v>!!!</v>
      </c>
      <c r="J27" s="4" t="e">
        <f t="shared" si="11"/>
        <v>#VALUE!</v>
      </c>
      <c r="K27" s="4" t="e">
        <f t="shared" si="12"/>
        <v>#VALUE!</v>
      </c>
      <c r="L27" s="4" t="e">
        <f t="shared" si="13"/>
        <v>#VALUE!</v>
      </c>
      <c r="M27" s="4">
        <f t="shared" si="14"/>
        <v>1000</v>
      </c>
      <c r="N27" s="4">
        <f t="shared" ref="N27:O27" si="42">MIN(IFERROR(FIND(" ",$C27,M27+1),1000))</f>
        <v>1000</v>
      </c>
      <c r="O27" s="4">
        <f t="shared" si="42"/>
        <v>1000</v>
      </c>
      <c r="P27" s="4">
        <f t="shared" si="16"/>
        <v>0</v>
      </c>
      <c r="Q27" s="4" t="str">
        <f t="shared" si="0"/>
        <v/>
      </c>
      <c r="R27" s="4" t="str">
        <f t="shared" si="1"/>
        <v/>
      </c>
      <c r="S27" s="4" t="str">
        <f t="shared" si="2"/>
        <v/>
      </c>
      <c r="T27" s="4" t="e">
        <f t="shared" si="17"/>
        <v>#VALUE!</v>
      </c>
      <c r="U27" s="4" t="e">
        <f t="shared" si="18"/>
        <v>#VALUE!</v>
      </c>
      <c r="V27" s="4" t="b">
        <f t="shared" si="3"/>
        <v>0</v>
      </c>
      <c r="W27" s="13" t="str">
        <f t="shared" si="4"/>
        <v>Да</v>
      </c>
      <c r="X27" s="4" t="e">
        <f>(IF(COUNTIFS($G$2:G27,"+",$W$2:W27,"Да")&gt;1,"&amp; ","")&amp;D27&amp;J27&amp;E27&amp;SUBSTITUTE(L27,"""",""))</f>
        <v>#VALUE!</v>
      </c>
      <c r="Y27" s="4" t="e">
        <f t="shared" si="5"/>
        <v>#VALUE!</v>
      </c>
    </row>
    <row r="28" spans="1:25" x14ac:dyDescent="0.3">
      <c r="A28" s="11"/>
      <c r="B28" s="5" t="str">
        <f t="shared" si="6"/>
        <v/>
      </c>
      <c r="C28" s="5" t="str">
        <f t="shared" si="7"/>
        <v/>
      </c>
      <c r="D28" s="4" t="s">
        <v>10</v>
      </c>
      <c r="E28" s="4" t="s">
        <v>11</v>
      </c>
      <c r="F28" s="4" t="str">
        <f t="shared" si="8"/>
        <v>!!!</v>
      </c>
      <c r="G28" s="4" t="str">
        <f t="shared" si="9"/>
        <v>+</v>
      </c>
      <c r="H28" s="4"/>
      <c r="I28" s="4" t="str">
        <f t="shared" si="10"/>
        <v>!!!</v>
      </c>
      <c r="J28" s="4" t="e">
        <f t="shared" si="11"/>
        <v>#VALUE!</v>
      </c>
      <c r="K28" s="4" t="e">
        <f t="shared" si="12"/>
        <v>#VALUE!</v>
      </c>
      <c r="L28" s="4" t="e">
        <f t="shared" si="13"/>
        <v>#VALUE!</v>
      </c>
      <c r="M28" s="4">
        <f t="shared" si="14"/>
        <v>1000</v>
      </c>
      <c r="N28" s="4">
        <f t="shared" ref="N28:O28" si="43">MIN(IFERROR(FIND(" ",$C28,M28+1),1000))</f>
        <v>1000</v>
      </c>
      <c r="O28" s="4">
        <f t="shared" si="43"/>
        <v>1000</v>
      </c>
      <c r="P28" s="4">
        <f t="shared" si="16"/>
        <v>0</v>
      </c>
      <c r="Q28" s="4" t="str">
        <f t="shared" si="0"/>
        <v/>
      </c>
      <c r="R28" s="4" t="str">
        <f t="shared" si="1"/>
        <v/>
      </c>
      <c r="S28" s="4" t="str">
        <f t="shared" si="2"/>
        <v/>
      </c>
      <c r="T28" s="4" t="e">
        <f t="shared" si="17"/>
        <v>#VALUE!</v>
      </c>
      <c r="U28" s="4" t="e">
        <f t="shared" si="18"/>
        <v>#VALUE!</v>
      </c>
      <c r="V28" s="4" t="b">
        <f t="shared" si="3"/>
        <v>0</v>
      </c>
      <c r="W28" s="13" t="str">
        <f t="shared" si="4"/>
        <v>Да</v>
      </c>
      <c r="X28" s="4" t="e">
        <f>(IF(COUNTIFS($G$2:G28,"+",$W$2:W28,"Да")&gt;1,"&amp; ","")&amp;D28&amp;J28&amp;E28&amp;SUBSTITUTE(L28,"""",""))</f>
        <v>#VALUE!</v>
      </c>
      <c r="Y28" s="4" t="e">
        <f t="shared" si="5"/>
        <v>#VALUE!</v>
      </c>
    </row>
    <row r="29" spans="1:25" x14ac:dyDescent="0.3">
      <c r="A29" s="11"/>
      <c r="B29" s="5" t="str">
        <f t="shared" si="6"/>
        <v/>
      </c>
      <c r="C29" s="5" t="str">
        <f t="shared" si="7"/>
        <v/>
      </c>
      <c r="D29" s="4" t="s">
        <v>10</v>
      </c>
      <c r="E29" s="4" t="s">
        <v>11</v>
      </c>
      <c r="F29" s="4" t="str">
        <f t="shared" si="8"/>
        <v>!!!</v>
      </c>
      <c r="G29" s="4" t="str">
        <f t="shared" si="9"/>
        <v>+</v>
      </c>
      <c r="H29" s="4"/>
      <c r="I29" s="4" t="str">
        <f t="shared" si="10"/>
        <v>!!!</v>
      </c>
      <c r="J29" s="4" t="e">
        <f t="shared" si="11"/>
        <v>#VALUE!</v>
      </c>
      <c r="K29" s="4" t="e">
        <f t="shared" si="12"/>
        <v>#VALUE!</v>
      </c>
      <c r="L29" s="4" t="e">
        <f t="shared" si="13"/>
        <v>#VALUE!</v>
      </c>
      <c r="M29" s="4">
        <f t="shared" si="14"/>
        <v>1000</v>
      </c>
      <c r="N29" s="4">
        <f t="shared" ref="N29:O29" si="44">MIN(IFERROR(FIND(" ",$C29,M29+1),1000))</f>
        <v>1000</v>
      </c>
      <c r="O29" s="4">
        <f t="shared" si="44"/>
        <v>1000</v>
      </c>
      <c r="P29" s="4">
        <f t="shared" si="16"/>
        <v>0</v>
      </c>
      <c r="Q29" s="4" t="str">
        <f t="shared" si="0"/>
        <v/>
      </c>
      <c r="R29" s="4" t="str">
        <f t="shared" si="1"/>
        <v/>
      </c>
      <c r="S29" s="4" t="str">
        <f t="shared" si="2"/>
        <v/>
      </c>
      <c r="T29" s="4" t="e">
        <f t="shared" si="17"/>
        <v>#VALUE!</v>
      </c>
      <c r="U29" s="4" t="e">
        <f t="shared" si="18"/>
        <v>#VALUE!</v>
      </c>
      <c r="V29" s="4" t="b">
        <f t="shared" si="3"/>
        <v>0</v>
      </c>
      <c r="W29" s="13" t="str">
        <f t="shared" si="4"/>
        <v>Да</v>
      </c>
      <c r="X29" s="4" t="e">
        <f>(IF(COUNTIFS($G$2:G29,"+",$W$2:W29,"Да")&gt;1,"&amp; ","")&amp;D29&amp;J29&amp;E29&amp;SUBSTITUTE(L29,"""",""))</f>
        <v>#VALUE!</v>
      </c>
      <c r="Y29" s="4" t="e">
        <f t="shared" si="5"/>
        <v>#VALUE!</v>
      </c>
    </row>
    <row r="30" spans="1:25" x14ac:dyDescent="0.3">
      <c r="A30" s="11"/>
      <c r="B30" s="5" t="str">
        <f t="shared" si="6"/>
        <v/>
      </c>
      <c r="C30" s="5" t="str">
        <f t="shared" si="7"/>
        <v/>
      </c>
      <c r="D30" s="4" t="s">
        <v>10</v>
      </c>
      <c r="E30" s="4" t="s">
        <v>11</v>
      </c>
      <c r="F30" s="4" t="str">
        <f t="shared" si="8"/>
        <v>!!!</v>
      </c>
      <c r="G30" s="4" t="str">
        <f t="shared" si="9"/>
        <v>+</v>
      </c>
      <c r="H30" s="4"/>
      <c r="I30" s="4" t="str">
        <f t="shared" si="10"/>
        <v>!!!</v>
      </c>
      <c r="J30" s="4" t="e">
        <f t="shared" si="11"/>
        <v>#VALUE!</v>
      </c>
      <c r="K30" s="4" t="e">
        <f t="shared" si="12"/>
        <v>#VALUE!</v>
      </c>
      <c r="L30" s="4" t="e">
        <f t="shared" si="13"/>
        <v>#VALUE!</v>
      </c>
      <c r="M30" s="4">
        <f t="shared" si="14"/>
        <v>1000</v>
      </c>
      <c r="N30" s="4">
        <f t="shared" ref="N30:O30" si="45">MIN(IFERROR(FIND(" ",$C30,M30+1),1000))</f>
        <v>1000</v>
      </c>
      <c r="O30" s="4">
        <f t="shared" si="45"/>
        <v>1000</v>
      </c>
      <c r="P30" s="4">
        <f t="shared" si="16"/>
        <v>0</v>
      </c>
      <c r="Q30" s="4" t="str">
        <f t="shared" si="0"/>
        <v/>
      </c>
      <c r="R30" s="4" t="str">
        <f t="shared" si="1"/>
        <v/>
      </c>
      <c r="S30" s="4" t="str">
        <f t="shared" si="2"/>
        <v/>
      </c>
      <c r="T30" s="4" t="e">
        <f t="shared" si="17"/>
        <v>#VALUE!</v>
      </c>
      <c r="U30" s="4" t="e">
        <f t="shared" si="18"/>
        <v>#VALUE!</v>
      </c>
      <c r="V30" s="4" t="b">
        <f t="shared" si="3"/>
        <v>0</v>
      </c>
      <c r="W30" s="13" t="str">
        <f t="shared" si="4"/>
        <v>Да</v>
      </c>
      <c r="X30" s="4" t="e">
        <f>(IF(COUNTIFS($G$2:G30,"+",$W$2:W30,"Да")&gt;1,"&amp; ","")&amp;D30&amp;J30&amp;E30&amp;SUBSTITUTE(L30,"""",""))</f>
        <v>#VALUE!</v>
      </c>
      <c r="Y30" s="4" t="e">
        <f t="shared" si="5"/>
        <v>#VALUE!</v>
      </c>
    </row>
    <row r="31" spans="1:25" x14ac:dyDescent="0.3">
      <c r="A31" s="11"/>
      <c r="B31" s="5" t="str">
        <f t="shared" si="6"/>
        <v/>
      </c>
      <c r="C31" s="5" t="str">
        <f t="shared" si="7"/>
        <v/>
      </c>
      <c r="D31" s="4" t="s">
        <v>10</v>
      </c>
      <c r="E31" s="4" t="s">
        <v>11</v>
      </c>
      <c r="F31" s="4" t="str">
        <f t="shared" si="8"/>
        <v>!!!</v>
      </c>
      <c r="G31" s="4" t="str">
        <f t="shared" si="9"/>
        <v>+</v>
      </c>
      <c r="H31" s="4"/>
      <c r="I31" s="4" t="str">
        <f t="shared" si="10"/>
        <v>!!!</v>
      </c>
      <c r="J31" s="4" t="e">
        <f t="shared" si="11"/>
        <v>#VALUE!</v>
      </c>
      <c r="K31" s="4" t="e">
        <f t="shared" si="12"/>
        <v>#VALUE!</v>
      </c>
      <c r="L31" s="4" t="e">
        <f t="shared" si="13"/>
        <v>#VALUE!</v>
      </c>
      <c r="M31" s="4">
        <f t="shared" si="14"/>
        <v>1000</v>
      </c>
      <c r="N31" s="4">
        <f t="shared" ref="N31:O31" si="46">MIN(IFERROR(FIND(" ",$C31,M31+1),1000))</f>
        <v>1000</v>
      </c>
      <c r="O31" s="4">
        <f t="shared" si="46"/>
        <v>1000</v>
      </c>
      <c r="P31" s="4">
        <f t="shared" si="16"/>
        <v>0</v>
      </c>
      <c r="Q31" s="4" t="str">
        <f t="shared" si="0"/>
        <v/>
      </c>
      <c r="R31" s="4" t="str">
        <f t="shared" si="1"/>
        <v/>
      </c>
      <c r="S31" s="4" t="str">
        <f t="shared" si="2"/>
        <v/>
      </c>
      <c r="T31" s="4" t="e">
        <f t="shared" si="17"/>
        <v>#VALUE!</v>
      </c>
      <c r="U31" s="4" t="e">
        <f t="shared" si="18"/>
        <v>#VALUE!</v>
      </c>
      <c r="V31" s="4" t="b">
        <f t="shared" si="3"/>
        <v>0</v>
      </c>
      <c r="W31" s="13" t="str">
        <f t="shared" si="4"/>
        <v>Да</v>
      </c>
      <c r="X31" s="4" t="e">
        <f>(IF(COUNTIFS($G$2:G31,"+",$W$2:W31,"Да")&gt;1,"&amp; ","")&amp;D31&amp;J31&amp;E31&amp;SUBSTITUTE(L31,"""",""))</f>
        <v>#VALUE!</v>
      </c>
      <c r="Y31" s="4" t="e">
        <f t="shared" si="5"/>
        <v>#VALUE!</v>
      </c>
    </row>
    <row r="32" spans="1:25" x14ac:dyDescent="0.3">
      <c r="A32" s="11"/>
      <c r="B32" s="5" t="str">
        <f t="shared" si="6"/>
        <v/>
      </c>
      <c r="C32" s="5" t="str">
        <f t="shared" si="7"/>
        <v/>
      </c>
      <c r="D32" s="4" t="s">
        <v>10</v>
      </c>
      <c r="E32" s="4" t="s">
        <v>11</v>
      </c>
      <c r="F32" s="4" t="str">
        <f t="shared" si="8"/>
        <v>!!!</v>
      </c>
      <c r="G32" s="4" t="str">
        <f t="shared" si="9"/>
        <v>+</v>
      </c>
      <c r="H32" s="4"/>
      <c r="I32" s="4" t="str">
        <f t="shared" si="10"/>
        <v>!!!</v>
      </c>
      <c r="J32" s="4" t="e">
        <f t="shared" si="11"/>
        <v>#VALUE!</v>
      </c>
      <c r="K32" s="4" t="e">
        <f t="shared" si="12"/>
        <v>#VALUE!</v>
      </c>
      <c r="L32" s="4" t="e">
        <f t="shared" si="13"/>
        <v>#VALUE!</v>
      </c>
      <c r="M32" s="4">
        <f t="shared" si="14"/>
        <v>1000</v>
      </c>
      <c r="N32" s="4">
        <f t="shared" ref="N32:O32" si="47">MIN(IFERROR(FIND(" ",$C32,M32+1),1000))</f>
        <v>1000</v>
      </c>
      <c r="O32" s="4">
        <f t="shared" si="47"/>
        <v>1000</v>
      </c>
      <c r="P32" s="4">
        <f t="shared" si="16"/>
        <v>0</v>
      </c>
      <c r="Q32" s="4" t="str">
        <f t="shared" si="0"/>
        <v/>
      </c>
      <c r="R32" s="4" t="str">
        <f t="shared" si="1"/>
        <v/>
      </c>
      <c r="S32" s="4" t="str">
        <f t="shared" si="2"/>
        <v/>
      </c>
      <c r="T32" s="4" t="e">
        <f t="shared" si="17"/>
        <v>#VALUE!</v>
      </c>
      <c r="U32" s="4" t="e">
        <f t="shared" si="18"/>
        <v>#VALUE!</v>
      </c>
      <c r="V32" s="4" t="b">
        <f t="shared" si="3"/>
        <v>0</v>
      </c>
      <c r="W32" s="13" t="str">
        <f t="shared" si="4"/>
        <v>Да</v>
      </c>
      <c r="X32" s="4" t="e">
        <f>(IF(COUNTIFS($G$2:G32,"+",$W$2:W32,"Да")&gt;1,"&amp; ","")&amp;D32&amp;J32&amp;E32&amp;SUBSTITUTE(L32,"""",""))</f>
        <v>#VALUE!</v>
      </c>
      <c r="Y32" s="4" t="e">
        <f t="shared" si="5"/>
        <v>#VALUE!</v>
      </c>
    </row>
    <row r="33" spans="1:25" x14ac:dyDescent="0.3">
      <c r="A33" s="11"/>
      <c r="B33" s="5" t="str">
        <f t="shared" si="6"/>
        <v/>
      </c>
      <c r="C33" s="5" t="str">
        <f t="shared" si="7"/>
        <v/>
      </c>
      <c r="D33" s="4" t="s">
        <v>10</v>
      </c>
      <c r="E33" s="4" t="s">
        <v>11</v>
      </c>
      <c r="F33" s="4" t="str">
        <f t="shared" si="8"/>
        <v>!!!</v>
      </c>
      <c r="G33" s="4" t="str">
        <f t="shared" si="9"/>
        <v>+</v>
      </c>
      <c r="H33" s="4"/>
      <c r="I33" s="4" t="str">
        <f t="shared" si="10"/>
        <v>!!!</v>
      </c>
      <c r="J33" s="4" t="e">
        <f t="shared" si="11"/>
        <v>#VALUE!</v>
      </c>
      <c r="K33" s="4" t="e">
        <f t="shared" si="12"/>
        <v>#VALUE!</v>
      </c>
      <c r="L33" s="4" t="e">
        <f t="shared" si="13"/>
        <v>#VALUE!</v>
      </c>
      <c r="M33" s="4">
        <f t="shared" si="14"/>
        <v>1000</v>
      </c>
      <c r="N33" s="4">
        <f t="shared" ref="N33:O33" si="48">MIN(IFERROR(FIND(" ",$C33,M33+1),1000))</f>
        <v>1000</v>
      </c>
      <c r="O33" s="4">
        <f t="shared" si="48"/>
        <v>1000</v>
      </c>
      <c r="P33" s="4">
        <f t="shared" si="16"/>
        <v>0</v>
      </c>
      <c r="Q33" s="4" t="str">
        <f t="shared" si="0"/>
        <v/>
      </c>
      <c r="R33" s="4" t="str">
        <f t="shared" si="1"/>
        <v/>
      </c>
      <c r="S33" s="4" t="str">
        <f t="shared" si="2"/>
        <v/>
      </c>
      <c r="T33" s="4" t="e">
        <f t="shared" si="17"/>
        <v>#VALUE!</v>
      </c>
      <c r="U33" s="4" t="e">
        <f t="shared" si="18"/>
        <v>#VALUE!</v>
      </c>
      <c r="V33" s="4" t="b">
        <f t="shared" si="3"/>
        <v>0</v>
      </c>
      <c r="W33" s="13" t="str">
        <f t="shared" si="4"/>
        <v>Да</v>
      </c>
      <c r="X33" s="4" t="e">
        <f>(IF(COUNTIFS($G$2:G33,"+",$W$2:W33,"Да")&gt;1,"&amp; ","")&amp;D33&amp;J33&amp;E33&amp;SUBSTITUTE(L33,"""",""))</f>
        <v>#VALUE!</v>
      </c>
      <c r="Y33" s="4" t="e">
        <f t="shared" si="5"/>
        <v>#VALUE!</v>
      </c>
    </row>
    <row r="34" spans="1:25" x14ac:dyDescent="0.3">
      <c r="A34" s="11"/>
      <c r="B34" s="5" t="str">
        <f t="shared" si="6"/>
        <v/>
      </c>
      <c r="C34" s="5" t="str">
        <f t="shared" si="7"/>
        <v/>
      </c>
      <c r="D34" s="4" t="s">
        <v>10</v>
      </c>
      <c r="E34" s="4" t="s">
        <v>11</v>
      </c>
      <c r="F34" s="4" t="str">
        <f t="shared" si="8"/>
        <v>!!!</v>
      </c>
      <c r="G34" s="4" t="str">
        <f t="shared" si="9"/>
        <v>+</v>
      </c>
      <c r="H34" s="4"/>
      <c r="I34" s="4" t="str">
        <f t="shared" si="10"/>
        <v>!!!</v>
      </c>
      <c r="J34" s="4" t="e">
        <f t="shared" si="11"/>
        <v>#VALUE!</v>
      </c>
      <c r="K34" s="4" t="e">
        <f t="shared" si="12"/>
        <v>#VALUE!</v>
      </c>
      <c r="L34" s="4" t="e">
        <f t="shared" si="13"/>
        <v>#VALUE!</v>
      </c>
      <c r="M34" s="4">
        <f t="shared" si="14"/>
        <v>1000</v>
      </c>
      <c r="N34" s="4">
        <f t="shared" ref="N34:O34" si="49">MIN(IFERROR(FIND(" ",$C34,M34+1),1000))</f>
        <v>1000</v>
      </c>
      <c r="O34" s="4">
        <f t="shared" si="49"/>
        <v>1000</v>
      </c>
      <c r="P34" s="4">
        <f t="shared" si="16"/>
        <v>0</v>
      </c>
      <c r="Q34" s="4" t="str">
        <f t="shared" si="0"/>
        <v/>
      </c>
      <c r="R34" s="4" t="str">
        <f t="shared" si="1"/>
        <v/>
      </c>
      <c r="S34" s="4" t="str">
        <f t="shared" si="2"/>
        <v/>
      </c>
      <c r="T34" s="4" t="e">
        <f t="shared" si="17"/>
        <v>#VALUE!</v>
      </c>
      <c r="U34" s="4" t="e">
        <f t="shared" si="18"/>
        <v>#VALUE!</v>
      </c>
      <c r="V34" s="4" t="b">
        <f t="shared" si="3"/>
        <v>0</v>
      </c>
      <c r="W34" s="13" t="str">
        <f t="shared" si="4"/>
        <v>Да</v>
      </c>
      <c r="X34" s="4" t="e">
        <f>(IF(COUNTIFS($G$2:G34,"+",$W$2:W34,"Да")&gt;1,"&amp; ","")&amp;D34&amp;J34&amp;E34&amp;SUBSTITUTE(L34,"""",""))</f>
        <v>#VALUE!</v>
      </c>
      <c r="Y34" s="4" t="e">
        <f t="shared" si="5"/>
        <v>#VALUE!</v>
      </c>
    </row>
    <row r="35" spans="1:25" x14ac:dyDescent="0.3">
      <c r="A35" s="11"/>
      <c r="B35" s="5" t="str">
        <f t="shared" si="6"/>
        <v/>
      </c>
      <c r="C35" s="5" t="str">
        <f t="shared" si="7"/>
        <v/>
      </c>
      <c r="D35" s="4" t="s">
        <v>10</v>
      </c>
      <c r="E35" s="4" t="s">
        <v>11</v>
      </c>
      <c r="F35" s="4" t="str">
        <f t="shared" si="8"/>
        <v>!!!</v>
      </c>
      <c r="G35" s="4" t="str">
        <f t="shared" si="9"/>
        <v>+</v>
      </c>
      <c r="H35" s="4"/>
      <c r="I35" s="4" t="str">
        <f t="shared" si="10"/>
        <v>!!!</v>
      </c>
      <c r="J35" s="4" t="e">
        <f t="shared" si="11"/>
        <v>#VALUE!</v>
      </c>
      <c r="K35" s="4" t="e">
        <f t="shared" si="12"/>
        <v>#VALUE!</v>
      </c>
      <c r="L35" s="4" t="e">
        <f t="shared" si="13"/>
        <v>#VALUE!</v>
      </c>
      <c r="M35" s="4">
        <f t="shared" si="14"/>
        <v>1000</v>
      </c>
      <c r="N35" s="4">
        <f t="shared" ref="N35:O35" si="50">MIN(IFERROR(FIND(" ",$C35,M35+1),1000))</f>
        <v>1000</v>
      </c>
      <c r="O35" s="4">
        <f t="shared" si="50"/>
        <v>1000</v>
      </c>
      <c r="P35" s="4">
        <f t="shared" si="16"/>
        <v>0</v>
      </c>
      <c r="Q35" s="4" t="str">
        <f t="shared" si="0"/>
        <v/>
      </c>
      <c r="R35" s="4" t="str">
        <f t="shared" si="1"/>
        <v/>
      </c>
      <c r="S35" s="4" t="str">
        <f t="shared" si="2"/>
        <v/>
      </c>
      <c r="T35" s="4" t="e">
        <f t="shared" si="17"/>
        <v>#VALUE!</v>
      </c>
      <c r="U35" s="4" t="e">
        <f t="shared" si="18"/>
        <v>#VALUE!</v>
      </c>
      <c r="V35" s="4" t="b">
        <f t="shared" si="3"/>
        <v>0</v>
      </c>
      <c r="W35" s="13" t="str">
        <f t="shared" si="4"/>
        <v>Да</v>
      </c>
      <c r="X35" s="4" t="e">
        <f>(IF(COUNTIFS($G$2:G35,"+",$W$2:W35,"Да")&gt;1,"&amp; ","")&amp;D35&amp;J35&amp;E35&amp;SUBSTITUTE(L35,"""",""))</f>
        <v>#VALUE!</v>
      </c>
      <c r="Y35" s="4" t="e">
        <f t="shared" si="5"/>
        <v>#VALUE!</v>
      </c>
    </row>
    <row r="36" spans="1:25" x14ac:dyDescent="0.3">
      <c r="A36" s="11"/>
      <c r="B36" s="5" t="str">
        <f t="shared" si="6"/>
        <v/>
      </c>
      <c r="C36" s="5" t="str">
        <f t="shared" si="7"/>
        <v/>
      </c>
      <c r="D36" s="4" t="s">
        <v>10</v>
      </c>
      <c r="E36" s="4" t="s">
        <v>11</v>
      </c>
      <c r="F36" s="4" t="str">
        <f t="shared" si="8"/>
        <v>!!!</v>
      </c>
      <c r="G36" s="4" t="str">
        <f t="shared" si="9"/>
        <v>+</v>
      </c>
      <c r="H36" s="4"/>
      <c r="I36" s="4" t="str">
        <f t="shared" si="10"/>
        <v>!!!</v>
      </c>
      <c r="J36" s="4" t="e">
        <f t="shared" si="11"/>
        <v>#VALUE!</v>
      </c>
      <c r="K36" s="4" t="e">
        <f t="shared" si="12"/>
        <v>#VALUE!</v>
      </c>
      <c r="L36" s="4" t="e">
        <f t="shared" si="13"/>
        <v>#VALUE!</v>
      </c>
      <c r="M36" s="4">
        <f t="shared" si="14"/>
        <v>1000</v>
      </c>
      <c r="N36" s="4">
        <f t="shared" ref="N36:O36" si="51">MIN(IFERROR(FIND(" ",$C36,M36+1),1000))</f>
        <v>1000</v>
      </c>
      <c r="O36" s="4">
        <f t="shared" si="51"/>
        <v>1000</v>
      </c>
      <c r="P36" s="4">
        <f t="shared" si="16"/>
        <v>0</v>
      </c>
      <c r="Q36" s="4" t="str">
        <f t="shared" si="0"/>
        <v/>
      </c>
      <c r="R36" s="4" t="str">
        <f t="shared" si="1"/>
        <v/>
      </c>
      <c r="S36" s="4" t="str">
        <f t="shared" si="2"/>
        <v/>
      </c>
      <c r="T36" s="4" t="e">
        <f t="shared" si="17"/>
        <v>#VALUE!</v>
      </c>
      <c r="U36" s="4" t="e">
        <f t="shared" si="18"/>
        <v>#VALUE!</v>
      </c>
      <c r="V36" s="4" t="b">
        <f t="shared" si="3"/>
        <v>0</v>
      </c>
      <c r="W36" s="13" t="str">
        <f t="shared" si="4"/>
        <v>Да</v>
      </c>
      <c r="X36" s="4" t="e">
        <f>(IF(COUNTIFS($G$2:G36,"+",$W$2:W36,"Да")&gt;1,"&amp; ","")&amp;D36&amp;J36&amp;E36&amp;SUBSTITUTE(L36,"""",""))</f>
        <v>#VALUE!</v>
      </c>
      <c r="Y36" s="4" t="e">
        <f t="shared" si="5"/>
        <v>#VALUE!</v>
      </c>
    </row>
    <row r="37" spans="1:25" x14ac:dyDescent="0.3">
      <c r="A37" s="11"/>
      <c r="B37" s="5" t="str">
        <f t="shared" si="6"/>
        <v/>
      </c>
      <c r="C37" s="5" t="str">
        <f t="shared" si="7"/>
        <v/>
      </c>
      <c r="D37" s="4" t="s">
        <v>10</v>
      </c>
      <c r="E37" s="4" t="s">
        <v>11</v>
      </c>
      <c r="F37" s="4" t="str">
        <f t="shared" si="8"/>
        <v>!!!</v>
      </c>
      <c r="G37" s="4" t="str">
        <f t="shared" si="9"/>
        <v>+</v>
      </c>
      <c r="H37" s="4"/>
      <c r="I37" s="4" t="str">
        <f t="shared" si="10"/>
        <v>!!!</v>
      </c>
      <c r="J37" s="4" t="e">
        <f t="shared" si="11"/>
        <v>#VALUE!</v>
      </c>
      <c r="K37" s="4" t="e">
        <f t="shared" si="12"/>
        <v>#VALUE!</v>
      </c>
      <c r="L37" s="4" t="e">
        <f t="shared" si="13"/>
        <v>#VALUE!</v>
      </c>
      <c r="M37" s="4">
        <f t="shared" si="14"/>
        <v>1000</v>
      </c>
      <c r="N37" s="4">
        <f t="shared" ref="N37:O37" si="52">MIN(IFERROR(FIND(" ",$C37,M37+1),1000))</f>
        <v>1000</v>
      </c>
      <c r="O37" s="4">
        <f t="shared" si="52"/>
        <v>1000</v>
      </c>
      <c r="P37" s="4">
        <f t="shared" si="16"/>
        <v>0</v>
      </c>
      <c r="Q37" s="4" t="str">
        <f t="shared" si="0"/>
        <v/>
      </c>
      <c r="R37" s="4" t="str">
        <f t="shared" si="1"/>
        <v/>
      </c>
      <c r="S37" s="4" t="str">
        <f t="shared" si="2"/>
        <v/>
      </c>
      <c r="T37" s="4" t="e">
        <f t="shared" si="17"/>
        <v>#VALUE!</v>
      </c>
      <c r="U37" s="4" t="e">
        <f t="shared" si="18"/>
        <v>#VALUE!</v>
      </c>
      <c r="V37" s="4" t="b">
        <f t="shared" si="3"/>
        <v>0</v>
      </c>
      <c r="W37" s="13" t="str">
        <f t="shared" si="4"/>
        <v>Да</v>
      </c>
      <c r="X37" s="4" t="e">
        <f>(IF(COUNTIFS($G$2:G37,"+",$W$2:W37,"Да")&gt;1,"&amp; ","")&amp;D37&amp;J37&amp;E37&amp;SUBSTITUTE(L37,"""",""))</f>
        <v>#VALUE!</v>
      </c>
      <c r="Y37" s="4" t="e">
        <f t="shared" si="5"/>
        <v>#VALUE!</v>
      </c>
    </row>
    <row r="38" spans="1:25" x14ac:dyDescent="0.3">
      <c r="A38" s="11"/>
      <c r="B38" s="5" t="str">
        <f t="shared" si="6"/>
        <v/>
      </c>
      <c r="C38" s="5" t="str">
        <f t="shared" si="7"/>
        <v/>
      </c>
      <c r="D38" s="4" t="s">
        <v>10</v>
      </c>
      <c r="E38" s="4" t="s">
        <v>11</v>
      </c>
      <c r="F38" s="4" t="str">
        <f t="shared" si="8"/>
        <v>!!!</v>
      </c>
      <c r="G38" s="4" t="str">
        <f t="shared" si="9"/>
        <v>+</v>
      </c>
      <c r="H38" s="4"/>
      <c r="I38" s="4" t="str">
        <f t="shared" si="10"/>
        <v>!!!</v>
      </c>
      <c r="J38" s="4" t="e">
        <f t="shared" si="11"/>
        <v>#VALUE!</v>
      </c>
      <c r="K38" s="4" t="e">
        <f t="shared" si="12"/>
        <v>#VALUE!</v>
      </c>
      <c r="L38" s="4" t="e">
        <f t="shared" si="13"/>
        <v>#VALUE!</v>
      </c>
      <c r="M38" s="4">
        <f t="shared" si="14"/>
        <v>1000</v>
      </c>
      <c r="N38" s="4">
        <f t="shared" ref="N38:O38" si="53">MIN(IFERROR(FIND(" ",$C38,M38+1),1000))</f>
        <v>1000</v>
      </c>
      <c r="O38" s="4">
        <f t="shared" si="53"/>
        <v>1000</v>
      </c>
      <c r="P38" s="4">
        <f t="shared" si="16"/>
        <v>0</v>
      </c>
      <c r="Q38" s="4" t="str">
        <f t="shared" si="0"/>
        <v/>
      </c>
      <c r="R38" s="4" t="str">
        <f t="shared" si="1"/>
        <v/>
      </c>
      <c r="S38" s="4" t="str">
        <f t="shared" si="2"/>
        <v/>
      </c>
      <c r="T38" s="4" t="e">
        <f t="shared" si="17"/>
        <v>#VALUE!</v>
      </c>
      <c r="U38" s="4" t="e">
        <f t="shared" si="18"/>
        <v>#VALUE!</v>
      </c>
      <c r="V38" s="4" t="b">
        <f t="shared" si="3"/>
        <v>0</v>
      </c>
      <c r="W38" s="13" t="str">
        <f t="shared" si="4"/>
        <v>Да</v>
      </c>
      <c r="X38" s="4" t="e">
        <f>(IF(COUNTIFS($G$2:G38,"+",$W$2:W38,"Да")&gt;1,"&amp; ","")&amp;D38&amp;J38&amp;E38&amp;SUBSTITUTE(L38,"""",""))</f>
        <v>#VALUE!</v>
      </c>
      <c r="Y38" s="4" t="e">
        <f t="shared" si="5"/>
        <v>#VALUE!</v>
      </c>
    </row>
    <row r="39" spans="1:25" x14ac:dyDescent="0.3">
      <c r="A39" s="11"/>
      <c r="B39" s="5" t="str">
        <f t="shared" si="6"/>
        <v/>
      </c>
      <c r="C39" s="5" t="str">
        <f t="shared" si="7"/>
        <v/>
      </c>
      <c r="D39" s="4" t="s">
        <v>10</v>
      </c>
      <c r="E39" s="4" t="s">
        <v>11</v>
      </c>
      <c r="F39" s="4" t="str">
        <f t="shared" si="8"/>
        <v>!!!</v>
      </c>
      <c r="G39" s="4" t="str">
        <f t="shared" si="9"/>
        <v>+</v>
      </c>
      <c r="H39" s="4"/>
      <c r="I39" s="4" t="str">
        <f t="shared" si="10"/>
        <v>!!!</v>
      </c>
      <c r="J39" s="4" t="e">
        <f t="shared" si="11"/>
        <v>#VALUE!</v>
      </c>
      <c r="K39" s="4" t="e">
        <f t="shared" si="12"/>
        <v>#VALUE!</v>
      </c>
      <c r="L39" s="4" t="e">
        <f t="shared" si="13"/>
        <v>#VALUE!</v>
      </c>
      <c r="M39" s="4">
        <f t="shared" si="14"/>
        <v>1000</v>
      </c>
      <c r="N39" s="4">
        <f t="shared" ref="N39:O39" si="54">MIN(IFERROR(FIND(" ",$C39,M39+1),1000))</f>
        <v>1000</v>
      </c>
      <c r="O39" s="4">
        <f t="shared" si="54"/>
        <v>1000</v>
      </c>
      <c r="P39" s="4">
        <f t="shared" si="16"/>
        <v>0</v>
      </c>
      <c r="Q39" s="4" t="str">
        <f t="shared" si="0"/>
        <v/>
      </c>
      <c r="R39" s="4" t="str">
        <f t="shared" si="1"/>
        <v/>
      </c>
      <c r="S39" s="4" t="str">
        <f t="shared" si="2"/>
        <v/>
      </c>
      <c r="T39" s="4" t="e">
        <f t="shared" si="17"/>
        <v>#VALUE!</v>
      </c>
      <c r="U39" s="4" t="e">
        <f t="shared" si="18"/>
        <v>#VALUE!</v>
      </c>
      <c r="V39" s="4" t="b">
        <f t="shared" si="3"/>
        <v>0</v>
      </c>
      <c r="W39" s="13" t="str">
        <f t="shared" si="4"/>
        <v>Да</v>
      </c>
      <c r="X39" s="4" t="e">
        <f>(IF(COUNTIFS($G$2:G39,"+",$W$2:W39,"Да")&gt;1,"&amp; ","")&amp;D39&amp;J39&amp;E39&amp;SUBSTITUTE(L39,"""",""))</f>
        <v>#VALUE!</v>
      </c>
      <c r="Y39" s="4" t="e">
        <f t="shared" si="5"/>
        <v>#VALUE!</v>
      </c>
    </row>
    <row r="40" spans="1:25" x14ac:dyDescent="0.3">
      <c r="A40" s="11"/>
      <c r="B40" s="5" t="str">
        <f t="shared" si="6"/>
        <v/>
      </c>
      <c r="C40" s="5" t="str">
        <f t="shared" si="7"/>
        <v/>
      </c>
      <c r="D40" s="4" t="s">
        <v>10</v>
      </c>
      <c r="E40" s="4" t="s">
        <v>11</v>
      </c>
      <c r="F40" s="4" t="str">
        <f t="shared" si="8"/>
        <v>!!!</v>
      </c>
      <c r="G40" s="4" t="str">
        <f t="shared" si="9"/>
        <v>+</v>
      </c>
      <c r="H40" s="4"/>
      <c r="I40" s="4" t="str">
        <f t="shared" si="10"/>
        <v>!!!</v>
      </c>
      <c r="J40" s="4" t="e">
        <f t="shared" si="11"/>
        <v>#VALUE!</v>
      </c>
      <c r="K40" s="4" t="e">
        <f t="shared" si="12"/>
        <v>#VALUE!</v>
      </c>
      <c r="L40" s="4" t="e">
        <f t="shared" si="13"/>
        <v>#VALUE!</v>
      </c>
      <c r="M40" s="4">
        <f t="shared" si="14"/>
        <v>1000</v>
      </c>
      <c r="N40" s="4">
        <f t="shared" ref="N40:O40" si="55">MIN(IFERROR(FIND(" ",$C40,M40+1),1000))</f>
        <v>1000</v>
      </c>
      <c r="O40" s="4">
        <f t="shared" si="55"/>
        <v>1000</v>
      </c>
      <c r="P40" s="4">
        <f t="shared" si="16"/>
        <v>0</v>
      </c>
      <c r="Q40" s="4" t="str">
        <f t="shared" si="0"/>
        <v/>
      </c>
      <c r="R40" s="4" t="str">
        <f t="shared" si="1"/>
        <v/>
      </c>
      <c r="S40" s="4" t="str">
        <f t="shared" si="2"/>
        <v/>
      </c>
      <c r="T40" s="4" t="e">
        <f t="shared" si="17"/>
        <v>#VALUE!</v>
      </c>
      <c r="U40" s="4" t="e">
        <f t="shared" si="18"/>
        <v>#VALUE!</v>
      </c>
      <c r="V40" s="4" t="b">
        <f t="shared" si="3"/>
        <v>0</v>
      </c>
      <c r="W40" s="13" t="str">
        <f t="shared" si="4"/>
        <v>Да</v>
      </c>
      <c r="X40" s="4" t="e">
        <f>(IF(COUNTIFS($G$2:G40,"+",$W$2:W40,"Да")&gt;1,"&amp; ","")&amp;D40&amp;J40&amp;E40&amp;SUBSTITUTE(L40,"""",""))</f>
        <v>#VALUE!</v>
      </c>
      <c r="Y40" s="4" t="e">
        <f t="shared" si="5"/>
        <v>#VALUE!</v>
      </c>
    </row>
    <row r="41" spans="1:25" x14ac:dyDescent="0.3">
      <c r="A41" s="11"/>
      <c r="B41" s="5" t="str">
        <f t="shared" si="6"/>
        <v/>
      </c>
      <c r="C41" s="5" t="str">
        <f t="shared" si="7"/>
        <v/>
      </c>
      <c r="D41" s="4" t="s">
        <v>10</v>
      </c>
      <c r="E41" s="4" t="s">
        <v>11</v>
      </c>
      <c r="F41" s="4" t="str">
        <f t="shared" si="8"/>
        <v>!!!</v>
      </c>
      <c r="G41" s="4" t="str">
        <f t="shared" si="9"/>
        <v>+</v>
      </c>
      <c r="H41" s="4"/>
      <c r="I41" s="4" t="str">
        <f t="shared" si="10"/>
        <v>!!!</v>
      </c>
      <c r="J41" s="4" t="e">
        <f t="shared" si="11"/>
        <v>#VALUE!</v>
      </c>
      <c r="K41" s="4" t="e">
        <f t="shared" si="12"/>
        <v>#VALUE!</v>
      </c>
      <c r="L41" s="4" t="e">
        <f t="shared" si="13"/>
        <v>#VALUE!</v>
      </c>
      <c r="M41" s="4">
        <f t="shared" si="14"/>
        <v>1000</v>
      </c>
      <c r="N41" s="4">
        <f t="shared" ref="N41:O41" si="56">MIN(IFERROR(FIND(" ",$C41,M41+1),1000))</f>
        <v>1000</v>
      </c>
      <c r="O41" s="4">
        <f t="shared" si="56"/>
        <v>1000</v>
      </c>
      <c r="P41" s="4">
        <f t="shared" si="16"/>
        <v>0</v>
      </c>
      <c r="Q41" s="4" t="str">
        <f t="shared" si="0"/>
        <v/>
      </c>
      <c r="R41" s="4" t="str">
        <f t="shared" si="1"/>
        <v/>
      </c>
      <c r="S41" s="4" t="str">
        <f t="shared" si="2"/>
        <v/>
      </c>
      <c r="T41" s="4" t="e">
        <f t="shared" si="17"/>
        <v>#VALUE!</v>
      </c>
      <c r="U41" s="4" t="e">
        <f t="shared" si="18"/>
        <v>#VALUE!</v>
      </c>
      <c r="V41" s="4" t="b">
        <f t="shared" si="3"/>
        <v>0</v>
      </c>
      <c r="W41" s="13" t="str">
        <f t="shared" si="4"/>
        <v>Да</v>
      </c>
      <c r="X41" s="4" t="e">
        <f>(IF(COUNTIFS($G$2:G41,"+",$W$2:W41,"Да")&gt;1,"&amp; ","")&amp;D41&amp;J41&amp;E41&amp;SUBSTITUTE(L41,"""",""))</f>
        <v>#VALUE!</v>
      </c>
      <c r="Y41" s="4" t="e">
        <f t="shared" si="5"/>
        <v>#VALUE!</v>
      </c>
    </row>
    <row r="42" spans="1:25" x14ac:dyDescent="0.3">
      <c r="A42" s="11"/>
      <c r="B42" s="5" t="str">
        <f t="shared" si="6"/>
        <v/>
      </c>
      <c r="C42" s="5" t="str">
        <f t="shared" si="7"/>
        <v/>
      </c>
      <c r="D42" s="4" t="s">
        <v>10</v>
      </c>
      <c r="E42" s="4" t="s">
        <v>11</v>
      </c>
      <c r="F42" s="4" t="str">
        <f t="shared" si="8"/>
        <v>!!!</v>
      </c>
      <c r="G42" s="4" t="str">
        <f t="shared" si="9"/>
        <v>+</v>
      </c>
      <c r="H42" s="4"/>
      <c r="I42" s="4" t="str">
        <f t="shared" si="10"/>
        <v>!!!</v>
      </c>
      <c r="J42" s="4" t="e">
        <f t="shared" si="11"/>
        <v>#VALUE!</v>
      </c>
      <c r="K42" s="4" t="e">
        <f t="shared" si="12"/>
        <v>#VALUE!</v>
      </c>
      <c r="L42" s="4" t="e">
        <f t="shared" si="13"/>
        <v>#VALUE!</v>
      </c>
      <c r="M42" s="4">
        <f t="shared" si="14"/>
        <v>1000</v>
      </c>
      <c r="N42" s="4">
        <f t="shared" ref="N42:O42" si="57">MIN(IFERROR(FIND(" ",$C42,M42+1),1000))</f>
        <v>1000</v>
      </c>
      <c r="O42" s="4">
        <f t="shared" si="57"/>
        <v>1000</v>
      </c>
      <c r="P42" s="4">
        <f t="shared" si="16"/>
        <v>0</v>
      </c>
      <c r="Q42" s="4" t="str">
        <f t="shared" si="0"/>
        <v/>
      </c>
      <c r="R42" s="4" t="str">
        <f t="shared" si="1"/>
        <v/>
      </c>
      <c r="S42" s="4" t="str">
        <f t="shared" si="2"/>
        <v/>
      </c>
      <c r="T42" s="4" t="e">
        <f t="shared" si="17"/>
        <v>#VALUE!</v>
      </c>
      <c r="U42" s="4" t="e">
        <f t="shared" si="18"/>
        <v>#VALUE!</v>
      </c>
      <c r="V42" s="4" t="b">
        <f t="shared" si="3"/>
        <v>0</v>
      </c>
      <c r="W42" s="13" t="str">
        <f t="shared" si="4"/>
        <v>Да</v>
      </c>
      <c r="X42" s="4" t="e">
        <f>(IF(COUNTIFS($G$2:G42,"+",$W$2:W42,"Да")&gt;1,"&amp; ","")&amp;D42&amp;J42&amp;E42&amp;SUBSTITUTE(L42,"""",""))</f>
        <v>#VALUE!</v>
      </c>
      <c r="Y42" s="4" t="e">
        <f t="shared" si="5"/>
        <v>#VALUE!</v>
      </c>
    </row>
    <row r="43" spans="1:25" x14ac:dyDescent="0.3">
      <c r="A43" s="11"/>
      <c r="B43" s="5" t="str">
        <f t="shared" si="6"/>
        <v/>
      </c>
      <c r="C43" s="5" t="str">
        <f t="shared" si="7"/>
        <v/>
      </c>
      <c r="D43" s="4" t="s">
        <v>10</v>
      </c>
      <c r="E43" s="4" t="s">
        <v>11</v>
      </c>
      <c r="F43" s="4" t="str">
        <f t="shared" si="8"/>
        <v>!!!</v>
      </c>
      <c r="G43" s="4" t="str">
        <f t="shared" si="9"/>
        <v>+</v>
      </c>
      <c r="H43" s="4"/>
      <c r="I43" s="4" t="str">
        <f t="shared" si="10"/>
        <v>!!!</v>
      </c>
      <c r="J43" s="4" t="e">
        <f t="shared" si="11"/>
        <v>#VALUE!</v>
      </c>
      <c r="K43" s="4" t="e">
        <f t="shared" si="12"/>
        <v>#VALUE!</v>
      </c>
      <c r="L43" s="4" t="e">
        <f t="shared" si="13"/>
        <v>#VALUE!</v>
      </c>
      <c r="M43" s="4">
        <f t="shared" si="14"/>
        <v>1000</v>
      </c>
      <c r="N43" s="4">
        <f t="shared" ref="N43:O43" si="58">MIN(IFERROR(FIND(" ",$C43,M43+1),1000))</f>
        <v>1000</v>
      </c>
      <c r="O43" s="4">
        <f t="shared" si="58"/>
        <v>1000</v>
      </c>
      <c r="P43" s="4">
        <f t="shared" si="16"/>
        <v>0</v>
      </c>
      <c r="Q43" s="4" t="str">
        <f t="shared" si="0"/>
        <v/>
      </c>
      <c r="R43" s="4" t="str">
        <f t="shared" si="1"/>
        <v/>
      </c>
      <c r="S43" s="4" t="str">
        <f t="shared" si="2"/>
        <v/>
      </c>
      <c r="T43" s="4" t="e">
        <f t="shared" si="17"/>
        <v>#VALUE!</v>
      </c>
      <c r="U43" s="4" t="e">
        <f t="shared" si="18"/>
        <v>#VALUE!</v>
      </c>
      <c r="V43" s="4" t="b">
        <f t="shared" si="3"/>
        <v>0</v>
      </c>
      <c r="W43" s="13" t="str">
        <f t="shared" si="4"/>
        <v>Да</v>
      </c>
      <c r="X43" s="4" t="e">
        <f>(IF(COUNTIFS($G$2:G43,"+",$W$2:W43,"Да")&gt;1,"&amp; ","")&amp;D43&amp;J43&amp;E43&amp;SUBSTITUTE(L43,"""",""))</f>
        <v>#VALUE!</v>
      </c>
      <c r="Y43" s="4" t="e">
        <f t="shared" si="5"/>
        <v>#VALUE!</v>
      </c>
    </row>
    <row r="44" spans="1:25" x14ac:dyDescent="0.3">
      <c r="A44" s="11"/>
      <c r="B44" s="5" t="str">
        <f t="shared" si="6"/>
        <v/>
      </c>
      <c r="C44" s="5" t="str">
        <f t="shared" si="7"/>
        <v/>
      </c>
      <c r="D44" s="4" t="s">
        <v>10</v>
      </c>
      <c r="E44" s="4" t="s">
        <v>11</v>
      </c>
      <c r="F44" s="4" t="str">
        <f t="shared" si="8"/>
        <v>!!!</v>
      </c>
      <c r="G44" s="4" t="str">
        <f t="shared" si="9"/>
        <v>+</v>
      </c>
      <c r="H44" s="4"/>
      <c r="I44" s="4" t="str">
        <f t="shared" si="10"/>
        <v>!!!</v>
      </c>
      <c r="J44" s="4" t="e">
        <f t="shared" si="11"/>
        <v>#VALUE!</v>
      </c>
      <c r="K44" s="4" t="e">
        <f t="shared" si="12"/>
        <v>#VALUE!</v>
      </c>
      <c r="L44" s="4" t="e">
        <f t="shared" si="13"/>
        <v>#VALUE!</v>
      </c>
      <c r="M44" s="4">
        <f t="shared" si="14"/>
        <v>1000</v>
      </c>
      <c r="N44" s="4">
        <f t="shared" ref="N44:O44" si="59">MIN(IFERROR(FIND(" ",$C44,M44+1),1000))</f>
        <v>1000</v>
      </c>
      <c r="O44" s="4">
        <f t="shared" si="59"/>
        <v>1000</v>
      </c>
      <c r="P44" s="4">
        <f t="shared" si="16"/>
        <v>0</v>
      </c>
      <c r="Q44" s="4" t="str">
        <f t="shared" si="0"/>
        <v/>
      </c>
      <c r="R44" s="4" t="str">
        <f t="shared" si="1"/>
        <v/>
      </c>
      <c r="S44" s="4" t="str">
        <f t="shared" si="2"/>
        <v/>
      </c>
      <c r="T44" s="4" t="e">
        <f t="shared" si="17"/>
        <v>#VALUE!</v>
      </c>
      <c r="U44" s="4" t="e">
        <f t="shared" si="18"/>
        <v>#VALUE!</v>
      </c>
      <c r="V44" s="4" t="b">
        <f t="shared" si="3"/>
        <v>0</v>
      </c>
      <c r="W44" s="13" t="str">
        <f t="shared" si="4"/>
        <v>Да</v>
      </c>
      <c r="X44" s="4" t="e">
        <f>(IF(COUNTIFS($G$2:G44,"+",$W$2:W44,"Да")&gt;1,"&amp; ","")&amp;D44&amp;J44&amp;E44&amp;SUBSTITUTE(L44,"""",""))</f>
        <v>#VALUE!</v>
      </c>
      <c r="Y44" s="4" t="e">
        <f t="shared" si="5"/>
        <v>#VALUE!</v>
      </c>
    </row>
    <row r="45" spans="1:25" x14ac:dyDescent="0.3">
      <c r="A45" s="11"/>
      <c r="B45" s="5" t="str">
        <f t="shared" si="6"/>
        <v/>
      </c>
      <c r="C45" s="5" t="str">
        <f t="shared" si="7"/>
        <v/>
      </c>
      <c r="D45" s="4" t="s">
        <v>10</v>
      </c>
      <c r="E45" s="4" t="s">
        <v>11</v>
      </c>
      <c r="F45" s="4" t="str">
        <f t="shared" si="8"/>
        <v>!!!</v>
      </c>
      <c r="G45" s="4" t="str">
        <f t="shared" si="9"/>
        <v>+</v>
      </c>
      <c r="H45" s="4"/>
      <c r="I45" s="4" t="str">
        <f t="shared" si="10"/>
        <v>!!!</v>
      </c>
      <c r="J45" s="4" t="e">
        <f t="shared" si="11"/>
        <v>#VALUE!</v>
      </c>
      <c r="K45" s="4" t="e">
        <f t="shared" si="12"/>
        <v>#VALUE!</v>
      </c>
      <c r="L45" s="4" t="e">
        <f t="shared" si="13"/>
        <v>#VALUE!</v>
      </c>
      <c r="M45" s="4">
        <f t="shared" si="14"/>
        <v>1000</v>
      </c>
      <c r="N45" s="4">
        <f t="shared" ref="N45:O45" si="60">MIN(IFERROR(FIND(" ",$C45,M45+1),1000))</f>
        <v>1000</v>
      </c>
      <c r="O45" s="4">
        <f t="shared" si="60"/>
        <v>1000</v>
      </c>
      <c r="P45" s="4">
        <f t="shared" si="16"/>
        <v>0</v>
      </c>
      <c r="Q45" s="4" t="str">
        <f t="shared" si="0"/>
        <v/>
      </c>
      <c r="R45" s="4" t="str">
        <f t="shared" si="1"/>
        <v/>
      </c>
      <c r="S45" s="4" t="str">
        <f t="shared" si="2"/>
        <v/>
      </c>
      <c r="T45" s="4" t="e">
        <f t="shared" si="17"/>
        <v>#VALUE!</v>
      </c>
      <c r="U45" s="4" t="e">
        <f t="shared" si="18"/>
        <v>#VALUE!</v>
      </c>
      <c r="V45" s="4" t="b">
        <f t="shared" si="3"/>
        <v>0</v>
      </c>
      <c r="W45" s="13" t="str">
        <f t="shared" si="4"/>
        <v>Да</v>
      </c>
      <c r="X45" s="4" t="e">
        <f>(IF(COUNTIFS($G$2:G45,"+",$W$2:W45,"Да")&gt;1,"&amp; ","")&amp;D45&amp;J45&amp;E45&amp;SUBSTITUTE(L45,"""",""))</f>
        <v>#VALUE!</v>
      </c>
      <c r="Y45" s="4" t="e">
        <f t="shared" si="5"/>
        <v>#VALUE!</v>
      </c>
    </row>
    <row r="46" spans="1:25" x14ac:dyDescent="0.3">
      <c r="A46" s="11"/>
      <c r="B46" s="5" t="str">
        <f t="shared" si="6"/>
        <v/>
      </c>
      <c r="C46" s="5" t="str">
        <f t="shared" si="7"/>
        <v/>
      </c>
      <c r="D46" s="4" t="s">
        <v>10</v>
      </c>
      <c r="E46" s="4" t="s">
        <v>11</v>
      </c>
      <c r="F46" s="4" t="str">
        <f t="shared" si="8"/>
        <v>!!!</v>
      </c>
      <c r="G46" s="4" t="str">
        <f t="shared" si="9"/>
        <v>+</v>
      </c>
      <c r="H46" s="4"/>
      <c r="I46" s="4" t="str">
        <f t="shared" si="10"/>
        <v>!!!</v>
      </c>
      <c r="J46" s="4" t="e">
        <f t="shared" si="11"/>
        <v>#VALUE!</v>
      </c>
      <c r="K46" s="4" t="e">
        <f t="shared" si="12"/>
        <v>#VALUE!</v>
      </c>
      <c r="L46" s="4" t="e">
        <f t="shared" si="13"/>
        <v>#VALUE!</v>
      </c>
      <c r="M46" s="4">
        <f t="shared" si="14"/>
        <v>1000</v>
      </c>
      <c r="N46" s="4">
        <f t="shared" ref="N46:O46" si="61">MIN(IFERROR(FIND(" ",$C46,M46+1),1000))</f>
        <v>1000</v>
      </c>
      <c r="O46" s="4">
        <f t="shared" si="61"/>
        <v>1000</v>
      </c>
      <c r="P46" s="4">
        <f t="shared" si="16"/>
        <v>0</v>
      </c>
      <c r="Q46" s="4" t="str">
        <f t="shared" si="0"/>
        <v/>
      </c>
      <c r="R46" s="4" t="str">
        <f t="shared" si="1"/>
        <v/>
      </c>
      <c r="S46" s="4" t="str">
        <f t="shared" si="2"/>
        <v/>
      </c>
      <c r="T46" s="4" t="e">
        <f t="shared" si="17"/>
        <v>#VALUE!</v>
      </c>
      <c r="U46" s="4" t="e">
        <f t="shared" si="18"/>
        <v>#VALUE!</v>
      </c>
      <c r="V46" s="4" t="b">
        <f t="shared" si="3"/>
        <v>0</v>
      </c>
      <c r="W46" s="13" t="str">
        <f t="shared" si="4"/>
        <v>Да</v>
      </c>
      <c r="X46" s="4" t="e">
        <f>(IF(COUNTIFS($G$2:G46,"+",$W$2:W46,"Да")&gt;1,"&amp; ","")&amp;D46&amp;J46&amp;E46&amp;SUBSTITUTE(L46,"""",""))</f>
        <v>#VALUE!</v>
      </c>
      <c r="Y46" s="4" t="e">
        <f t="shared" si="5"/>
        <v>#VALUE!</v>
      </c>
    </row>
    <row r="47" spans="1:25" x14ac:dyDescent="0.3">
      <c r="A47" s="11"/>
      <c r="B47" s="5" t="str">
        <f t="shared" si="6"/>
        <v/>
      </c>
      <c r="C47" s="5" t="str">
        <f t="shared" si="7"/>
        <v/>
      </c>
      <c r="D47" s="4" t="s">
        <v>10</v>
      </c>
      <c r="E47" s="4" t="s">
        <v>11</v>
      </c>
      <c r="F47" s="4" t="str">
        <f t="shared" si="8"/>
        <v>!!!</v>
      </c>
      <c r="G47" s="4" t="str">
        <f t="shared" si="9"/>
        <v>+</v>
      </c>
      <c r="H47" s="4"/>
      <c r="I47" s="4" t="str">
        <f t="shared" si="10"/>
        <v>!!!</v>
      </c>
      <c r="J47" s="4" t="e">
        <f t="shared" si="11"/>
        <v>#VALUE!</v>
      </c>
      <c r="K47" s="4" t="e">
        <f t="shared" si="12"/>
        <v>#VALUE!</v>
      </c>
      <c r="L47" s="4" t="e">
        <f t="shared" si="13"/>
        <v>#VALUE!</v>
      </c>
      <c r="M47" s="4">
        <f t="shared" si="14"/>
        <v>1000</v>
      </c>
      <c r="N47" s="4">
        <f t="shared" ref="N47:O47" si="62">MIN(IFERROR(FIND(" ",$C47,M47+1),1000))</f>
        <v>1000</v>
      </c>
      <c r="O47" s="4">
        <f t="shared" si="62"/>
        <v>1000</v>
      </c>
      <c r="P47" s="4">
        <f t="shared" si="16"/>
        <v>0</v>
      </c>
      <c r="Q47" s="4" t="str">
        <f t="shared" si="0"/>
        <v/>
      </c>
      <c r="R47" s="4" t="str">
        <f t="shared" si="1"/>
        <v/>
      </c>
      <c r="S47" s="4" t="str">
        <f t="shared" si="2"/>
        <v/>
      </c>
      <c r="T47" s="4" t="e">
        <f t="shared" si="17"/>
        <v>#VALUE!</v>
      </c>
      <c r="U47" s="4" t="e">
        <f t="shared" si="18"/>
        <v>#VALUE!</v>
      </c>
      <c r="V47" s="4" t="b">
        <f t="shared" si="3"/>
        <v>0</v>
      </c>
      <c r="W47" s="13" t="str">
        <f t="shared" si="4"/>
        <v>Да</v>
      </c>
      <c r="X47" s="4" t="e">
        <f>(IF(COUNTIFS($G$2:G47,"+",$W$2:W47,"Да")&gt;1,"&amp; ","")&amp;D47&amp;J47&amp;E47&amp;SUBSTITUTE(L47,"""",""))</f>
        <v>#VALUE!</v>
      </c>
      <c r="Y47" s="4" t="e">
        <f t="shared" si="5"/>
        <v>#VALUE!</v>
      </c>
    </row>
    <row r="48" spans="1:25" x14ac:dyDescent="0.3">
      <c r="A48" s="11"/>
      <c r="B48" s="5" t="str">
        <f t="shared" si="6"/>
        <v/>
      </c>
      <c r="C48" s="5" t="str">
        <f t="shared" si="7"/>
        <v/>
      </c>
      <c r="D48" s="4" t="s">
        <v>10</v>
      </c>
      <c r="E48" s="4" t="s">
        <v>11</v>
      </c>
      <c r="F48" s="4" t="str">
        <f t="shared" si="8"/>
        <v>!!!</v>
      </c>
      <c r="G48" s="4" t="str">
        <f t="shared" si="9"/>
        <v>+</v>
      </c>
      <c r="H48" s="4"/>
      <c r="I48" s="4" t="str">
        <f t="shared" si="10"/>
        <v>!!!</v>
      </c>
      <c r="J48" s="4" t="e">
        <f t="shared" si="11"/>
        <v>#VALUE!</v>
      </c>
      <c r="K48" s="4" t="e">
        <f t="shared" si="12"/>
        <v>#VALUE!</v>
      </c>
      <c r="L48" s="4" t="e">
        <f t="shared" si="13"/>
        <v>#VALUE!</v>
      </c>
      <c r="M48" s="4">
        <f t="shared" si="14"/>
        <v>1000</v>
      </c>
      <c r="N48" s="4">
        <f t="shared" ref="N48:O48" si="63">MIN(IFERROR(FIND(" ",$C48,M48+1),1000))</f>
        <v>1000</v>
      </c>
      <c r="O48" s="4">
        <f t="shared" si="63"/>
        <v>1000</v>
      </c>
      <c r="P48" s="4">
        <f t="shared" si="16"/>
        <v>0</v>
      </c>
      <c r="Q48" s="4" t="str">
        <f t="shared" si="0"/>
        <v/>
      </c>
      <c r="R48" s="4" t="str">
        <f t="shared" si="1"/>
        <v/>
      </c>
      <c r="S48" s="4" t="str">
        <f t="shared" si="2"/>
        <v/>
      </c>
      <c r="T48" s="4" t="e">
        <f t="shared" si="17"/>
        <v>#VALUE!</v>
      </c>
      <c r="U48" s="4" t="e">
        <f t="shared" si="18"/>
        <v>#VALUE!</v>
      </c>
      <c r="V48" s="4" t="b">
        <f t="shared" si="3"/>
        <v>0</v>
      </c>
      <c r="W48" s="13" t="str">
        <f t="shared" si="4"/>
        <v>Да</v>
      </c>
      <c r="X48" s="4" t="e">
        <f>(IF(COUNTIFS($G$2:G48,"+",$W$2:W48,"Да")&gt;1,"&amp; ","")&amp;D48&amp;J48&amp;E48&amp;SUBSTITUTE(L48,"""",""))</f>
        <v>#VALUE!</v>
      </c>
      <c r="Y48" s="4" t="e">
        <f t="shared" si="5"/>
        <v>#VALUE!</v>
      </c>
    </row>
    <row r="49" spans="1:25" x14ac:dyDescent="0.3">
      <c r="A49" s="11"/>
      <c r="B49" s="5" t="str">
        <f t="shared" si="6"/>
        <v/>
      </c>
      <c r="C49" s="5" t="str">
        <f t="shared" si="7"/>
        <v/>
      </c>
      <c r="D49" s="4" t="s">
        <v>10</v>
      </c>
      <c r="E49" s="4" t="s">
        <v>11</v>
      </c>
      <c r="F49" s="4" t="str">
        <f t="shared" si="8"/>
        <v>!!!</v>
      </c>
      <c r="G49" s="4" t="str">
        <f t="shared" si="9"/>
        <v>+</v>
      </c>
      <c r="H49" s="4"/>
      <c r="I49" s="4" t="str">
        <f t="shared" si="10"/>
        <v>!!!</v>
      </c>
      <c r="J49" s="4" t="e">
        <f t="shared" si="11"/>
        <v>#VALUE!</v>
      </c>
      <c r="K49" s="4" t="e">
        <f t="shared" si="12"/>
        <v>#VALUE!</v>
      </c>
      <c r="L49" s="4" t="e">
        <f t="shared" si="13"/>
        <v>#VALUE!</v>
      </c>
      <c r="M49" s="4">
        <f t="shared" si="14"/>
        <v>1000</v>
      </c>
      <c r="N49" s="4">
        <f t="shared" ref="N49:O49" si="64">MIN(IFERROR(FIND(" ",$C49,M49+1),1000))</f>
        <v>1000</v>
      </c>
      <c r="O49" s="4">
        <f t="shared" si="64"/>
        <v>1000</v>
      </c>
      <c r="P49" s="4">
        <f t="shared" si="16"/>
        <v>0</v>
      </c>
      <c r="Q49" s="4" t="str">
        <f t="shared" si="0"/>
        <v/>
      </c>
      <c r="R49" s="4" t="str">
        <f t="shared" si="1"/>
        <v/>
      </c>
      <c r="S49" s="4" t="str">
        <f t="shared" si="2"/>
        <v/>
      </c>
      <c r="T49" s="4" t="e">
        <f t="shared" si="17"/>
        <v>#VALUE!</v>
      </c>
      <c r="U49" s="4" t="e">
        <f t="shared" si="18"/>
        <v>#VALUE!</v>
      </c>
      <c r="V49" s="4" t="b">
        <f t="shared" si="3"/>
        <v>0</v>
      </c>
      <c r="W49" s="13" t="str">
        <f t="shared" si="4"/>
        <v>Да</v>
      </c>
      <c r="X49" s="4" t="e">
        <f>(IF(COUNTIFS($G$2:G49,"+",$W$2:W49,"Да")&gt;1,"&amp; ","")&amp;D49&amp;J49&amp;E49&amp;SUBSTITUTE(L49,"""",""))</f>
        <v>#VALUE!</v>
      </c>
      <c r="Y49" s="4" t="e">
        <f t="shared" si="5"/>
        <v>#VALUE!</v>
      </c>
    </row>
    <row r="50" spans="1:25" x14ac:dyDescent="0.3">
      <c r="A50" s="11"/>
      <c r="B50" s="5" t="str">
        <f t="shared" si="6"/>
        <v/>
      </c>
      <c r="C50" s="5" t="str">
        <f t="shared" si="7"/>
        <v/>
      </c>
      <c r="D50" s="4" t="s">
        <v>10</v>
      </c>
      <c r="E50" s="4" t="s">
        <v>11</v>
      </c>
      <c r="F50" s="4" t="str">
        <f t="shared" si="8"/>
        <v>!!!</v>
      </c>
      <c r="G50" s="4" t="str">
        <f t="shared" si="9"/>
        <v>+</v>
      </c>
      <c r="H50" s="4"/>
      <c r="I50" s="4" t="str">
        <f t="shared" si="10"/>
        <v>!!!</v>
      </c>
      <c r="J50" s="4" t="e">
        <f t="shared" si="11"/>
        <v>#VALUE!</v>
      </c>
      <c r="K50" s="4" t="e">
        <f t="shared" si="12"/>
        <v>#VALUE!</v>
      </c>
      <c r="L50" s="4" t="e">
        <f t="shared" si="13"/>
        <v>#VALUE!</v>
      </c>
      <c r="M50" s="4">
        <f t="shared" si="14"/>
        <v>1000</v>
      </c>
      <c r="N50" s="4">
        <f t="shared" ref="N50:O50" si="65">MIN(IFERROR(FIND(" ",$C50,M50+1),1000))</f>
        <v>1000</v>
      </c>
      <c r="O50" s="4">
        <f t="shared" si="65"/>
        <v>1000</v>
      </c>
      <c r="P50" s="4">
        <f t="shared" si="16"/>
        <v>0</v>
      </c>
      <c r="Q50" s="4" t="str">
        <f t="shared" si="0"/>
        <v/>
      </c>
      <c r="R50" s="4" t="str">
        <f t="shared" si="1"/>
        <v/>
      </c>
      <c r="S50" s="4" t="str">
        <f t="shared" si="2"/>
        <v/>
      </c>
      <c r="T50" s="4" t="e">
        <f t="shared" si="17"/>
        <v>#VALUE!</v>
      </c>
      <c r="U50" s="4" t="e">
        <f t="shared" si="18"/>
        <v>#VALUE!</v>
      </c>
      <c r="V50" s="4" t="b">
        <f t="shared" si="3"/>
        <v>0</v>
      </c>
      <c r="W50" s="13" t="str">
        <f t="shared" si="4"/>
        <v>Да</v>
      </c>
      <c r="X50" s="4" t="e">
        <f>(IF(COUNTIFS($G$2:G50,"+",$W$2:W50,"Да")&gt;1,"&amp; ","")&amp;D50&amp;J50&amp;E50&amp;SUBSTITUTE(L50,"""",""))</f>
        <v>#VALUE!</v>
      </c>
      <c r="Y50" s="4" t="e">
        <f t="shared" si="5"/>
        <v>#VALUE!</v>
      </c>
    </row>
    <row r="51" spans="1:25" x14ac:dyDescent="0.3">
      <c r="A51" s="11"/>
      <c r="B51" s="5" t="str">
        <f t="shared" si="6"/>
        <v/>
      </c>
      <c r="C51" s="5" t="str">
        <f t="shared" si="7"/>
        <v/>
      </c>
      <c r="D51" s="4" t="s">
        <v>10</v>
      </c>
      <c r="E51" s="4" t="s">
        <v>11</v>
      </c>
      <c r="F51" s="4" t="str">
        <f t="shared" si="8"/>
        <v>!!!</v>
      </c>
      <c r="G51" s="4" t="str">
        <f t="shared" si="9"/>
        <v>+</v>
      </c>
      <c r="H51" s="4"/>
      <c r="I51" s="4" t="str">
        <f t="shared" si="10"/>
        <v>!!!</v>
      </c>
      <c r="J51" s="4" t="e">
        <f t="shared" si="11"/>
        <v>#VALUE!</v>
      </c>
      <c r="K51" s="4" t="e">
        <f t="shared" si="12"/>
        <v>#VALUE!</v>
      </c>
      <c r="L51" s="4" t="e">
        <f t="shared" si="13"/>
        <v>#VALUE!</v>
      </c>
      <c r="M51" s="4">
        <f t="shared" si="14"/>
        <v>1000</v>
      </c>
      <c r="N51" s="4">
        <f t="shared" ref="N51:O51" si="66">MIN(IFERROR(FIND(" ",$C51,M51+1),1000))</f>
        <v>1000</v>
      </c>
      <c r="O51" s="4">
        <f t="shared" si="66"/>
        <v>1000</v>
      </c>
      <c r="P51" s="4">
        <f t="shared" si="16"/>
        <v>0</v>
      </c>
      <c r="Q51" s="4" t="str">
        <f t="shared" si="0"/>
        <v/>
      </c>
      <c r="R51" s="4" t="str">
        <f t="shared" si="1"/>
        <v/>
      </c>
      <c r="S51" s="4" t="str">
        <f t="shared" si="2"/>
        <v/>
      </c>
      <c r="T51" s="4" t="e">
        <f t="shared" si="17"/>
        <v>#VALUE!</v>
      </c>
      <c r="U51" s="4" t="e">
        <f t="shared" si="18"/>
        <v>#VALUE!</v>
      </c>
      <c r="V51" s="4" t="b">
        <f t="shared" si="3"/>
        <v>0</v>
      </c>
      <c r="W51" s="13" t="str">
        <f t="shared" si="4"/>
        <v>Да</v>
      </c>
      <c r="X51" s="4" t="e">
        <f>(IF(COUNTIFS($G$2:G51,"+",$W$2:W51,"Да")&gt;1,"&amp; ","")&amp;D51&amp;J51&amp;E51&amp;SUBSTITUTE(L51,"""",""))</f>
        <v>#VALUE!</v>
      </c>
      <c r="Y51" s="4" t="e">
        <f t="shared" si="5"/>
        <v>#VALUE!</v>
      </c>
    </row>
    <row r="52" spans="1:25" x14ac:dyDescent="0.3">
      <c r="A52" s="11"/>
      <c r="B52" s="5" t="str">
        <f t="shared" si="6"/>
        <v/>
      </c>
      <c r="C52" s="5" t="str">
        <f t="shared" si="7"/>
        <v/>
      </c>
      <c r="D52" s="4" t="s">
        <v>10</v>
      </c>
      <c r="E52" s="4" t="s">
        <v>11</v>
      </c>
      <c r="F52" s="4" t="str">
        <f t="shared" si="8"/>
        <v>!!!</v>
      </c>
      <c r="G52" s="4" t="str">
        <f t="shared" si="9"/>
        <v>+</v>
      </c>
      <c r="H52" s="4"/>
      <c r="I52" s="4" t="str">
        <f t="shared" si="10"/>
        <v>!!!</v>
      </c>
      <c r="J52" s="4" t="e">
        <f t="shared" si="11"/>
        <v>#VALUE!</v>
      </c>
      <c r="K52" s="4" t="e">
        <f t="shared" si="12"/>
        <v>#VALUE!</v>
      </c>
      <c r="L52" s="4" t="e">
        <f t="shared" si="13"/>
        <v>#VALUE!</v>
      </c>
      <c r="M52" s="4">
        <f t="shared" si="14"/>
        <v>1000</v>
      </c>
      <c r="N52" s="4">
        <f t="shared" ref="N52:O52" si="67">MIN(IFERROR(FIND(" ",$C52,M52+1),1000))</f>
        <v>1000</v>
      </c>
      <c r="O52" s="4">
        <f t="shared" si="67"/>
        <v>1000</v>
      </c>
      <c r="P52" s="4">
        <f t="shared" si="16"/>
        <v>0</v>
      </c>
      <c r="Q52" s="4" t="str">
        <f t="shared" si="0"/>
        <v/>
      </c>
      <c r="R52" s="4" t="str">
        <f t="shared" si="1"/>
        <v/>
      </c>
      <c r="S52" s="4" t="str">
        <f t="shared" si="2"/>
        <v/>
      </c>
      <c r="T52" s="4" t="e">
        <f t="shared" si="17"/>
        <v>#VALUE!</v>
      </c>
      <c r="U52" s="4" t="e">
        <f t="shared" si="18"/>
        <v>#VALUE!</v>
      </c>
      <c r="V52" s="4" t="b">
        <f t="shared" si="3"/>
        <v>0</v>
      </c>
      <c r="W52" s="13" t="str">
        <f t="shared" si="4"/>
        <v>Да</v>
      </c>
      <c r="X52" s="4" t="e">
        <f>(IF(COUNTIFS($G$2:G52,"+",$W$2:W52,"Да")&gt;1,"&amp; ","")&amp;D52&amp;J52&amp;E52&amp;SUBSTITUTE(L52,"""",""))</f>
        <v>#VALUE!</v>
      </c>
      <c r="Y52" s="4" t="e">
        <f t="shared" si="5"/>
        <v>#VALUE!</v>
      </c>
    </row>
    <row r="53" spans="1:25" x14ac:dyDescent="0.3">
      <c r="A53" s="11"/>
      <c r="B53" s="5" t="str">
        <f t="shared" si="6"/>
        <v/>
      </c>
      <c r="C53" s="5" t="str">
        <f t="shared" si="7"/>
        <v/>
      </c>
      <c r="D53" s="4" t="s">
        <v>10</v>
      </c>
      <c r="E53" s="4" t="s">
        <v>11</v>
      </c>
      <c r="F53" s="4" t="str">
        <f t="shared" si="8"/>
        <v>!!!</v>
      </c>
      <c r="G53" s="4" t="str">
        <f t="shared" si="9"/>
        <v>+</v>
      </c>
      <c r="H53" s="4"/>
      <c r="I53" s="4" t="str">
        <f t="shared" si="10"/>
        <v>!!!</v>
      </c>
      <c r="J53" s="4" t="e">
        <f t="shared" si="11"/>
        <v>#VALUE!</v>
      </c>
      <c r="K53" s="4" t="e">
        <f t="shared" si="12"/>
        <v>#VALUE!</v>
      </c>
      <c r="L53" s="4" t="e">
        <f t="shared" si="13"/>
        <v>#VALUE!</v>
      </c>
      <c r="M53" s="4">
        <f t="shared" si="14"/>
        <v>1000</v>
      </c>
      <c r="N53" s="4">
        <f t="shared" ref="N53:O53" si="68">MIN(IFERROR(FIND(" ",$C53,M53+1),1000))</f>
        <v>1000</v>
      </c>
      <c r="O53" s="4">
        <f t="shared" si="68"/>
        <v>1000</v>
      </c>
      <c r="P53" s="4">
        <f t="shared" si="16"/>
        <v>0</v>
      </c>
      <c r="Q53" s="4" t="str">
        <f t="shared" si="0"/>
        <v/>
      </c>
      <c r="R53" s="4" t="str">
        <f t="shared" si="1"/>
        <v/>
      </c>
      <c r="S53" s="4" t="str">
        <f t="shared" si="2"/>
        <v/>
      </c>
      <c r="T53" s="4" t="e">
        <f t="shared" si="17"/>
        <v>#VALUE!</v>
      </c>
      <c r="U53" s="4" t="e">
        <f t="shared" si="18"/>
        <v>#VALUE!</v>
      </c>
      <c r="V53" s="4" t="b">
        <f t="shared" si="3"/>
        <v>0</v>
      </c>
      <c r="W53" s="13" t="str">
        <f t="shared" si="4"/>
        <v>Да</v>
      </c>
      <c r="X53" s="4" t="e">
        <f>(IF(COUNTIFS($G$2:G53,"+",$W$2:W53,"Да")&gt;1,"&amp; ","")&amp;D53&amp;J53&amp;E53&amp;SUBSTITUTE(L53,"""",""))</f>
        <v>#VALUE!</v>
      </c>
      <c r="Y53" s="4" t="e">
        <f t="shared" si="5"/>
        <v>#VALUE!</v>
      </c>
    </row>
    <row r="54" spans="1:25" x14ac:dyDescent="0.3">
      <c r="A54" s="11"/>
      <c r="B54" s="5" t="str">
        <f t="shared" si="6"/>
        <v/>
      </c>
      <c r="C54" s="5" t="str">
        <f t="shared" si="7"/>
        <v/>
      </c>
      <c r="D54" s="4" t="s">
        <v>10</v>
      </c>
      <c r="E54" s="4" t="s">
        <v>11</v>
      </c>
      <c r="F54" s="4" t="str">
        <f t="shared" si="8"/>
        <v>!!!</v>
      </c>
      <c r="G54" s="4" t="str">
        <f t="shared" si="9"/>
        <v>+</v>
      </c>
      <c r="H54" s="4"/>
      <c r="I54" s="4" t="str">
        <f t="shared" si="10"/>
        <v>!!!</v>
      </c>
      <c r="J54" s="4" t="e">
        <f t="shared" si="11"/>
        <v>#VALUE!</v>
      </c>
      <c r="K54" s="4" t="e">
        <f t="shared" si="12"/>
        <v>#VALUE!</v>
      </c>
      <c r="L54" s="4" t="e">
        <f t="shared" si="13"/>
        <v>#VALUE!</v>
      </c>
      <c r="M54" s="4">
        <f t="shared" si="14"/>
        <v>1000</v>
      </c>
      <c r="N54" s="4">
        <f t="shared" ref="N54:O54" si="69">MIN(IFERROR(FIND(" ",$C54,M54+1),1000))</f>
        <v>1000</v>
      </c>
      <c r="O54" s="4">
        <f t="shared" si="69"/>
        <v>1000</v>
      </c>
      <c r="P54" s="4">
        <f t="shared" si="16"/>
        <v>0</v>
      </c>
      <c r="Q54" s="4" t="str">
        <f t="shared" si="0"/>
        <v/>
      </c>
      <c r="R54" s="4" t="str">
        <f t="shared" si="1"/>
        <v/>
      </c>
      <c r="S54" s="4" t="str">
        <f t="shared" si="2"/>
        <v/>
      </c>
      <c r="T54" s="4" t="e">
        <f t="shared" si="17"/>
        <v>#VALUE!</v>
      </c>
      <c r="U54" s="4" t="e">
        <f t="shared" si="18"/>
        <v>#VALUE!</v>
      </c>
      <c r="V54" s="4" t="b">
        <f t="shared" si="3"/>
        <v>0</v>
      </c>
      <c r="W54" s="13" t="str">
        <f t="shared" si="4"/>
        <v>Да</v>
      </c>
      <c r="X54" s="4" t="e">
        <f>(IF(COUNTIFS($G$2:G54,"+",$W$2:W54,"Да")&gt;1,"&amp; ","")&amp;D54&amp;J54&amp;E54&amp;SUBSTITUTE(L54,"""",""))</f>
        <v>#VALUE!</v>
      </c>
      <c r="Y54" s="4" t="e">
        <f t="shared" si="5"/>
        <v>#VALUE!</v>
      </c>
    </row>
    <row r="55" spans="1:25" x14ac:dyDescent="0.3">
      <c r="A55" s="11"/>
      <c r="B55" s="5" t="str">
        <f t="shared" si="6"/>
        <v/>
      </c>
      <c r="C55" s="5" t="str">
        <f t="shared" si="7"/>
        <v/>
      </c>
      <c r="D55" s="4" t="s">
        <v>10</v>
      </c>
      <c r="E55" s="4" t="s">
        <v>11</v>
      </c>
      <c r="F55" s="4" t="str">
        <f t="shared" si="8"/>
        <v>!!!</v>
      </c>
      <c r="G55" s="4" t="str">
        <f t="shared" si="9"/>
        <v>+</v>
      </c>
      <c r="H55" s="4"/>
      <c r="I55" s="4" t="str">
        <f t="shared" si="10"/>
        <v>!!!</v>
      </c>
      <c r="J55" s="4" t="e">
        <f t="shared" si="11"/>
        <v>#VALUE!</v>
      </c>
      <c r="K55" s="4" t="e">
        <f t="shared" si="12"/>
        <v>#VALUE!</v>
      </c>
      <c r="L55" s="4" t="e">
        <f t="shared" si="13"/>
        <v>#VALUE!</v>
      </c>
      <c r="M55" s="4">
        <f t="shared" si="14"/>
        <v>1000</v>
      </c>
      <c r="N55" s="4">
        <f t="shared" ref="N55:O55" si="70">MIN(IFERROR(FIND(" ",$C55,M55+1),1000))</f>
        <v>1000</v>
      </c>
      <c r="O55" s="4">
        <f t="shared" si="70"/>
        <v>1000</v>
      </c>
      <c r="P55" s="4">
        <f t="shared" si="16"/>
        <v>0</v>
      </c>
      <c r="Q55" s="4" t="str">
        <f t="shared" si="0"/>
        <v/>
      </c>
      <c r="R55" s="4" t="str">
        <f t="shared" si="1"/>
        <v/>
      </c>
      <c r="S55" s="4" t="str">
        <f t="shared" si="2"/>
        <v/>
      </c>
      <c r="T55" s="4" t="e">
        <f t="shared" si="17"/>
        <v>#VALUE!</v>
      </c>
      <c r="U55" s="4" t="e">
        <f t="shared" si="18"/>
        <v>#VALUE!</v>
      </c>
      <c r="V55" s="4" t="b">
        <f t="shared" si="3"/>
        <v>0</v>
      </c>
      <c r="W55" s="13" t="str">
        <f t="shared" si="4"/>
        <v>Да</v>
      </c>
      <c r="X55" s="4" t="e">
        <f>(IF(COUNTIFS($G$2:G55,"+",$W$2:W55,"Да")&gt;1,"&amp; ","")&amp;D55&amp;J55&amp;E55&amp;SUBSTITUTE(L55,"""",""))</f>
        <v>#VALUE!</v>
      </c>
      <c r="Y55" s="4" t="e">
        <f t="shared" si="5"/>
        <v>#VALUE!</v>
      </c>
    </row>
    <row r="56" spans="1:25" x14ac:dyDescent="0.3">
      <c r="A56" s="11"/>
      <c r="B56" s="5" t="str">
        <f t="shared" si="6"/>
        <v/>
      </c>
      <c r="C56" s="5" t="str">
        <f t="shared" si="7"/>
        <v/>
      </c>
      <c r="D56" s="4" t="s">
        <v>10</v>
      </c>
      <c r="E56" s="4" t="s">
        <v>11</v>
      </c>
      <c r="F56" s="4" t="str">
        <f t="shared" si="8"/>
        <v>!!!</v>
      </c>
      <c r="G56" s="4" t="str">
        <f t="shared" si="9"/>
        <v>+</v>
      </c>
      <c r="H56" s="4"/>
      <c r="I56" s="4" t="str">
        <f t="shared" si="10"/>
        <v>!!!</v>
      </c>
      <c r="J56" s="4" t="e">
        <f t="shared" si="11"/>
        <v>#VALUE!</v>
      </c>
      <c r="K56" s="4" t="e">
        <f t="shared" si="12"/>
        <v>#VALUE!</v>
      </c>
      <c r="L56" s="4" t="e">
        <f t="shared" si="13"/>
        <v>#VALUE!</v>
      </c>
      <c r="M56" s="4">
        <f t="shared" si="14"/>
        <v>1000</v>
      </c>
      <c r="N56" s="4">
        <f t="shared" ref="N56:O56" si="71">MIN(IFERROR(FIND(" ",$C56,M56+1),1000))</f>
        <v>1000</v>
      </c>
      <c r="O56" s="4">
        <f t="shared" si="71"/>
        <v>1000</v>
      </c>
      <c r="P56" s="4">
        <f t="shared" si="16"/>
        <v>0</v>
      </c>
      <c r="Q56" s="4" t="str">
        <f t="shared" si="0"/>
        <v/>
      </c>
      <c r="R56" s="4" t="str">
        <f t="shared" si="1"/>
        <v/>
      </c>
      <c r="S56" s="4" t="str">
        <f t="shared" si="2"/>
        <v/>
      </c>
      <c r="T56" s="4" t="e">
        <f t="shared" si="17"/>
        <v>#VALUE!</v>
      </c>
      <c r="U56" s="4" t="e">
        <f t="shared" si="18"/>
        <v>#VALUE!</v>
      </c>
      <c r="V56" s="4" t="b">
        <f t="shared" si="3"/>
        <v>0</v>
      </c>
      <c r="W56" s="13" t="str">
        <f t="shared" si="4"/>
        <v>Да</v>
      </c>
      <c r="X56" s="4" t="e">
        <f>(IF(COUNTIFS($G$2:G56,"+",$W$2:W56,"Да")&gt;1,"&amp; ","")&amp;D56&amp;J56&amp;E56&amp;SUBSTITUTE(L56,"""",""))</f>
        <v>#VALUE!</v>
      </c>
      <c r="Y56" s="4" t="e">
        <f t="shared" si="5"/>
        <v>#VALUE!</v>
      </c>
    </row>
    <row r="57" spans="1:25" x14ac:dyDescent="0.3">
      <c r="A57" s="11"/>
      <c r="B57" s="5" t="str">
        <f t="shared" si="6"/>
        <v/>
      </c>
      <c r="C57" s="5" t="str">
        <f t="shared" si="7"/>
        <v/>
      </c>
      <c r="D57" s="4" t="s">
        <v>10</v>
      </c>
      <c r="E57" s="4" t="s">
        <v>11</v>
      </c>
      <c r="F57" s="4" t="str">
        <f t="shared" si="8"/>
        <v>!!!</v>
      </c>
      <c r="G57" s="4" t="str">
        <f t="shared" si="9"/>
        <v>+</v>
      </c>
      <c r="H57" s="4"/>
      <c r="I57" s="4" t="str">
        <f t="shared" si="10"/>
        <v>!!!</v>
      </c>
      <c r="J57" s="4" t="e">
        <f t="shared" si="11"/>
        <v>#VALUE!</v>
      </c>
      <c r="K57" s="4" t="e">
        <f t="shared" si="12"/>
        <v>#VALUE!</v>
      </c>
      <c r="L57" s="4" t="e">
        <f t="shared" si="13"/>
        <v>#VALUE!</v>
      </c>
      <c r="M57" s="4">
        <f t="shared" si="14"/>
        <v>1000</v>
      </c>
      <c r="N57" s="4">
        <f t="shared" ref="N57:O57" si="72">MIN(IFERROR(FIND(" ",$C57,M57+1),1000))</f>
        <v>1000</v>
      </c>
      <c r="O57" s="4">
        <f t="shared" si="72"/>
        <v>1000</v>
      </c>
      <c r="P57" s="4">
        <f t="shared" si="16"/>
        <v>0</v>
      </c>
      <c r="Q57" s="4" t="str">
        <f t="shared" si="0"/>
        <v/>
      </c>
      <c r="R57" s="4" t="str">
        <f t="shared" si="1"/>
        <v/>
      </c>
      <c r="S57" s="4" t="str">
        <f t="shared" si="2"/>
        <v/>
      </c>
      <c r="T57" s="4" t="e">
        <f t="shared" si="17"/>
        <v>#VALUE!</v>
      </c>
      <c r="U57" s="4" t="e">
        <f t="shared" si="18"/>
        <v>#VALUE!</v>
      </c>
      <c r="V57" s="4" t="b">
        <f t="shared" si="3"/>
        <v>0</v>
      </c>
      <c r="W57" s="13" t="str">
        <f t="shared" si="4"/>
        <v>Да</v>
      </c>
      <c r="X57" s="4" t="e">
        <f>(IF(COUNTIFS($G$2:G57,"+",$W$2:W57,"Да")&gt;1,"&amp; ","")&amp;D57&amp;J57&amp;E57&amp;SUBSTITUTE(L57,"""",""))</f>
        <v>#VALUE!</v>
      </c>
      <c r="Y57" s="4" t="e">
        <f t="shared" si="5"/>
        <v>#VALUE!</v>
      </c>
    </row>
    <row r="58" spans="1:25" x14ac:dyDescent="0.3">
      <c r="A58" s="11"/>
      <c r="B58" s="5" t="str">
        <f t="shared" si="6"/>
        <v/>
      </c>
      <c r="C58" s="5" t="str">
        <f t="shared" si="7"/>
        <v/>
      </c>
      <c r="D58" s="4" t="s">
        <v>10</v>
      </c>
      <c r="E58" s="4" t="s">
        <v>11</v>
      </c>
      <c r="F58" s="4" t="str">
        <f t="shared" si="8"/>
        <v>!!!</v>
      </c>
      <c r="G58" s="4" t="str">
        <f t="shared" si="9"/>
        <v>+</v>
      </c>
      <c r="H58" s="4"/>
      <c r="I58" s="4" t="str">
        <f t="shared" si="10"/>
        <v>!!!</v>
      </c>
      <c r="J58" s="4" t="e">
        <f t="shared" si="11"/>
        <v>#VALUE!</v>
      </c>
      <c r="K58" s="4" t="e">
        <f t="shared" si="12"/>
        <v>#VALUE!</v>
      </c>
      <c r="L58" s="4" t="e">
        <f t="shared" si="13"/>
        <v>#VALUE!</v>
      </c>
      <c r="M58" s="4">
        <f t="shared" si="14"/>
        <v>1000</v>
      </c>
      <c r="N58" s="4">
        <f t="shared" ref="N58:O58" si="73">MIN(IFERROR(FIND(" ",$C58,M58+1),1000))</f>
        <v>1000</v>
      </c>
      <c r="O58" s="4">
        <f t="shared" si="73"/>
        <v>1000</v>
      </c>
      <c r="P58" s="4">
        <f t="shared" si="16"/>
        <v>0</v>
      </c>
      <c r="Q58" s="4" t="str">
        <f t="shared" si="0"/>
        <v/>
      </c>
      <c r="R58" s="4" t="str">
        <f t="shared" si="1"/>
        <v/>
      </c>
      <c r="S58" s="4" t="str">
        <f t="shared" si="2"/>
        <v/>
      </c>
      <c r="T58" s="4" t="e">
        <f t="shared" si="17"/>
        <v>#VALUE!</v>
      </c>
      <c r="U58" s="4" t="e">
        <f t="shared" si="18"/>
        <v>#VALUE!</v>
      </c>
      <c r="V58" s="4" t="b">
        <f t="shared" si="3"/>
        <v>0</v>
      </c>
      <c r="W58" s="13" t="str">
        <f t="shared" si="4"/>
        <v>Да</v>
      </c>
      <c r="X58" s="4" t="e">
        <f>(IF(COUNTIFS($G$2:G58,"+",$W$2:W58,"Да")&gt;1,"&amp; ","")&amp;D58&amp;J58&amp;E58&amp;SUBSTITUTE(L58,"""",""))</f>
        <v>#VALUE!</v>
      </c>
      <c r="Y58" s="4" t="e">
        <f t="shared" si="5"/>
        <v>#VALUE!</v>
      </c>
    </row>
    <row r="59" spans="1:25" x14ac:dyDescent="0.3">
      <c r="A59" s="11"/>
      <c r="B59" s="5" t="str">
        <f t="shared" si="6"/>
        <v/>
      </c>
      <c r="C59" s="5" t="str">
        <f t="shared" si="7"/>
        <v/>
      </c>
      <c r="D59" s="4" t="s">
        <v>10</v>
      </c>
      <c r="E59" s="4" t="s">
        <v>11</v>
      </c>
      <c r="F59" s="4" t="str">
        <f t="shared" si="8"/>
        <v>!!!</v>
      </c>
      <c r="G59" s="4" t="str">
        <f t="shared" si="9"/>
        <v>+</v>
      </c>
      <c r="H59" s="4"/>
      <c r="I59" s="4" t="str">
        <f t="shared" si="10"/>
        <v>!!!</v>
      </c>
      <c r="J59" s="4" t="e">
        <f t="shared" si="11"/>
        <v>#VALUE!</v>
      </c>
      <c r="K59" s="4" t="e">
        <f t="shared" si="12"/>
        <v>#VALUE!</v>
      </c>
      <c r="L59" s="4" t="e">
        <f t="shared" si="13"/>
        <v>#VALUE!</v>
      </c>
      <c r="M59" s="4">
        <f t="shared" si="14"/>
        <v>1000</v>
      </c>
      <c r="N59" s="4">
        <f t="shared" ref="N59:O59" si="74">MIN(IFERROR(FIND(" ",$C59,M59+1),1000))</f>
        <v>1000</v>
      </c>
      <c r="O59" s="4">
        <f t="shared" si="74"/>
        <v>1000</v>
      </c>
      <c r="P59" s="4">
        <f t="shared" si="16"/>
        <v>0</v>
      </c>
      <c r="Q59" s="4" t="str">
        <f t="shared" si="0"/>
        <v/>
      </c>
      <c r="R59" s="4" t="str">
        <f t="shared" si="1"/>
        <v/>
      </c>
      <c r="S59" s="4" t="str">
        <f t="shared" si="2"/>
        <v/>
      </c>
      <c r="T59" s="4" t="e">
        <f t="shared" si="17"/>
        <v>#VALUE!</v>
      </c>
      <c r="U59" s="4" t="e">
        <f t="shared" si="18"/>
        <v>#VALUE!</v>
      </c>
      <c r="V59" s="4" t="b">
        <f t="shared" si="3"/>
        <v>0</v>
      </c>
      <c r="W59" s="13" t="str">
        <f t="shared" si="4"/>
        <v>Да</v>
      </c>
      <c r="X59" s="4" t="e">
        <f>(IF(COUNTIFS($G$2:G59,"+",$W$2:W59,"Да")&gt;1,"&amp; ","")&amp;D59&amp;J59&amp;E59&amp;SUBSTITUTE(L59,"""",""))</f>
        <v>#VALUE!</v>
      </c>
      <c r="Y59" s="4" t="e">
        <f t="shared" si="5"/>
        <v>#VALUE!</v>
      </c>
    </row>
    <row r="60" spans="1:25" x14ac:dyDescent="0.3">
      <c r="A60" s="11"/>
      <c r="B60" s="5" t="str">
        <f t="shared" si="6"/>
        <v/>
      </c>
      <c r="C60" s="5" t="str">
        <f t="shared" si="7"/>
        <v/>
      </c>
      <c r="D60" s="4" t="s">
        <v>10</v>
      </c>
      <c r="E60" s="4" t="s">
        <v>11</v>
      </c>
      <c r="F60" s="4" t="str">
        <f t="shared" si="8"/>
        <v>!!!</v>
      </c>
      <c r="G60" s="4" t="str">
        <f t="shared" si="9"/>
        <v>+</v>
      </c>
      <c r="H60" s="4"/>
      <c r="I60" s="4" t="str">
        <f t="shared" si="10"/>
        <v>!!!</v>
      </c>
      <c r="J60" s="4" t="e">
        <f t="shared" si="11"/>
        <v>#VALUE!</v>
      </c>
      <c r="K60" s="4" t="e">
        <f t="shared" si="12"/>
        <v>#VALUE!</v>
      </c>
      <c r="L60" s="4" t="e">
        <f t="shared" si="13"/>
        <v>#VALUE!</v>
      </c>
      <c r="M60" s="4">
        <f t="shared" si="14"/>
        <v>1000</v>
      </c>
      <c r="N60" s="4">
        <f t="shared" ref="N60:O60" si="75">MIN(IFERROR(FIND(" ",$C60,M60+1),1000))</f>
        <v>1000</v>
      </c>
      <c r="O60" s="4">
        <f t="shared" si="75"/>
        <v>1000</v>
      </c>
      <c r="P60" s="4">
        <f t="shared" si="16"/>
        <v>0</v>
      </c>
      <c r="Q60" s="4" t="str">
        <f t="shared" si="0"/>
        <v/>
      </c>
      <c r="R60" s="4" t="str">
        <f t="shared" si="1"/>
        <v/>
      </c>
      <c r="S60" s="4" t="str">
        <f t="shared" si="2"/>
        <v/>
      </c>
      <c r="T60" s="4" t="e">
        <f t="shared" si="17"/>
        <v>#VALUE!</v>
      </c>
      <c r="U60" s="4" t="e">
        <f t="shared" si="18"/>
        <v>#VALUE!</v>
      </c>
      <c r="V60" s="4" t="b">
        <f t="shared" si="3"/>
        <v>0</v>
      </c>
      <c r="W60" s="13" t="str">
        <f t="shared" si="4"/>
        <v>Да</v>
      </c>
      <c r="X60" s="4" t="e">
        <f>(IF(COUNTIFS($G$2:G60,"+",$W$2:W60,"Да")&gt;1,"&amp; ","")&amp;D60&amp;J60&amp;E60&amp;SUBSTITUTE(L60,"""",""))</f>
        <v>#VALUE!</v>
      </c>
      <c r="Y60" s="4" t="e">
        <f t="shared" si="5"/>
        <v>#VALUE!</v>
      </c>
    </row>
    <row r="61" spans="1:25" x14ac:dyDescent="0.3">
      <c r="A61" s="11"/>
      <c r="B61" s="5" t="str">
        <f t="shared" si="6"/>
        <v/>
      </c>
      <c r="C61" s="5" t="str">
        <f t="shared" si="7"/>
        <v/>
      </c>
      <c r="D61" s="4" t="s">
        <v>10</v>
      </c>
      <c r="E61" s="4" t="s">
        <v>11</v>
      </c>
      <c r="F61" s="4" t="str">
        <f t="shared" si="8"/>
        <v>!!!</v>
      </c>
      <c r="G61" s="4" t="str">
        <f t="shared" si="9"/>
        <v>+</v>
      </c>
      <c r="H61" s="4"/>
      <c r="I61" s="4" t="str">
        <f t="shared" si="10"/>
        <v>!!!</v>
      </c>
      <c r="J61" s="4" t="e">
        <f t="shared" si="11"/>
        <v>#VALUE!</v>
      </c>
      <c r="K61" s="4" t="e">
        <f t="shared" si="12"/>
        <v>#VALUE!</v>
      </c>
      <c r="L61" s="4" t="e">
        <f t="shared" si="13"/>
        <v>#VALUE!</v>
      </c>
      <c r="M61" s="4">
        <f t="shared" si="14"/>
        <v>1000</v>
      </c>
      <c r="N61" s="4">
        <f t="shared" ref="N61:O61" si="76">MIN(IFERROR(FIND(" ",$C61,M61+1),1000))</f>
        <v>1000</v>
      </c>
      <c r="O61" s="4">
        <f t="shared" si="76"/>
        <v>1000</v>
      </c>
      <c r="P61" s="4">
        <f t="shared" si="16"/>
        <v>0</v>
      </c>
      <c r="Q61" s="4" t="str">
        <f t="shared" si="0"/>
        <v/>
      </c>
      <c r="R61" s="4" t="str">
        <f t="shared" si="1"/>
        <v/>
      </c>
      <c r="S61" s="4" t="str">
        <f t="shared" si="2"/>
        <v/>
      </c>
      <c r="T61" s="4" t="e">
        <f t="shared" si="17"/>
        <v>#VALUE!</v>
      </c>
      <c r="U61" s="4" t="e">
        <f t="shared" si="18"/>
        <v>#VALUE!</v>
      </c>
      <c r="V61" s="4" t="b">
        <f t="shared" si="3"/>
        <v>0</v>
      </c>
      <c r="W61" s="13" t="str">
        <f t="shared" si="4"/>
        <v>Да</v>
      </c>
      <c r="X61" s="4" t="e">
        <f>(IF(COUNTIFS($G$2:G61,"+",$W$2:W61,"Да")&gt;1,"&amp; ","")&amp;D61&amp;J61&amp;E61&amp;SUBSTITUTE(L61,"""",""))</f>
        <v>#VALUE!</v>
      </c>
      <c r="Y61" s="4" t="e">
        <f t="shared" si="5"/>
        <v>#VALUE!</v>
      </c>
    </row>
    <row r="62" spans="1:25" x14ac:dyDescent="0.3">
      <c r="A62" s="11"/>
      <c r="B62" s="5" t="str">
        <f t="shared" si="6"/>
        <v/>
      </c>
      <c r="C62" s="5" t="str">
        <f t="shared" si="7"/>
        <v/>
      </c>
      <c r="D62" s="4" t="s">
        <v>10</v>
      </c>
      <c r="E62" s="4" t="s">
        <v>11</v>
      </c>
      <c r="F62" s="4" t="str">
        <f t="shared" si="8"/>
        <v>!!!</v>
      </c>
      <c r="G62" s="4" t="str">
        <f t="shared" si="9"/>
        <v>+</v>
      </c>
      <c r="H62" s="4"/>
      <c r="I62" s="4" t="str">
        <f t="shared" si="10"/>
        <v>!!!</v>
      </c>
      <c r="J62" s="4" t="e">
        <f t="shared" si="11"/>
        <v>#VALUE!</v>
      </c>
      <c r="K62" s="4" t="e">
        <f t="shared" si="12"/>
        <v>#VALUE!</v>
      </c>
      <c r="L62" s="4" t="e">
        <f t="shared" si="13"/>
        <v>#VALUE!</v>
      </c>
      <c r="M62" s="4">
        <f t="shared" si="14"/>
        <v>1000</v>
      </c>
      <c r="N62" s="4">
        <f t="shared" ref="N62:O62" si="77">MIN(IFERROR(FIND(" ",$C62,M62+1),1000))</f>
        <v>1000</v>
      </c>
      <c r="O62" s="4">
        <f t="shared" si="77"/>
        <v>1000</v>
      </c>
      <c r="P62" s="4">
        <f t="shared" si="16"/>
        <v>0</v>
      </c>
      <c r="Q62" s="4" t="str">
        <f t="shared" si="0"/>
        <v/>
      </c>
      <c r="R62" s="4" t="str">
        <f t="shared" si="1"/>
        <v/>
      </c>
      <c r="S62" s="4" t="str">
        <f t="shared" si="2"/>
        <v/>
      </c>
      <c r="T62" s="4" t="e">
        <f t="shared" si="17"/>
        <v>#VALUE!</v>
      </c>
      <c r="U62" s="4" t="e">
        <f t="shared" si="18"/>
        <v>#VALUE!</v>
      </c>
      <c r="V62" s="4" t="b">
        <f t="shared" si="3"/>
        <v>0</v>
      </c>
      <c r="W62" s="13" t="str">
        <f t="shared" si="4"/>
        <v>Да</v>
      </c>
      <c r="X62" s="4" t="e">
        <f>(IF(COUNTIFS($G$2:G62,"+",$W$2:W62,"Да")&gt;1,"&amp; ","")&amp;D62&amp;J62&amp;E62&amp;SUBSTITUTE(L62,"""",""))</f>
        <v>#VALUE!</v>
      </c>
      <c r="Y62" s="4" t="e">
        <f t="shared" si="5"/>
        <v>#VALUE!</v>
      </c>
    </row>
    <row r="63" spans="1:25" x14ac:dyDescent="0.3">
      <c r="A63" s="11"/>
      <c r="B63" s="5" t="str">
        <f t="shared" si="6"/>
        <v/>
      </c>
      <c r="C63" s="5" t="str">
        <f t="shared" si="7"/>
        <v/>
      </c>
      <c r="D63" s="4" t="s">
        <v>10</v>
      </c>
      <c r="E63" s="4" t="s">
        <v>11</v>
      </c>
      <c r="F63" s="4" t="str">
        <f t="shared" si="8"/>
        <v>!!!</v>
      </c>
      <c r="G63" s="4" t="str">
        <f t="shared" si="9"/>
        <v>+</v>
      </c>
      <c r="H63" s="4"/>
      <c r="I63" s="4" t="str">
        <f t="shared" si="10"/>
        <v>!!!</v>
      </c>
      <c r="J63" s="4" t="e">
        <f t="shared" si="11"/>
        <v>#VALUE!</v>
      </c>
      <c r="K63" s="4" t="e">
        <f t="shared" si="12"/>
        <v>#VALUE!</v>
      </c>
      <c r="L63" s="4" t="e">
        <f t="shared" si="13"/>
        <v>#VALUE!</v>
      </c>
      <c r="M63" s="4">
        <f t="shared" si="14"/>
        <v>1000</v>
      </c>
      <c r="N63" s="4">
        <f t="shared" ref="N63:O63" si="78">MIN(IFERROR(FIND(" ",$C63,M63+1),1000))</f>
        <v>1000</v>
      </c>
      <c r="O63" s="4">
        <f t="shared" si="78"/>
        <v>1000</v>
      </c>
      <c r="P63" s="4">
        <f t="shared" si="16"/>
        <v>0</v>
      </c>
      <c r="Q63" s="4" t="str">
        <f t="shared" si="0"/>
        <v/>
      </c>
      <c r="R63" s="4" t="str">
        <f t="shared" si="1"/>
        <v/>
      </c>
      <c r="S63" s="4" t="str">
        <f t="shared" si="2"/>
        <v/>
      </c>
      <c r="T63" s="4" t="e">
        <f t="shared" si="17"/>
        <v>#VALUE!</v>
      </c>
      <c r="U63" s="4" t="e">
        <f t="shared" si="18"/>
        <v>#VALUE!</v>
      </c>
      <c r="V63" s="4" t="b">
        <f t="shared" si="3"/>
        <v>0</v>
      </c>
      <c r="W63" s="13" t="str">
        <f t="shared" si="4"/>
        <v>Да</v>
      </c>
      <c r="X63" s="4" t="e">
        <f>(IF(COUNTIFS($G$2:G63,"+",$W$2:W63,"Да")&gt;1,"&amp; ","")&amp;D63&amp;J63&amp;E63&amp;SUBSTITUTE(L63,"""",""))</f>
        <v>#VALUE!</v>
      </c>
      <c r="Y63" s="4" t="e">
        <f t="shared" si="5"/>
        <v>#VALUE!</v>
      </c>
    </row>
    <row r="64" spans="1:25" x14ac:dyDescent="0.3">
      <c r="A64" s="11"/>
      <c r="B64" s="5" t="str">
        <f t="shared" si="6"/>
        <v/>
      </c>
      <c r="C64" s="5" t="str">
        <f t="shared" si="7"/>
        <v/>
      </c>
      <c r="D64" s="4" t="s">
        <v>10</v>
      </c>
      <c r="E64" s="4" t="s">
        <v>11</v>
      </c>
      <c r="F64" s="4" t="str">
        <f t="shared" si="8"/>
        <v>!!!</v>
      </c>
      <c r="G64" s="4" t="str">
        <f t="shared" si="9"/>
        <v>+</v>
      </c>
      <c r="H64" s="4"/>
      <c r="I64" s="4" t="str">
        <f t="shared" si="10"/>
        <v>!!!</v>
      </c>
      <c r="J64" s="4" t="e">
        <f t="shared" si="11"/>
        <v>#VALUE!</v>
      </c>
      <c r="K64" s="4" t="e">
        <f t="shared" si="12"/>
        <v>#VALUE!</v>
      </c>
      <c r="L64" s="4" t="e">
        <f t="shared" si="13"/>
        <v>#VALUE!</v>
      </c>
      <c r="M64" s="4">
        <f t="shared" si="14"/>
        <v>1000</v>
      </c>
      <c r="N64" s="4">
        <f t="shared" ref="N64:O64" si="79">MIN(IFERROR(FIND(" ",$C64,M64+1),1000))</f>
        <v>1000</v>
      </c>
      <c r="O64" s="4">
        <f t="shared" si="79"/>
        <v>1000</v>
      </c>
      <c r="P64" s="4">
        <f t="shared" si="16"/>
        <v>0</v>
      </c>
      <c r="Q64" s="4" t="str">
        <f t="shared" si="0"/>
        <v/>
      </c>
      <c r="R64" s="4" t="str">
        <f t="shared" si="1"/>
        <v/>
      </c>
      <c r="S64" s="4" t="str">
        <f t="shared" si="2"/>
        <v/>
      </c>
      <c r="T64" s="4" t="e">
        <f t="shared" si="17"/>
        <v>#VALUE!</v>
      </c>
      <c r="U64" s="4" t="e">
        <f t="shared" si="18"/>
        <v>#VALUE!</v>
      </c>
      <c r="V64" s="4" t="b">
        <f t="shared" si="3"/>
        <v>0</v>
      </c>
      <c r="W64" s="13" t="str">
        <f t="shared" si="4"/>
        <v>Да</v>
      </c>
      <c r="X64" s="4" t="e">
        <f>(IF(COUNTIFS($G$2:G64,"+",$W$2:W64,"Да")&gt;1,"&amp; ","")&amp;D64&amp;J64&amp;E64&amp;SUBSTITUTE(L64,"""",""))</f>
        <v>#VALUE!</v>
      </c>
      <c r="Y64" s="4" t="e">
        <f t="shared" si="5"/>
        <v>#VALUE!</v>
      </c>
    </row>
    <row r="65" spans="1:25" x14ac:dyDescent="0.3">
      <c r="A65" s="11"/>
      <c r="B65" s="5" t="str">
        <f t="shared" si="6"/>
        <v/>
      </c>
      <c r="C65" s="5" t="str">
        <f t="shared" si="7"/>
        <v/>
      </c>
      <c r="D65" s="4" t="s">
        <v>10</v>
      </c>
      <c r="E65" s="4" t="s">
        <v>11</v>
      </c>
      <c r="F65" s="4" t="str">
        <f t="shared" si="8"/>
        <v>!!!</v>
      </c>
      <c r="G65" s="4" t="str">
        <f t="shared" si="9"/>
        <v>+</v>
      </c>
      <c r="H65" s="4"/>
      <c r="I65" s="4" t="str">
        <f t="shared" si="10"/>
        <v>!!!</v>
      </c>
      <c r="J65" s="4" t="e">
        <f t="shared" si="11"/>
        <v>#VALUE!</v>
      </c>
      <c r="K65" s="4" t="e">
        <f t="shared" si="12"/>
        <v>#VALUE!</v>
      </c>
      <c r="L65" s="4" t="e">
        <f t="shared" si="13"/>
        <v>#VALUE!</v>
      </c>
      <c r="M65" s="4">
        <f t="shared" si="14"/>
        <v>1000</v>
      </c>
      <c r="N65" s="4">
        <f t="shared" ref="N65:O65" si="80">MIN(IFERROR(FIND(" ",$C65,M65+1),1000))</f>
        <v>1000</v>
      </c>
      <c r="O65" s="4">
        <f t="shared" si="80"/>
        <v>1000</v>
      </c>
      <c r="P65" s="4">
        <f t="shared" si="16"/>
        <v>0</v>
      </c>
      <c r="Q65" s="4" t="str">
        <f t="shared" si="0"/>
        <v/>
      </c>
      <c r="R65" s="4" t="str">
        <f t="shared" si="1"/>
        <v/>
      </c>
      <c r="S65" s="4" t="str">
        <f t="shared" si="2"/>
        <v/>
      </c>
      <c r="T65" s="4" t="e">
        <f t="shared" si="17"/>
        <v>#VALUE!</v>
      </c>
      <c r="U65" s="4" t="e">
        <f t="shared" si="18"/>
        <v>#VALUE!</v>
      </c>
      <c r="V65" s="4" t="b">
        <f t="shared" si="3"/>
        <v>0</v>
      </c>
      <c r="W65" s="13" t="str">
        <f t="shared" si="4"/>
        <v>Да</v>
      </c>
      <c r="X65" s="4" t="e">
        <f>(IF(COUNTIFS($G$2:G65,"+",$W$2:W65,"Да")&gt;1,"&amp; ","")&amp;D65&amp;J65&amp;E65&amp;SUBSTITUTE(L65,"""",""))</f>
        <v>#VALUE!</v>
      </c>
      <c r="Y65" s="4" t="e">
        <f t="shared" si="5"/>
        <v>#VALUE!</v>
      </c>
    </row>
    <row r="66" spans="1:25" x14ac:dyDescent="0.3">
      <c r="A66" s="11"/>
      <c r="B66" s="5" t="str">
        <f t="shared" si="6"/>
        <v/>
      </c>
      <c r="C66" s="5" t="str">
        <f t="shared" si="7"/>
        <v/>
      </c>
      <c r="D66" s="4" t="s">
        <v>10</v>
      </c>
      <c r="E66" s="4" t="s">
        <v>11</v>
      </c>
      <c r="F66" s="4" t="str">
        <f t="shared" si="8"/>
        <v>!!!</v>
      </c>
      <c r="G66" s="4" t="str">
        <f t="shared" si="9"/>
        <v>+</v>
      </c>
      <c r="H66" s="4"/>
      <c r="I66" s="4" t="str">
        <f t="shared" si="10"/>
        <v>!!!</v>
      </c>
      <c r="J66" s="4" t="e">
        <f t="shared" si="11"/>
        <v>#VALUE!</v>
      </c>
      <c r="K66" s="4" t="e">
        <f t="shared" si="12"/>
        <v>#VALUE!</v>
      </c>
      <c r="L66" s="4" t="e">
        <f t="shared" si="13"/>
        <v>#VALUE!</v>
      </c>
      <c r="M66" s="4">
        <f t="shared" si="14"/>
        <v>1000</v>
      </c>
      <c r="N66" s="4">
        <f t="shared" ref="N66:O66" si="81">MIN(IFERROR(FIND(" ",$C66,M66+1),1000))</f>
        <v>1000</v>
      </c>
      <c r="O66" s="4">
        <f t="shared" si="81"/>
        <v>1000</v>
      </c>
      <c r="P66" s="4">
        <f t="shared" si="16"/>
        <v>0</v>
      </c>
      <c r="Q66" s="4" t="str">
        <f t="shared" ref="Q66:Q129" si="82">LEFT(C66,M66-1)</f>
        <v/>
      </c>
      <c r="R66" s="4" t="str">
        <f t="shared" ref="R66:R129" si="83">IFERROR(MID(C66,N66+1,O66-N66-1),"")</f>
        <v/>
      </c>
      <c r="S66" s="4" t="str">
        <f t="shared" ref="S66:S129" si="84">IFERROR(IF(LEFT(A65,1)="'",SUBSTITUTE(A65,"'",""),""),"")</f>
        <v/>
      </c>
      <c r="T66" s="4" t="e">
        <f t="shared" si="17"/>
        <v>#VALUE!</v>
      </c>
      <c r="U66" s="4" t="e">
        <f t="shared" si="18"/>
        <v>#VALUE!</v>
      </c>
      <c r="V66" s="4" t="b">
        <f t="shared" ref="V66:V129" si="85">OR(IFERROR(MATCH(U66,Q:Q,0),0)&lt;&gt;0,IFERROR(MATCH(U66,R:R,0),0)&lt;&gt;0)</f>
        <v>0</v>
      </c>
      <c r="W66" s="13" t="str">
        <f t="shared" ref="W66:W129" si="86">IF(A66="","Да",IF(OR(F66="!!!",NOT(V66)),"Нет","Да"))</f>
        <v>Да</v>
      </c>
      <c r="X66" s="4" t="e">
        <f>(IF(COUNTIFS($G$2:G66,"+",$W$2:W66,"Да")&gt;1,"&amp; ","")&amp;D66&amp;J66&amp;E66&amp;SUBSTITUTE(L66,"""",""))</f>
        <v>#VALUE!</v>
      </c>
      <c r="Y66" s="4" t="e">
        <f t="shared" ref="Y66:Y129" si="87">IF(S66="",X66,LEFT(X66,FIND(":",X66))&amp;" "&amp;S66)</f>
        <v>#VALUE!</v>
      </c>
    </row>
    <row r="67" spans="1:25" x14ac:dyDescent="0.3">
      <c r="A67" s="11"/>
      <c r="B67" s="5" t="str">
        <f t="shared" ref="B67:B130" si="88">TRIM(LEFT(A67,IFERROR(FIND("'",A67)-1,1000)))</f>
        <v/>
      </c>
      <c r="C67" s="5" t="str">
        <f t="shared" ref="C67:C130" si="89">SUBSTITUTE(SUBSTITUTE(SUBSTITUTE(SUBSTITUTE(TRIM(LEFT(A67,IFERROR(FIND("'",A67)-1,1000))),"&lt;&lt;","&lt;"),"--","-"),"&gt;&gt;","&gt;"),"&amp;","")</f>
        <v/>
      </c>
      <c r="D67" s="4" t="s">
        <v>10</v>
      </c>
      <c r="E67" s="4" t="s">
        <v>11</v>
      </c>
      <c r="F67" s="4" t="str">
        <f t="shared" ref="F67:F83" si="90">IFERROR(SEARCH(" as ",B67),"!!!")</f>
        <v>!!!</v>
      </c>
      <c r="G67" s="4" t="str">
        <f t="shared" ref="G67:G130" si="91">IF(AND($A$2="",$A$3="",$A$4="",$A$5=""),"+",IF(F67="!!!","X","+"))</f>
        <v>+</v>
      </c>
      <c r="H67" s="4"/>
      <c r="I67" s="4" t="str">
        <f t="shared" ref="I67:I83" si="92">IFERROR(SEARCH(" ",B67),"!!!")</f>
        <v>!!!</v>
      </c>
      <c r="J67" s="4" t="e">
        <f t="shared" ref="J67:J83" si="93">RIGHT(B67,LEN(B67)-F67-3)</f>
        <v>#VALUE!</v>
      </c>
      <c r="K67" s="4" t="e">
        <f t="shared" ref="K67:K83" si="94">MID(B67,I67+1,F67-I67)</f>
        <v>#VALUE!</v>
      </c>
      <c r="L67" s="4" t="e">
        <f t="shared" ref="L67:L83" si="95">MID(B67,I67+1,F67-I67)</f>
        <v>#VALUE!</v>
      </c>
      <c r="M67" s="4">
        <f t="shared" ref="M67:M130" si="96">MIN(IFERROR(FIND(" ",$C67),1000))</f>
        <v>1000</v>
      </c>
      <c r="N67" s="4">
        <f t="shared" ref="N67:O67" si="97">MIN(IFERROR(FIND(" ",$C67,M67+1),1000))</f>
        <v>1000</v>
      </c>
      <c r="O67" s="4">
        <f t="shared" si="97"/>
        <v>1000</v>
      </c>
      <c r="P67" s="4">
        <f t="shared" ref="P67:P130" si="98">MIN(IFERROR(FIND(" ",C67,O67+1),0),IFERROR(FIND("&lt;",C67,O67+1),0),IFERROR(FIND(":",C67,O67+1),0))</f>
        <v>0</v>
      </c>
      <c r="Q67" s="4" t="str">
        <f t="shared" si="82"/>
        <v/>
      </c>
      <c r="R67" s="4" t="str">
        <f t="shared" si="83"/>
        <v/>
      </c>
      <c r="S67" s="4" t="str">
        <f t="shared" si="84"/>
        <v/>
      </c>
      <c r="T67" s="4" t="e">
        <f t="shared" ref="T67:T130" si="99">FIND(" ",C67,FIND("as",C67))+1</f>
        <v>#VALUE!</v>
      </c>
      <c r="U67" s="4" t="e">
        <f t="shared" ref="U67:U130" si="100">MID(C67,T67,MIN(FIND(" ",C67,T67),FIND("&lt;",C67,T67))-T67)</f>
        <v>#VALUE!</v>
      </c>
      <c r="V67" s="4" t="b">
        <f t="shared" si="85"/>
        <v>0</v>
      </c>
      <c r="W67" s="13" t="str">
        <f t="shared" si="86"/>
        <v>Да</v>
      </c>
      <c r="X67" s="4" t="e">
        <f>(IF(COUNTIFS($G$2:G67,"+",$W$2:W67,"Да")&gt;1,"&amp; ","")&amp;D67&amp;J67&amp;E67&amp;SUBSTITUTE(L67,"""",""))</f>
        <v>#VALUE!</v>
      </c>
      <c r="Y67" s="4" t="e">
        <f t="shared" si="87"/>
        <v>#VALUE!</v>
      </c>
    </row>
    <row r="68" spans="1:25" x14ac:dyDescent="0.3">
      <c r="A68" s="11"/>
      <c r="B68" s="5" t="str">
        <f t="shared" si="88"/>
        <v/>
      </c>
      <c r="C68" s="5" t="str">
        <f t="shared" si="89"/>
        <v/>
      </c>
      <c r="D68" s="4" t="s">
        <v>10</v>
      </c>
      <c r="E68" s="4" t="s">
        <v>11</v>
      </c>
      <c r="F68" s="4" t="str">
        <f t="shared" si="90"/>
        <v>!!!</v>
      </c>
      <c r="G68" s="4" t="str">
        <f t="shared" si="91"/>
        <v>+</v>
      </c>
      <c r="H68" s="4"/>
      <c r="I68" s="4" t="str">
        <f t="shared" si="92"/>
        <v>!!!</v>
      </c>
      <c r="J68" s="4" t="e">
        <f t="shared" si="93"/>
        <v>#VALUE!</v>
      </c>
      <c r="K68" s="4" t="e">
        <f t="shared" si="94"/>
        <v>#VALUE!</v>
      </c>
      <c r="L68" s="4" t="e">
        <f t="shared" si="95"/>
        <v>#VALUE!</v>
      </c>
      <c r="M68" s="4">
        <f t="shared" si="96"/>
        <v>1000</v>
      </c>
      <c r="N68" s="4">
        <f t="shared" ref="N68:O68" si="101">MIN(IFERROR(FIND(" ",$C68,M68+1),1000))</f>
        <v>1000</v>
      </c>
      <c r="O68" s="4">
        <f t="shared" si="101"/>
        <v>1000</v>
      </c>
      <c r="P68" s="4">
        <f t="shared" si="98"/>
        <v>0</v>
      </c>
      <c r="Q68" s="4" t="str">
        <f t="shared" si="82"/>
        <v/>
      </c>
      <c r="R68" s="4" t="str">
        <f t="shared" si="83"/>
        <v/>
      </c>
      <c r="S68" s="4" t="str">
        <f t="shared" si="84"/>
        <v/>
      </c>
      <c r="T68" s="4" t="e">
        <f t="shared" si="99"/>
        <v>#VALUE!</v>
      </c>
      <c r="U68" s="4" t="e">
        <f t="shared" si="100"/>
        <v>#VALUE!</v>
      </c>
      <c r="V68" s="4" t="b">
        <f t="shared" si="85"/>
        <v>0</v>
      </c>
      <c r="W68" s="13" t="str">
        <f t="shared" si="86"/>
        <v>Да</v>
      </c>
      <c r="X68" s="4" t="e">
        <f>(IF(COUNTIFS($G$2:G68,"+",$W$2:W68,"Да")&gt;1,"&amp; ","")&amp;D68&amp;J68&amp;E68&amp;SUBSTITUTE(L68,"""",""))</f>
        <v>#VALUE!</v>
      </c>
      <c r="Y68" s="4" t="e">
        <f t="shared" si="87"/>
        <v>#VALUE!</v>
      </c>
    </row>
    <row r="69" spans="1:25" x14ac:dyDescent="0.3">
      <c r="A69" s="11"/>
      <c r="B69" s="5" t="str">
        <f t="shared" si="88"/>
        <v/>
      </c>
      <c r="C69" s="5" t="str">
        <f t="shared" si="89"/>
        <v/>
      </c>
      <c r="D69" s="4" t="s">
        <v>10</v>
      </c>
      <c r="E69" s="4" t="s">
        <v>11</v>
      </c>
      <c r="F69" s="4" t="str">
        <f t="shared" si="90"/>
        <v>!!!</v>
      </c>
      <c r="G69" s="4" t="str">
        <f t="shared" si="91"/>
        <v>+</v>
      </c>
      <c r="H69" s="4"/>
      <c r="I69" s="4" t="str">
        <f t="shared" si="92"/>
        <v>!!!</v>
      </c>
      <c r="J69" s="4" t="e">
        <f t="shared" si="93"/>
        <v>#VALUE!</v>
      </c>
      <c r="K69" s="4" t="e">
        <f t="shared" si="94"/>
        <v>#VALUE!</v>
      </c>
      <c r="L69" s="4" t="e">
        <f t="shared" si="95"/>
        <v>#VALUE!</v>
      </c>
      <c r="M69" s="4">
        <f t="shared" si="96"/>
        <v>1000</v>
      </c>
      <c r="N69" s="4">
        <f t="shared" ref="N69:O69" si="102">MIN(IFERROR(FIND(" ",$C69,M69+1),1000))</f>
        <v>1000</v>
      </c>
      <c r="O69" s="4">
        <f t="shared" si="102"/>
        <v>1000</v>
      </c>
      <c r="P69" s="4">
        <f t="shared" si="98"/>
        <v>0</v>
      </c>
      <c r="Q69" s="4" t="str">
        <f t="shared" si="82"/>
        <v/>
      </c>
      <c r="R69" s="4" t="str">
        <f t="shared" si="83"/>
        <v/>
      </c>
      <c r="S69" s="4" t="str">
        <f t="shared" si="84"/>
        <v/>
      </c>
      <c r="T69" s="4" t="e">
        <f t="shared" si="99"/>
        <v>#VALUE!</v>
      </c>
      <c r="U69" s="4" t="e">
        <f t="shared" si="100"/>
        <v>#VALUE!</v>
      </c>
      <c r="V69" s="4" t="b">
        <f t="shared" si="85"/>
        <v>0</v>
      </c>
      <c r="W69" s="13" t="str">
        <f t="shared" si="86"/>
        <v>Да</v>
      </c>
      <c r="X69" s="4" t="e">
        <f>(IF(COUNTIFS($G$2:G69,"+",$W$2:W69,"Да")&gt;1,"&amp; ","")&amp;D69&amp;J69&amp;E69&amp;SUBSTITUTE(L69,"""",""))</f>
        <v>#VALUE!</v>
      </c>
      <c r="Y69" s="4" t="e">
        <f t="shared" si="87"/>
        <v>#VALUE!</v>
      </c>
    </row>
    <row r="70" spans="1:25" x14ac:dyDescent="0.3">
      <c r="A70" s="11"/>
      <c r="B70" s="5" t="str">
        <f t="shared" si="88"/>
        <v/>
      </c>
      <c r="C70" s="5" t="str">
        <f t="shared" si="89"/>
        <v/>
      </c>
      <c r="D70" s="4" t="s">
        <v>10</v>
      </c>
      <c r="E70" s="4" t="s">
        <v>11</v>
      </c>
      <c r="F70" s="4" t="str">
        <f t="shared" si="90"/>
        <v>!!!</v>
      </c>
      <c r="G70" s="4" t="str">
        <f t="shared" si="91"/>
        <v>+</v>
      </c>
      <c r="H70" s="4"/>
      <c r="I70" s="4" t="str">
        <f t="shared" si="92"/>
        <v>!!!</v>
      </c>
      <c r="J70" s="4" t="e">
        <f t="shared" si="93"/>
        <v>#VALUE!</v>
      </c>
      <c r="K70" s="4" t="e">
        <f t="shared" si="94"/>
        <v>#VALUE!</v>
      </c>
      <c r="L70" s="4" t="e">
        <f t="shared" si="95"/>
        <v>#VALUE!</v>
      </c>
      <c r="M70" s="4">
        <f t="shared" si="96"/>
        <v>1000</v>
      </c>
      <c r="N70" s="4">
        <f t="shared" ref="N70:O70" si="103">MIN(IFERROR(FIND(" ",$C70,M70+1),1000))</f>
        <v>1000</v>
      </c>
      <c r="O70" s="4">
        <f t="shared" si="103"/>
        <v>1000</v>
      </c>
      <c r="P70" s="4">
        <f t="shared" si="98"/>
        <v>0</v>
      </c>
      <c r="Q70" s="4" t="str">
        <f t="shared" si="82"/>
        <v/>
      </c>
      <c r="R70" s="4" t="str">
        <f t="shared" si="83"/>
        <v/>
      </c>
      <c r="S70" s="4" t="str">
        <f t="shared" si="84"/>
        <v/>
      </c>
      <c r="T70" s="4" t="e">
        <f t="shared" si="99"/>
        <v>#VALUE!</v>
      </c>
      <c r="U70" s="4" t="e">
        <f t="shared" si="100"/>
        <v>#VALUE!</v>
      </c>
      <c r="V70" s="4" t="b">
        <f t="shared" si="85"/>
        <v>0</v>
      </c>
      <c r="W70" s="13" t="str">
        <f t="shared" si="86"/>
        <v>Да</v>
      </c>
      <c r="X70" s="4" t="e">
        <f>(IF(COUNTIFS($G$2:G70,"+",$W$2:W70,"Да")&gt;1,"&amp; ","")&amp;D70&amp;J70&amp;E70&amp;SUBSTITUTE(L70,"""",""))</f>
        <v>#VALUE!</v>
      </c>
      <c r="Y70" s="4" t="e">
        <f t="shared" si="87"/>
        <v>#VALUE!</v>
      </c>
    </row>
    <row r="71" spans="1:25" x14ac:dyDescent="0.3">
      <c r="A71" s="11"/>
      <c r="B71" s="5" t="str">
        <f t="shared" si="88"/>
        <v/>
      </c>
      <c r="C71" s="5" t="str">
        <f t="shared" si="89"/>
        <v/>
      </c>
      <c r="D71" s="4" t="s">
        <v>10</v>
      </c>
      <c r="E71" s="4" t="s">
        <v>11</v>
      </c>
      <c r="F71" s="4" t="str">
        <f t="shared" si="90"/>
        <v>!!!</v>
      </c>
      <c r="G71" s="4" t="str">
        <f t="shared" si="91"/>
        <v>+</v>
      </c>
      <c r="H71" s="4"/>
      <c r="I71" s="4" t="str">
        <f t="shared" si="92"/>
        <v>!!!</v>
      </c>
      <c r="J71" s="4" t="e">
        <f t="shared" si="93"/>
        <v>#VALUE!</v>
      </c>
      <c r="K71" s="4" t="e">
        <f t="shared" si="94"/>
        <v>#VALUE!</v>
      </c>
      <c r="L71" s="4" t="e">
        <f t="shared" si="95"/>
        <v>#VALUE!</v>
      </c>
      <c r="M71" s="4">
        <f t="shared" si="96"/>
        <v>1000</v>
      </c>
      <c r="N71" s="4">
        <f t="shared" ref="N71:O71" si="104">MIN(IFERROR(FIND(" ",$C71,M71+1),1000))</f>
        <v>1000</v>
      </c>
      <c r="O71" s="4">
        <f t="shared" si="104"/>
        <v>1000</v>
      </c>
      <c r="P71" s="4">
        <f t="shared" si="98"/>
        <v>0</v>
      </c>
      <c r="Q71" s="4" t="str">
        <f t="shared" si="82"/>
        <v/>
      </c>
      <c r="R71" s="4" t="str">
        <f t="shared" si="83"/>
        <v/>
      </c>
      <c r="S71" s="4" t="str">
        <f t="shared" si="84"/>
        <v/>
      </c>
      <c r="T71" s="4" t="e">
        <f t="shared" si="99"/>
        <v>#VALUE!</v>
      </c>
      <c r="U71" s="4" t="e">
        <f t="shared" si="100"/>
        <v>#VALUE!</v>
      </c>
      <c r="V71" s="4" t="b">
        <f t="shared" si="85"/>
        <v>0</v>
      </c>
      <c r="W71" s="13" t="str">
        <f t="shared" si="86"/>
        <v>Да</v>
      </c>
      <c r="X71" s="4" t="e">
        <f>(IF(COUNTIFS($G$2:G71,"+",$W$2:W71,"Да")&gt;1,"&amp; ","")&amp;D71&amp;J71&amp;E71&amp;SUBSTITUTE(L71,"""",""))</f>
        <v>#VALUE!</v>
      </c>
      <c r="Y71" s="4" t="e">
        <f t="shared" si="87"/>
        <v>#VALUE!</v>
      </c>
    </row>
    <row r="72" spans="1:25" x14ac:dyDescent="0.3">
      <c r="A72" s="11"/>
      <c r="B72" s="5" t="str">
        <f t="shared" si="88"/>
        <v/>
      </c>
      <c r="C72" s="5" t="str">
        <f t="shared" si="89"/>
        <v/>
      </c>
      <c r="D72" s="4" t="s">
        <v>10</v>
      </c>
      <c r="E72" s="4" t="s">
        <v>11</v>
      </c>
      <c r="F72" s="4" t="str">
        <f t="shared" si="90"/>
        <v>!!!</v>
      </c>
      <c r="G72" s="4" t="str">
        <f t="shared" si="91"/>
        <v>+</v>
      </c>
      <c r="H72" s="4"/>
      <c r="I72" s="4" t="str">
        <f t="shared" si="92"/>
        <v>!!!</v>
      </c>
      <c r="J72" s="4" t="e">
        <f t="shared" si="93"/>
        <v>#VALUE!</v>
      </c>
      <c r="K72" s="4" t="e">
        <f t="shared" si="94"/>
        <v>#VALUE!</v>
      </c>
      <c r="L72" s="4" t="e">
        <f t="shared" si="95"/>
        <v>#VALUE!</v>
      </c>
      <c r="M72" s="4">
        <f t="shared" si="96"/>
        <v>1000</v>
      </c>
      <c r="N72" s="4">
        <f t="shared" ref="N72:O72" si="105">MIN(IFERROR(FIND(" ",$C72,M72+1),1000))</f>
        <v>1000</v>
      </c>
      <c r="O72" s="4">
        <f t="shared" si="105"/>
        <v>1000</v>
      </c>
      <c r="P72" s="4">
        <f t="shared" si="98"/>
        <v>0</v>
      </c>
      <c r="Q72" s="4" t="str">
        <f t="shared" si="82"/>
        <v/>
      </c>
      <c r="R72" s="4" t="str">
        <f t="shared" si="83"/>
        <v/>
      </c>
      <c r="S72" s="4" t="str">
        <f t="shared" si="84"/>
        <v/>
      </c>
      <c r="T72" s="4" t="e">
        <f t="shared" si="99"/>
        <v>#VALUE!</v>
      </c>
      <c r="U72" s="4" t="e">
        <f t="shared" si="100"/>
        <v>#VALUE!</v>
      </c>
      <c r="V72" s="4" t="b">
        <f t="shared" si="85"/>
        <v>0</v>
      </c>
      <c r="W72" s="13" t="str">
        <f t="shared" si="86"/>
        <v>Да</v>
      </c>
      <c r="X72" s="4" t="e">
        <f>(IF(COUNTIFS($G$2:G72,"+",$W$2:W72,"Да")&gt;1,"&amp; ","")&amp;D72&amp;J72&amp;E72&amp;SUBSTITUTE(L72,"""",""))</f>
        <v>#VALUE!</v>
      </c>
      <c r="Y72" s="4" t="e">
        <f t="shared" si="87"/>
        <v>#VALUE!</v>
      </c>
    </row>
    <row r="73" spans="1:25" x14ac:dyDescent="0.3">
      <c r="A73" s="11"/>
      <c r="B73" s="5" t="str">
        <f t="shared" si="88"/>
        <v/>
      </c>
      <c r="C73" s="5" t="str">
        <f t="shared" si="89"/>
        <v/>
      </c>
      <c r="D73" s="4" t="s">
        <v>10</v>
      </c>
      <c r="E73" s="4" t="s">
        <v>11</v>
      </c>
      <c r="F73" s="4" t="str">
        <f t="shared" si="90"/>
        <v>!!!</v>
      </c>
      <c r="G73" s="4" t="str">
        <f t="shared" si="91"/>
        <v>+</v>
      </c>
      <c r="H73" s="4"/>
      <c r="I73" s="4" t="str">
        <f t="shared" si="92"/>
        <v>!!!</v>
      </c>
      <c r="J73" s="4" t="e">
        <f t="shared" si="93"/>
        <v>#VALUE!</v>
      </c>
      <c r="K73" s="4" t="e">
        <f t="shared" si="94"/>
        <v>#VALUE!</v>
      </c>
      <c r="L73" s="4" t="e">
        <f t="shared" si="95"/>
        <v>#VALUE!</v>
      </c>
      <c r="M73" s="4">
        <f t="shared" si="96"/>
        <v>1000</v>
      </c>
      <c r="N73" s="4">
        <f t="shared" ref="N73:O73" si="106">MIN(IFERROR(FIND(" ",$C73,M73+1),1000))</f>
        <v>1000</v>
      </c>
      <c r="O73" s="4">
        <f t="shared" si="106"/>
        <v>1000</v>
      </c>
      <c r="P73" s="4">
        <f t="shared" si="98"/>
        <v>0</v>
      </c>
      <c r="Q73" s="4" t="str">
        <f t="shared" si="82"/>
        <v/>
      </c>
      <c r="R73" s="4" t="str">
        <f t="shared" si="83"/>
        <v/>
      </c>
      <c r="S73" s="4" t="str">
        <f t="shared" si="84"/>
        <v/>
      </c>
      <c r="T73" s="4" t="e">
        <f t="shared" si="99"/>
        <v>#VALUE!</v>
      </c>
      <c r="U73" s="4" t="e">
        <f t="shared" si="100"/>
        <v>#VALUE!</v>
      </c>
      <c r="V73" s="4" t="b">
        <f t="shared" si="85"/>
        <v>0</v>
      </c>
      <c r="W73" s="13" t="str">
        <f t="shared" si="86"/>
        <v>Да</v>
      </c>
      <c r="X73" s="4" t="e">
        <f>(IF(COUNTIFS($G$2:G73,"+",$W$2:W73,"Да")&gt;1,"&amp; ","")&amp;D73&amp;J73&amp;E73&amp;SUBSTITUTE(L73,"""",""))</f>
        <v>#VALUE!</v>
      </c>
      <c r="Y73" s="4" t="e">
        <f t="shared" si="87"/>
        <v>#VALUE!</v>
      </c>
    </row>
    <row r="74" spans="1:25" x14ac:dyDescent="0.3">
      <c r="A74" s="11"/>
      <c r="B74" s="5" t="str">
        <f t="shared" si="88"/>
        <v/>
      </c>
      <c r="C74" s="5" t="str">
        <f t="shared" si="89"/>
        <v/>
      </c>
      <c r="D74" s="4" t="s">
        <v>10</v>
      </c>
      <c r="E74" s="4" t="s">
        <v>11</v>
      </c>
      <c r="F74" s="4" t="str">
        <f t="shared" si="90"/>
        <v>!!!</v>
      </c>
      <c r="G74" s="4" t="str">
        <f t="shared" si="91"/>
        <v>+</v>
      </c>
      <c r="H74" s="4"/>
      <c r="I74" s="4" t="str">
        <f t="shared" si="92"/>
        <v>!!!</v>
      </c>
      <c r="J74" s="4" t="e">
        <f t="shared" si="93"/>
        <v>#VALUE!</v>
      </c>
      <c r="K74" s="4" t="e">
        <f t="shared" si="94"/>
        <v>#VALUE!</v>
      </c>
      <c r="L74" s="4" t="e">
        <f t="shared" si="95"/>
        <v>#VALUE!</v>
      </c>
      <c r="M74" s="4">
        <f t="shared" si="96"/>
        <v>1000</v>
      </c>
      <c r="N74" s="4">
        <f t="shared" ref="N74:O74" si="107">MIN(IFERROR(FIND(" ",$C74,M74+1),1000))</f>
        <v>1000</v>
      </c>
      <c r="O74" s="4">
        <f t="shared" si="107"/>
        <v>1000</v>
      </c>
      <c r="P74" s="4">
        <f t="shared" si="98"/>
        <v>0</v>
      </c>
      <c r="Q74" s="4" t="str">
        <f t="shared" si="82"/>
        <v/>
      </c>
      <c r="R74" s="4" t="str">
        <f t="shared" si="83"/>
        <v/>
      </c>
      <c r="S74" s="4" t="str">
        <f t="shared" si="84"/>
        <v/>
      </c>
      <c r="T74" s="4" t="e">
        <f t="shared" si="99"/>
        <v>#VALUE!</v>
      </c>
      <c r="U74" s="4" t="e">
        <f t="shared" si="100"/>
        <v>#VALUE!</v>
      </c>
      <c r="V74" s="4" t="b">
        <f t="shared" si="85"/>
        <v>0</v>
      </c>
      <c r="W74" s="13" t="str">
        <f t="shared" si="86"/>
        <v>Да</v>
      </c>
      <c r="X74" s="4" t="e">
        <f>(IF(COUNTIFS($G$2:G74,"+",$W$2:W74,"Да")&gt;1,"&amp; ","")&amp;D74&amp;J74&amp;E74&amp;SUBSTITUTE(L74,"""",""))</f>
        <v>#VALUE!</v>
      </c>
      <c r="Y74" s="4" t="e">
        <f t="shared" si="87"/>
        <v>#VALUE!</v>
      </c>
    </row>
    <row r="75" spans="1:25" x14ac:dyDescent="0.3">
      <c r="A75" s="11"/>
      <c r="B75" s="5" t="str">
        <f t="shared" si="88"/>
        <v/>
      </c>
      <c r="C75" s="5" t="str">
        <f t="shared" si="89"/>
        <v/>
      </c>
      <c r="D75" s="4" t="s">
        <v>10</v>
      </c>
      <c r="E75" s="4" t="s">
        <v>11</v>
      </c>
      <c r="F75" s="4" t="str">
        <f t="shared" si="90"/>
        <v>!!!</v>
      </c>
      <c r="G75" s="4" t="str">
        <f t="shared" si="91"/>
        <v>+</v>
      </c>
      <c r="H75" s="4"/>
      <c r="I75" s="4" t="str">
        <f t="shared" si="92"/>
        <v>!!!</v>
      </c>
      <c r="J75" s="4" t="e">
        <f t="shared" si="93"/>
        <v>#VALUE!</v>
      </c>
      <c r="K75" s="4" t="e">
        <f t="shared" si="94"/>
        <v>#VALUE!</v>
      </c>
      <c r="L75" s="4" t="e">
        <f t="shared" si="95"/>
        <v>#VALUE!</v>
      </c>
      <c r="M75" s="4">
        <f t="shared" si="96"/>
        <v>1000</v>
      </c>
      <c r="N75" s="4">
        <f t="shared" ref="N75:O75" si="108">MIN(IFERROR(FIND(" ",$C75,M75+1),1000))</f>
        <v>1000</v>
      </c>
      <c r="O75" s="4">
        <f t="shared" si="108"/>
        <v>1000</v>
      </c>
      <c r="P75" s="4">
        <f t="shared" si="98"/>
        <v>0</v>
      </c>
      <c r="Q75" s="4" t="str">
        <f t="shared" si="82"/>
        <v/>
      </c>
      <c r="R75" s="4" t="str">
        <f t="shared" si="83"/>
        <v/>
      </c>
      <c r="S75" s="4" t="str">
        <f t="shared" si="84"/>
        <v/>
      </c>
      <c r="T75" s="4" t="e">
        <f t="shared" si="99"/>
        <v>#VALUE!</v>
      </c>
      <c r="U75" s="4" t="e">
        <f t="shared" si="100"/>
        <v>#VALUE!</v>
      </c>
      <c r="V75" s="4" t="b">
        <f t="shared" si="85"/>
        <v>0</v>
      </c>
      <c r="W75" s="13" t="str">
        <f t="shared" si="86"/>
        <v>Да</v>
      </c>
      <c r="X75" s="4" t="e">
        <f>(IF(COUNTIFS($G$2:G75,"+",$W$2:W75,"Да")&gt;1,"&amp; ","")&amp;D75&amp;J75&amp;E75&amp;SUBSTITUTE(L75,"""",""))</f>
        <v>#VALUE!</v>
      </c>
      <c r="Y75" s="4" t="e">
        <f t="shared" si="87"/>
        <v>#VALUE!</v>
      </c>
    </row>
    <row r="76" spans="1:25" x14ac:dyDescent="0.3">
      <c r="A76" s="11"/>
      <c r="B76" s="5" t="str">
        <f t="shared" si="88"/>
        <v/>
      </c>
      <c r="C76" s="5" t="str">
        <f t="shared" si="89"/>
        <v/>
      </c>
      <c r="D76" s="4" t="s">
        <v>10</v>
      </c>
      <c r="E76" s="4" t="s">
        <v>11</v>
      </c>
      <c r="F76" s="4" t="str">
        <f t="shared" si="90"/>
        <v>!!!</v>
      </c>
      <c r="G76" s="4" t="str">
        <f t="shared" si="91"/>
        <v>+</v>
      </c>
      <c r="H76" s="4"/>
      <c r="I76" s="4" t="str">
        <f t="shared" si="92"/>
        <v>!!!</v>
      </c>
      <c r="J76" s="4" t="e">
        <f t="shared" si="93"/>
        <v>#VALUE!</v>
      </c>
      <c r="K76" s="4" t="e">
        <f t="shared" si="94"/>
        <v>#VALUE!</v>
      </c>
      <c r="L76" s="4" t="e">
        <f t="shared" si="95"/>
        <v>#VALUE!</v>
      </c>
      <c r="M76" s="4">
        <f t="shared" si="96"/>
        <v>1000</v>
      </c>
      <c r="N76" s="4">
        <f t="shared" ref="N76:O76" si="109">MIN(IFERROR(FIND(" ",$C76,M76+1),1000))</f>
        <v>1000</v>
      </c>
      <c r="O76" s="4">
        <f t="shared" si="109"/>
        <v>1000</v>
      </c>
      <c r="P76" s="4">
        <f t="shared" si="98"/>
        <v>0</v>
      </c>
      <c r="Q76" s="4" t="str">
        <f t="shared" si="82"/>
        <v/>
      </c>
      <c r="R76" s="4" t="str">
        <f t="shared" si="83"/>
        <v/>
      </c>
      <c r="S76" s="4" t="str">
        <f t="shared" si="84"/>
        <v/>
      </c>
      <c r="T76" s="4" t="e">
        <f t="shared" si="99"/>
        <v>#VALUE!</v>
      </c>
      <c r="U76" s="4" t="e">
        <f t="shared" si="100"/>
        <v>#VALUE!</v>
      </c>
      <c r="V76" s="4" t="b">
        <f t="shared" si="85"/>
        <v>0</v>
      </c>
      <c r="W76" s="13" t="str">
        <f t="shared" si="86"/>
        <v>Да</v>
      </c>
      <c r="X76" s="4" t="e">
        <f>(IF(COUNTIFS($G$2:G76,"+",$W$2:W76,"Да")&gt;1,"&amp; ","")&amp;D76&amp;J76&amp;E76&amp;SUBSTITUTE(L76,"""",""))</f>
        <v>#VALUE!</v>
      </c>
      <c r="Y76" s="4" t="e">
        <f t="shared" si="87"/>
        <v>#VALUE!</v>
      </c>
    </row>
    <row r="77" spans="1:25" x14ac:dyDescent="0.3">
      <c r="A77" s="11"/>
      <c r="B77" s="5" t="str">
        <f t="shared" si="88"/>
        <v/>
      </c>
      <c r="C77" s="5" t="str">
        <f t="shared" si="89"/>
        <v/>
      </c>
      <c r="D77" s="4" t="s">
        <v>10</v>
      </c>
      <c r="E77" s="4" t="s">
        <v>11</v>
      </c>
      <c r="F77" s="4" t="str">
        <f t="shared" si="90"/>
        <v>!!!</v>
      </c>
      <c r="G77" s="4" t="str">
        <f t="shared" si="91"/>
        <v>+</v>
      </c>
      <c r="H77" s="4"/>
      <c r="I77" s="4" t="str">
        <f t="shared" si="92"/>
        <v>!!!</v>
      </c>
      <c r="J77" s="4" t="e">
        <f t="shared" si="93"/>
        <v>#VALUE!</v>
      </c>
      <c r="K77" s="4" t="e">
        <f t="shared" si="94"/>
        <v>#VALUE!</v>
      </c>
      <c r="L77" s="4" t="e">
        <f t="shared" si="95"/>
        <v>#VALUE!</v>
      </c>
      <c r="M77" s="4">
        <f t="shared" si="96"/>
        <v>1000</v>
      </c>
      <c r="N77" s="4">
        <f t="shared" ref="N77:O77" si="110">MIN(IFERROR(FIND(" ",$C77,M77+1),1000))</f>
        <v>1000</v>
      </c>
      <c r="O77" s="4">
        <f t="shared" si="110"/>
        <v>1000</v>
      </c>
      <c r="P77" s="4">
        <f t="shared" si="98"/>
        <v>0</v>
      </c>
      <c r="Q77" s="4" t="str">
        <f t="shared" si="82"/>
        <v/>
      </c>
      <c r="R77" s="4" t="str">
        <f t="shared" si="83"/>
        <v/>
      </c>
      <c r="S77" s="4" t="str">
        <f t="shared" si="84"/>
        <v/>
      </c>
      <c r="T77" s="4" t="e">
        <f t="shared" si="99"/>
        <v>#VALUE!</v>
      </c>
      <c r="U77" s="4" t="e">
        <f t="shared" si="100"/>
        <v>#VALUE!</v>
      </c>
      <c r="V77" s="4" t="b">
        <f t="shared" si="85"/>
        <v>0</v>
      </c>
      <c r="W77" s="13" t="str">
        <f t="shared" si="86"/>
        <v>Да</v>
      </c>
      <c r="X77" s="4" t="e">
        <f>(IF(COUNTIFS($G$2:G77,"+",$W$2:W77,"Да")&gt;1,"&amp; ","")&amp;D77&amp;J77&amp;E77&amp;SUBSTITUTE(L77,"""",""))</f>
        <v>#VALUE!</v>
      </c>
      <c r="Y77" s="4" t="e">
        <f t="shared" si="87"/>
        <v>#VALUE!</v>
      </c>
    </row>
    <row r="78" spans="1:25" x14ac:dyDescent="0.3">
      <c r="A78" s="11"/>
      <c r="B78" s="5" t="str">
        <f t="shared" si="88"/>
        <v/>
      </c>
      <c r="C78" s="5" t="str">
        <f t="shared" si="89"/>
        <v/>
      </c>
      <c r="D78" s="4" t="s">
        <v>10</v>
      </c>
      <c r="E78" s="4" t="s">
        <v>11</v>
      </c>
      <c r="F78" s="4" t="str">
        <f t="shared" si="90"/>
        <v>!!!</v>
      </c>
      <c r="G78" s="4" t="str">
        <f t="shared" si="91"/>
        <v>+</v>
      </c>
      <c r="H78" s="4"/>
      <c r="I78" s="4" t="str">
        <f t="shared" si="92"/>
        <v>!!!</v>
      </c>
      <c r="J78" s="4" t="e">
        <f t="shared" si="93"/>
        <v>#VALUE!</v>
      </c>
      <c r="K78" s="4" t="e">
        <f t="shared" si="94"/>
        <v>#VALUE!</v>
      </c>
      <c r="L78" s="4" t="e">
        <f t="shared" si="95"/>
        <v>#VALUE!</v>
      </c>
      <c r="M78" s="4">
        <f t="shared" si="96"/>
        <v>1000</v>
      </c>
      <c r="N78" s="4">
        <f t="shared" ref="N78:O78" si="111">MIN(IFERROR(FIND(" ",$C78,M78+1),1000))</f>
        <v>1000</v>
      </c>
      <c r="O78" s="4">
        <f t="shared" si="111"/>
        <v>1000</v>
      </c>
      <c r="P78" s="4">
        <f t="shared" si="98"/>
        <v>0</v>
      </c>
      <c r="Q78" s="4" t="str">
        <f t="shared" si="82"/>
        <v/>
      </c>
      <c r="R78" s="4" t="str">
        <f t="shared" si="83"/>
        <v/>
      </c>
      <c r="S78" s="4" t="str">
        <f t="shared" si="84"/>
        <v/>
      </c>
      <c r="T78" s="4" t="e">
        <f t="shared" si="99"/>
        <v>#VALUE!</v>
      </c>
      <c r="U78" s="4" t="e">
        <f t="shared" si="100"/>
        <v>#VALUE!</v>
      </c>
      <c r="V78" s="4" t="b">
        <f t="shared" si="85"/>
        <v>0</v>
      </c>
      <c r="W78" s="13" t="str">
        <f t="shared" si="86"/>
        <v>Да</v>
      </c>
      <c r="X78" s="4" t="e">
        <f>(IF(COUNTIFS($G$2:G78,"+",$W$2:W78,"Да")&gt;1,"&amp; ","")&amp;D78&amp;J78&amp;E78&amp;SUBSTITUTE(L78,"""",""))</f>
        <v>#VALUE!</v>
      </c>
      <c r="Y78" s="4" t="e">
        <f t="shared" si="87"/>
        <v>#VALUE!</v>
      </c>
    </row>
    <row r="79" spans="1:25" x14ac:dyDescent="0.3">
      <c r="A79" s="11"/>
      <c r="B79" s="5" t="str">
        <f t="shared" si="88"/>
        <v/>
      </c>
      <c r="C79" s="5" t="str">
        <f t="shared" si="89"/>
        <v/>
      </c>
      <c r="D79" s="4" t="s">
        <v>10</v>
      </c>
      <c r="E79" s="4" t="s">
        <v>11</v>
      </c>
      <c r="F79" s="4" t="str">
        <f t="shared" si="90"/>
        <v>!!!</v>
      </c>
      <c r="G79" s="4" t="str">
        <f t="shared" si="91"/>
        <v>+</v>
      </c>
      <c r="H79" s="4"/>
      <c r="I79" s="4" t="str">
        <f t="shared" si="92"/>
        <v>!!!</v>
      </c>
      <c r="J79" s="4" t="e">
        <f t="shared" si="93"/>
        <v>#VALUE!</v>
      </c>
      <c r="K79" s="4" t="e">
        <f t="shared" si="94"/>
        <v>#VALUE!</v>
      </c>
      <c r="L79" s="4" t="e">
        <f t="shared" si="95"/>
        <v>#VALUE!</v>
      </c>
      <c r="M79" s="4">
        <f t="shared" si="96"/>
        <v>1000</v>
      </c>
      <c r="N79" s="4">
        <f t="shared" ref="N79:O79" si="112">MIN(IFERROR(FIND(" ",$C79,M79+1),1000))</f>
        <v>1000</v>
      </c>
      <c r="O79" s="4">
        <f t="shared" si="112"/>
        <v>1000</v>
      </c>
      <c r="P79" s="4">
        <f t="shared" si="98"/>
        <v>0</v>
      </c>
      <c r="Q79" s="4" t="str">
        <f t="shared" si="82"/>
        <v/>
      </c>
      <c r="R79" s="4" t="str">
        <f t="shared" si="83"/>
        <v/>
      </c>
      <c r="S79" s="4" t="str">
        <f t="shared" si="84"/>
        <v/>
      </c>
      <c r="T79" s="4" t="e">
        <f t="shared" si="99"/>
        <v>#VALUE!</v>
      </c>
      <c r="U79" s="4" t="e">
        <f t="shared" si="100"/>
        <v>#VALUE!</v>
      </c>
      <c r="V79" s="4" t="b">
        <f t="shared" si="85"/>
        <v>0</v>
      </c>
      <c r="W79" s="13" t="str">
        <f t="shared" si="86"/>
        <v>Да</v>
      </c>
      <c r="X79" s="4" t="e">
        <f>(IF(COUNTIFS($G$2:G79,"+",$W$2:W79,"Да")&gt;1,"&amp; ","")&amp;D79&amp;J79&amp;E79&amp;SUBSTITUTE(L79,"""",""))</f>
        <v>#VALUE!</v>
      </c>
      <c r="Y79" s="4" t="e">
        <f t="shared" si="87"/>
        <v>#VALUE!</v>
      </c>
    </row>
    <row r="80" spans="1:25" x14ac:dyDescent="0.3">
      <c r="A80" s="11"/>
      <c r="B80" s="5" t="str">
        <f t="shared" si="88"/>
        <v/>
      </c>
      <c r="C80" s="5" t="str">
        <f t="shared" si="89"/>
        <v/>
      </c>
      <c r="D80" s="4" t="s">
        <v>10</v>
      </c>
      <c r="E80" s="4" t="s">
        <v>11</v>
      </c>
      <c r="F80" s="4" t="str">
        <f t="shared" si="90"/>
        <v>!!!</v>
      </c>
      <c r="G80" s="4" t="str">
        <f t="shared" si="91"/>
        <v>+</v>
      </c>
      <c r="H80" s="4"/>
      <c r="I80" s="4" t="str">
        <f t="shared" si="92"/>
        <v>!!!</v>
      </c>
      <c r="J80" s="4" t="e">
        <f t="shared" si="93"/>
        <v>#VALUE!</v>
      </c>
      <c r="K80" s="4" t="e">
        <f t="shared" si="94"/>
        <v>#VALUE!</v>
      </c>
      <c r="L80" s="4" t="e">
        <f t="shared" si="95"/>
        <v>#VALUE!</v>
      </c>
      <c r="M80" s="4">
        <f t="shared" si="96"/>
        <v>1000</v>
      </c>
      <c r="N80" s="4">
        <f t="shared" ref="N80:O80" si="113">MIN(IFERROR(FIND(" ",$C80,M80+1),1000))</f>
        <v>1000</v>
      </c>
      <c r="O80" s="4">
        <f t="shared" si="113"/>
        <v>1000</v>
      </c>
      <c r="P80" s="4">
        <f t="shared" si="98"/>
        <v>0</v>
      </c>
      <c r="Q80" s="4" t="str">
        <f t="shared" si="82"/>
        <v/>
      </c>
      <c r="R80" s="4" t="str">
        <f t="shared" si="83"/>
        <v/>
      </c>
      <c r="S80" s="4" t="str">
        <f t="shared" si="84"/>
        <v/>
      </c>
      <c r="T80" s="4" t="e">
        <f t="shared" si="99"/>
        <v>#VALUE!</v>
      </c>
      <c r="U80" s="4" t="e">
        <f t="shared" si="100"/>
        <v>#VALUE!</v>
      </c>
      <c r="V80" s="4" t="b">
        <f t="shared" si="85"/>
        <v>0</v>
      </c>
      <c r="W80" s="13" t="str">
        <f t="shared" si="86"/>
        <v>Да</v>
      </c>
      <c r="X80" s="4" t="e">
        <f>(IF(COUNTIFS($G$2:G80,"+",$W$2:W80,"Да")&gt;1,"&amp; ","")&amp;D80&amp;J80&amp;E80&amp;SUBSTITUTE(L80,"""",""))</f>
        <v>#VALUE!</v>
      </c>
      <c r="Y80" s="4" t="e">
        <f t="shared" si="87"/>
        <v>#VALUE!</v>
      </c>
    </row>
    <row r="81" spans="1:25" x14ac:dyDescent="0.3">
      <c r="A81" s="11"/>
      <c r="B81" s="5" t="str">
        <f t="shared" si="88"/>
        <v/>
      </c>
      <c r="C81" s="5" t="str">
        <f t="shared" si="89"/>
        <v/>
      </c>
      <c r="D81" s="4" t="s">
        <v>10</v>
      </c>
      <c r="E81" s="4" t="s">
        <v>11</v>
      </c>
      <c r="F81" s="4" t="str">
        <f t="shared" si="90"/>
        <v>!!!</v>
      </c>
      <c r="G81" s="4" t="str">
        <f t="shared" si="91"/>
        <v>+</v>
      </c>
      <c r="H81" s="4"/>
      <c r="I81" s="4" t="str">
        <f t="shared" si="92"/>
        <v>!!!</v>
      </c>
      <c r="J81" s="4" t="e">
        <f t="shared" si="93"/>
        <v>#VALUE!</v>
      </c>
      <c r="K81" s="4" t="e">
        <f t="shared" si="94"/>
        <v>#VALUE!</v>
      </c>
      <c r="L81" s="4" t="e">
        <f t="shared" si="95"/>
        <v>#VALUE!</v>
      </c>
      <c r="M81" s="4">
        <f t="shared" si="96"/>
        <v>1000</v>
      </c>
      <c r="N81" s="4">
        <f t="shared" ref="N81:O81" si="114">MIN(IFERROR(FIND(" ",$C81,M81+1),1000))</f>
        <v>1000</v>
      </c>
      <c r="O81" s="4">
        <f t="shared" si="114"/>
        <v>1000</v>
      </c>
      <c r="P81" s="4">
        <f t="shared" si="98"/>
        <v>0</v>
      </c>
      <c r="Q81" s="4" t="str">
        <f t="shared" si="82"/>
        <v/>
      </c>
      <c r="R81" s="4" t="str">
        <f t="shared" si="83"/>
        <v/>
      </c>
      <c r="S81" s="4" t="str">
        <f t="shared" si="84"/>
        <v/>
      </c>
      <c r="T81" s="4" t="e">
        <f t="shared" si="99"/>
        <v>#VALUE!</v>
      </c>
      <c r="U81" s="4" t="e">
        <f t="shared" si="100"/>
        <v>#VALUE!</v>
      </c>
      <c r="V81" s="4" t="b">
        <f t="shared" si="85"/>
        <v>0</v>
      </c>
      <c r="W81" s="13" t="str">
        <f t="shared" si="86"/>
        <v>Да</v>
      </c>
      <c r="X81" s="4" t="e">
        <f>(IF(COUNTIFS($G$2:G81,"+",$W$2:W81,"Да")&gt;1,"&amp; ","")&amp;D81&amp;J81&amp;E81&amp;SUBSTITUTE(L81,"""",""))</f>
        <v>#VALUE!</v>
      </c>
      <c r="Y81" s="4" t="e">
        <f t="shared" si="87"/>
        <v>#VALUE!</v>
      </c>
    </row>
    <row r="82" spans="1:25" x14ac:dyDescent="0.3">
      <c r="A82" s="11"/>
      <c r="B82" s="5" t="str">
        <f t="shared" si="88"/>
        <v/>
      </c>
      <c r="C82" s="5" t="str">
        <f t="shared" si="89"/>
        <v/>
      </c>
      <c r="D82" s="4" t="s">
        <v>10</v>
      </c>
      <c r="E82" s="4" t="s">
        <v>11</v>
      </c>
      <c r="F82" s="4" t="str">
        <f t="shared" si="90"/>
        <v>!!!</v>
      </c>
      <c r="G82" s="4" t="str">
        <f t="shared" si="91"/>
        <v>+</v>
      </c>
      <c r="H82" s="4"/>
      <c r="I82" s="4" t="str">
        <f t="shared" si="92"/>
        <v>!!!</v>
      </c>
      <c r="J82" s="4" t="e">
        <f t="shared" si="93"/>
        <v>#VALUE!</v>
      </c>
      <c r="K82" s="4" t="e">
        <f t="shared" si="94"/>
        <v>#VALUE!</v>
      </c>
      <c r="L82" s="4" t="e">
        <f t="shared" si="95"/>
        <v>#VALUE!</v>
      </c>
      <c r="M82" s="4">
        <f t="shared" si="96"/>
        <v>1000</v>
      </c>
      <c r="N82" s="4">
        <f t="shared" ref="N82:O82" si="115">MIN(IFERROR(FIND(" ",$C82,M82+1),1000))</f>
        <v>1000</v>
      </c>
      <c r="O82" s="4">
        <f t="shared" si="115"/>
        <v>1000</v>
      </c>
      <c r="P82" s="4">
        <f t="shared" si="98"/>
        <v>0</v>
      </c>
      <c r="Q82" s="4" t="str">
        <f t="shared" si="82"/>
        <v/>
      </c>
      <c r="R82" s="4" t="str">
        <f t="shared" si="83"/>
        <v/>
      </c>
      <c r="S82" s="4" t="str">
        <f t="shared" si="84"/>
        <v/>
      </c>
      <c r="T82" s="4" t="e">
        <f t="shared" si="99"/>
        <v>#VALUE!</v>
      </c>
      <c r="U82" s="4" t="e">
        <f t="shared" si="100"/>
        <v>#VALUE!</v>
      </c>
      <c r="V82" s="4" t="b">
        <f t="shared" si="85"/>
        <v>0</v>
      </c>
      <c r="W82" s="13" t="str">
        <f t="shared" si="86"/>
        <v>Да</v>
      </c>
      <c r="X82" s="4" t="e">
        <f>(IF(COUNTIFS($G$2:G82,"+",$W$2:W82,"Да")&gt;1,"&amp; ","")&amp;D82&amp;J82&amp;E82&amp;SUBSTITUTE(L82,"""",""))</f>
        <v>#VALUE!</v>
      </c>
      <c r="Y82" s="4" t="e">
        <f t="shared" si="87"/>
        <v>#VALUE!</v>
      </c>
    </row>
    <row r="83" spans="1:25" x14ac:dyDescent="0.3">
      <c r="A83" s="11"/>
      <c r="B83" s="5" t="str">
        <f t="shared" si="88"/>
        <v/>
      </c>
      <c r="C83" s="5" t="str">
        <f t="shared" si="89"/>
        <v/>
      </c>
      <c r="D83" s="4" t="s">
        <v>10</v>
      </c>
      <c r="E83" s="4" t="s">
        <v>11</v>
      </c>
      <c r="F83" s="4" t="str">
        <f t="shared" si="90"/>
        <v>!!!</v>
      </c>
      <c r="G83" s="4" t="str">
        <f t="shared" si="91"/>
        <v>+</v>
      </c>
      <c r="H83" s="4"/>
      <c r="I83" s="4" t="str">
        <f t="shared" si="92"/>
        <v>!!!</v>
      </c>
      <c r="J83" s="4" t="e">
        <f t="shared" si="93"/>
        <v>#VALUE!</v>
      </c>
      <c r="K83" s="4" t="e">
        <f t="shared" si="94"/>
        <v>#VALUE!</v>
      </c>
      <c r="L83" s="4" t="e">
        <f t="shared" si="95"/>
        <v>#VALUE!</v>
      </c>
      <c r="M83" s="4">
        <f t="shared" si="96"/>
        <v>1000</v>
      </c>
      <c r="N83" s="4">
        <f t="shared" ref="N83:O83" si="116">MIN(IFERROR(FIND(" ",$C83,M83+1),1000))</f>
        <v>1000</v>
      </c>
      <c r="O83" s="4">
        <f t="shared" si="116"/>
        <v>1000</v>
      </c>
      <c r="P83" s="4">
        <f t="shared" si="98"/>
        <v>0</v>
      </c>
      <c r="Q83" s="4" t="str">
        <f t="shared" si="82"/>
        <v/>
      </c>
      <c r="R83" s="4" t="str">
        <f t="shared" si="83"/>
        <v/>
      </c>
      <c r="S83" s="4" t="str">
        <f t="shared" si="84"/>
        <v/>
      </c>
      <c r="T83" s="4" t="e">
        <f t="shared" si="99"/>
        <v>#VALUE!</v>
      </c>
      <c r="U83" s="4" t="e">
        <f t="shared" si="100"/>
        <v>#VALUE!</v>
      </c>
      <c r="V83" s="4" t="b">
        <f t="shared" si="85"/>
        <v>0</v>
      </c>
      <c r="W83" s="13" t="str">
        <f t="shared" si="86"/>
        <v>Да</v>
      </c>
      <c r="X83" s="4" t="e">
        <f>(IF(COUNTIFS($G$2:G83,"+",$W$2:W83,"Да")&gt;1,"&amp; ","")&amp;D83&amp;J83&amp;E83&amp;SUBSTITUTE(L83,"""",""))</f>
        <v>#VALUE!</v>
      </c>
      <c r="Y83" s="4" t="e">
        <f t="shared" si="87"/>
        <v>#VALUE!</v>
      </c>
    </row>
    <row r="84" spans="1:25" x14ac:dyDescent="0.3">
      <c r="A84" s="11"/>
      <c r="B84" s="5" t="str">
        <f t="shared" si="88"/>
        <v/>
      </c>
      <c r="C84" s="5" t="str">
        <f t="shared" si="89"/>
        <v/>
      </c>
      <c r="D84" s="4" t="s">
        <v>10</v>
      </c>
      <c r="E84" s="4" t="s">
        <v>11</v>
      </c>
      <c r="F84" s="4" t="str">
        <f t="shared" ref="F84:F147" si="117">IFERROR(SEARCH(" as ",B84),"!!!")</f>
        <v>!!!</v>
      </c>
      <c r="G84" s="4" t="str">
        <f t="shared" si="91"/>
        <v>+</v>
      </c>
      <c r="H84" s="4"/>
      <c r="I84" s="4" t="str">
        <f t="shared" ref="I84:I147" si="118">IFERROR(SEARCH(" ",B84),"!!!")</f>
        <v>!!!</v>
      </c>
      <c r="J84" s="4" t="e">
        <f t="shared" ref="J84:J147" si="119">RIGHT(B84,LEN(B84)-F84-3)</f>
        <v>#VALUE!</v>
      </c>
      <c r="K84" s="4" t="e">
        <f t="shared" ref="K84:K147" si="120">MID(B84,I84+1,F84-I84)</f>
        <v>#VALUE!</v>
      </c>
      <c r="L84" s="4" t="e">
        <f t="shared" ref="L84:L147" si="121">MID(B84,I84+1,F84-I84)</f>
        <v>#VALUE!</v>
      </c>
      <c r="M84" s="4">
        <f t="shared" si="96"/>
        <v>1000</v>
      </c>
      <c r="N84" s="4">
        <f t="shared" ref="N84:O84" si="122">MIN(IFERROR(FIND(" ",$C84,M84+1),1000))</f>
        <v>1000</v>
      </c>
      <c r="O84" s="4">
        <f t="shared" si="122"/>
        <v>1000</v>
      </c>
      <c r="P84" s="4">
        <f t="shared" si="98"/>
        <v>0</v>
      </c>
      <c r="Q84" s="4" t="str">
        <f t="shared" si="82"/>
        <v/>
      </c>
      <c r="R84" s="4" t="str">
        <f t="shared" si="83"/>
        <v/>
      </c>
      <c r="S84" s="4" t="str">
        <f t="shared" si="84"/>
        <v/>
      </c>
      <c r="T84" s="4" t="e">
        <f t="shared" si="99"/>
        <v>#VALUE!</v>
      </c>
      <c r="U84" s="4" t="e">
        <f t="shared" si="100"/>
        <v>#VALUE!</v>
      </c>
      <c r="V84" s="4" t="b">
        <f t="shared" si="85"/>
        <v>0</v>
      </c>
      <c r="W84" s="13" t="str">
        <f t="shared" si="86"/>
        <v>Да</v>
      </c>
      <c r="X84" s="4" t="e">
        <f>(IF(COUNTIFS($G$2:G84,"+",$W$2:W84,"Да")&gt;1,"&amp; ","")&amp;D84&amp;J84&amp;E84&amp;SUBSTITUTE(L84,"""",""))</f>
        <v>#VALUE!</v>
      </c>
      <c r="Y84" s="4" t="e">
        <f t="shared" si="87"/>
        <v>#VALUE!</v>
      </c>
    </row>
    <row r="85" spans="1:25" x14ac:dyDescent="0.3">
      <c r="A85" s="11"/>
      <c r="B85" s="5" t="str">
        <f t="shared" si="88"/>
        <v/>
      </c>
      <c r="C85" s="5" t="str">
        <f t="shared" si="89"/>
        <v/>
      </c>
      <c r="D85" s="4" t="s">
        <v>10</v>
      </c>
      <c r="E85" s="4" t="s">
        <v>11</v>
      </c>
      <c r="F85" s="4" t="str">
        <f t="shared" si="117"/>
        <v>!!!</v>
      </c>
      <c r="G85" s="4" t="str">
        <f t="shared" si="91"/>
        <v>+</v>
      </c>
      <c r="H85" s="4"/>
      <c r="I85" s="4" t="str">
        <f t="shared" si="118"/>
        <v>!!!</v>
      </c>
      <c r="J85" s="4" t="e">
        <f t="shared" si="119"/>
        <v>#VALUE!</v>
      </c>
      <c r="K85" s="4" t="e">
        <f t="shared" si="120"/>
        <v>#VALUE!</v>
      </c>
      <c r="L85" s="4" t="e">
        <f t="shared" si="121"/>
        <v>#VALUE!</v>
      </c>
      <c r="M85" s="4">
        <f t="shared" si="96"/>
        <v>1000</v>
      </c>
      <c r="N85" s="4">
        <f t="shared" ref="N85:O85" si="123">MIN(IFERROR(FIND(" ",$C85,M85+1),1000))</f>
        <v>1000</v>
      </c>
      <c r="O85" s="4">
        <f t="shared" si="123"/>
        <v>1000</v>
      </c>
      <c r="P85" s="4">
        <f t="shared" si="98"/>
        <v>0</v>
      </c>
      <c r="Q85" s="4" t="str">
        <f t="shared" si="82"/>
        <v/>
      </c>
      <c r="R85" s="4" t="str">
        <f t="shared" si="83"/>
        <v/>
      </c>
      <c r="S85" s="4" t="str">
        <f t="shared" si="84"/>
        <v/>
      </c>
      <c r="T85" s="4" t="e">
        <f t="shared" si="99"/>
        <v>#VALUE!</v>
      </c>
      <c r="U85" s="4" t="e">
        <f t="shared" si="100"/>
        <v>#VALUE!</v>
      </c>
      <c r="V85" s="4" t="b">
        <f t="shared" si="85"/>
        <v>0</v>
      </c>
      <c r="W85" s="13" t="str">
        <f t="shared" si="86"/>
        <v>Да</v>
      </c>
      <c r="X85" s="4" t="e">
        <f>(IF(COUNTIFS($G$2:G85,"+",$W$2:W85,"Да")&gt;1,"&amp; ","")&amp;D85&amp;J85&amp;E85&amp;SUBSTITUTE(L85,"""",""))</f>
        <v>#VALUE!</v>
      </c>
      <c r="Y85" s="4" t="e">
        <f t="shared" si="87"/>
        <v>#VALUE!</v>
      </c>
    </row>
    <row r="86" spans="1:25" x14ac:dyDescent="0.3">
      <c r="A86" s="11"/>
      <c r="B86" s="5" t="str">
        <f t="shared" si="88"/>
        <v/>
      </c>
      <c r="C86" s="5" t="str">
        <f t="shared" si="89"/>
        <v/>
      </c>
      <c r="D86" s="4" t="s">
        <v>10</v>
      </c>
      <c r="E86" s="4" t="s">
        <v>11</v>
      </c>
      <c r="F86" s="4" t="str">
        <f t="shared" si="117"/>
        <v>!!!</v>
      </c>
      <c r="G86" s="4" t="str">
        <f t="shared" si="91"/>
        <v>+</v>
      </c>
      <c r="H86" s="4"/>
      <c r="I86" s="4" t="str">
        <f t="shared" si="118"/>
        <v>!!!</v>
      </c>
      <c r="J86" s="4" t="e">
        <f t="shared" si="119"/>
        <v>#VALUE!</v>
      </c>
      <c r="K86" s="4" t="e">
        <f t="shared" si="120"/>
        <v>#VALUE!</v>
      </c>
      <c r="L86" s="4" t="e">
        <f t="shared" si="121"/>
        <v>#VALUE!</v>
      </c>
      <c r="M86" s="4">
        <f t="shared" si="96"/>
        <v>1000</v>
      </c>
      <c r="N86" s="4">
        <f t="shared" ref="N86:O86" si="124">MIN(IFERROR(FIND(" ",$C86,M86+1),1000))</f>
        <v>1000</v>
      </c>
      <c r="O86" s="4">
        <f t="shared" si="124"/>
        <v>1000</v>
      </c>
      <c r="P86" s="4">
        <f t="shared" si="98"/>
        <v>0</v>
      </c>
      <c r="Q86" s="4" t="str">
        <f t="shared" si="82"/>
        <v/>
      </c>
      <c r="R86" s="4" t="str">
        <f t="shared" si="83"/>
        <v/>
      </c>
      <c r="S86" s="4" t="str">
        <f t="shared" si="84"/>
        <v/>
      </c>
      <c r="T86" s="4" t="e">
        <f t="shared" si="99"/>
        <v>#VALUE!</v>
      </c>
      <c r="U86" s="4" t="e">
        <f t="shared" si="100"/>
        <v>#VALUE!</v>
      </c>
      <c r="V86" s="4" t="b">
        <f t="shared" si="85"/>
        <v>0</v>
      </c>
      <c r="W86" s="13" t="str">
        <f t="shared" si="86"/>
        <v>Да</v>
      </c>
      <c r="X86" s="4" t="e">
        <f>(IF(COUNTIFS($G$2:G86,"+",$W$2:W86,"Да")&gt;1,"&amp; ","")&amp;D86&amp;J86&amp;E86&amp;SUBSTITUTE(L86,"""",""))</f>
        <v>#VALUE!</v>
      </c>
      <c r="Y86" s="4" t="e">
        <f t="shared" si="87"/>
        <v>#VALUE!</v>
      </c>
    </row>
    <row r="87" spans="1:25" x14ac:dyDescent="0.3">
      <c r="A87" s="11"/>
      <c r="B87" s="5" t="str">
        <f t="shared" si="88"/>
        <v/>
      </c>
      <c r="C87" s="5" t="str">
        <f t="shared" si="89"/>
        <v/>
      </c>
      <c r="D87" s="4" t="s">
        <v>10</v>
      </c>
      <c r="E87" s="4" t="s">
        <v>11</v>
      </c>
      <c r="F87" s="4" t="str">
        <f t="shared" si="117"/>
        <v>!!!</v>
      </c>
      <c r="G87" s="4" t="str">
        <f t="shared" si="91"/>
        <v>+</v>
      </c>
      <c r="H87" s="4"/>
      <c r="I87" s="4" t="str">
        <f t="shared" si="118"/>
        <v>!!!</v>
      </c>
      <c r="J87" s="4" t="e">
        <f t="shared" si="119"/>
        <v>#VALUE!</v>
      </c>
      <c r="K87" s="4" t="e">
        <f t="shared" si="120"/>
        <v>#VALUE!</v>
      </c>
      <c r="L87" s="4" t="e">
        <f t="shared" si="121"/>
        <v>#VALUE!</v>
      </c>
      <c r="M87" s="4">
        <f t="shared" si="96"/>
        <v>1000</v>
      </c>
      <c r="N87" s="4">
        <f t="shared" ref="N87:O87" si="125">MIN(IFERROR(FIND(" ",$C87,M87+1),1000))</f>
        <v>1000</v>
      </c>
      <c r="O87" s="4">
        <f t="shared" si="125"/>
        <v>1000</v>
      </c>
      <c r="P87" s="4">
        <f t="shared" si="98"/>
        <v>0</v>
      </c>
      <c r="Q87" s="4" t="str">
        <f t="shared" si="82"/>
        <v/>
      </c>
      <c r="R87" s="4" t="str">
        <f t="shared" si="83"/>
        <v/>
      </c>
      <c r="S87" s="4" t="str">
        <f t="shared" si="84"/>
        <v/>
      </c>
      <c r="T87" s="4" t="e">
        <f t="shared" si="99"/>
        <v>#VALUE!</v>
      </c>
      <c r="U87" s="4" t="e">
        <f t="shared" si="100"/>
        <v>#VALUE!</v>
      </c>
      <c r="V87" s="4" t="b">
        <f t="shared" si="85"/>
        <v>0</v>
      </c>
      <c r="W87" s="13" t="str">
        <f t="shared" si="86"/>
        <v>Да</v>
      </c>
      <c r="X87" s="4" t="e">
        <f>(IF(COUNTIFS($G$2:G87,"+",$W$2:W87,"Да")&gt;1,"&amp; ","")&amp;D87&amp;J87&amp;E87&amp;SUBSTITUTE(L87,"""",""))</f>
        <v>#VALUE!</v>
      </c>
      <c r="Y87" s="4" t="e">
        <f t="shared" si="87"/>
        <v>#VALUE!</v>
      </c>
    </row>
    <row r="88" spans="1:25" x14ac:dyDescent="0.3">
      <c r="A88" s="11"/>
      <c r="B88" s="5" t="str">
        <f t="shared" si="88"/>
        <v/>
      </c>
      <c r="C88" s="5" t="str">
        <f t="shared" si="89"/>
        <v/>
      </c>
      <c r="D88" s="4" t="s">
        <v>10</v>
      </c>
      <c r="E88" s="4" t="s">
        <v>11</v>
      </c>
      <c r="F88" s="4" t="str">
        <f t="shared" si="117"/>
        <v>!!!</v>
      </c>
      <c r="G88" s="4" t="str">
        <f t="shared" si="91"/>
        <v>+</v>
      </c>
      <c r="H88" s="4"/>
      <c r="I88" s="4" t="str">
        <f t="shared" si="118"/>
        <v>!!!</v>
      </c>
      <c r="J88" s="4" t="e">
        <f t="shared" si="119"/>
        <v>#VALUE!</v>
      </c>
      <c r="K88" s="4" t="e">
        <f t="shared" si="120"/>
        <v>#VALUE!</v>
      </c>
      <c r="L88" s="4" t="e">
        <f t="shared" si="121"/>
        <v>#VALUE!</v>
      </c>
      <c r="M88" s="4">
        <f t="shared" si="96"/>
        <v>1000</v>
      </c>
      <c r="N88" s="4">
        <f t="shared" ref="N88:O88" si="126">MIN(IFERROR(FIND(" ",$C88,M88+1),1000))</f>
        <v>1000</v>
      </c>
      <c r="O88" s="4">
        <f t="shared" si="126"/>
        <v>1000</v>
      </c>
      <c r="P88" s="4">
        <f t="shared" si="98"/>
        <v>0</v>
      </c>
      <c r="Q88" s="4" t="str">
        <f t="shared" si="82"/>
        <v/>
      </c>
      <c r="R88" s="4" t="str">
        <f t="shared" si="83"/>
        <v/>
      </c>
      <c r="S88" s="4" t="str">
        <f t="shared" si="84"/>
        <v/>
      </c>
      <c r="T88" s="4" t="e">
        <f t="shared" si="99"/>
        <v>#VALUE!</v>
      </c>
      <c r="U88" s="4" t="e">
        <f t="shared" si="100"/>
        <v>#VALUE!</v>
      </c>
      <c r="V88" s="4" t="b">
        <f t="shared" si="85"/>
        <v>0</v>
      </c>
      <c r="W88" s="13" t="str">
        <f t="shared" si="86"/>
        <v>Да</v>
      </c>
      <c r="X88" s="4" t="e">
        <f>(IF(COUNTIFS($G$2:G88,"+",$W$2:W88,"Да")&gt;1,"&amp; ","")&amp;D88&amp;J88&amp;E88&amp;SUBSTITUTE(L88,"""",""))</f>
        <v>#VALUE!</v>
      </c>
      <c r="Y88" s="4" t="e">
        <f t="shared" si="87"/>
        <v>#VALUE!</v>
      </c>
    </row>
    <row r="89" spans="1:25" x14ac:dyDescent="0.3">
      <c r="A89" s="11"/>
      <c r="B89" s="5" t="str">
        <f t="shared" si="88"/>
        <v/>
      </c>
      <c r="C89" s="5" t="str">
        <f t="shared" si="89"/>
        <v/>
      </c>
      <c r="D89" s="4" t="s">
        <v>10</v>
      </c>
      <c r="E89" s="4" t="s">
        <v>11</v>
      </c>
      <c r="F89" s="4" t="str">
        <f t="shared" si="117"/>
        <v>!!!</v>
      </c>
      <c r="G89" s="4" t="str">
        <f t="shared" si="91"/>
        <v>+</v>
      </c>
      <c r="H89" s="4"/>
      <c r="I89" s="4" t="str">
        <f t="shared" si="118"/>
        <v>!!!</v>
      </c>
      <c r="J89" s="4" t="e">
        <f t="shared" si="119"/>
        <v>#VALUE!</v>
      </c>
      <c r="K89" s="4" t="e">
        <f t="shared" si="120"/>
        <v>#VALUE!</v>
      </c>
      <c r="L89" s="4" t="e">
        <f t="shared" si="121"/>
        <v>#VALUE!</v>
      </c>
      <c r="M89" s="4">
        <f t="shared" si="96"/>
        <v>1000</v>
      </c>
      <c r="N89" s="4">
        <f t="shared" ref="N89:O89" si="127">MIN(IFERROR(FIND(" ",$C89,M89+1),1000))</f>
        <v>1000</v>
      </c>
      <c r="O89" s="4">
        <f t="shared" si="127"/>
        <v>1000</v>
      </c>
      <c r="P89" s="4">
        <f t="shared" si="98"/>
        <v>0</v>
      </c>
      <c r="Q89" s="4" t="str">
        <f t="shared" si="82"/>
        <v/>
      </c>
      <c r="R89" s="4" t="str">
        <f t="shared" si="83"/>
        <v/>
      </c>
      <c r="S89" s="4" t="str">
        <f t="shared" si="84"/>
        <v/>
      </c>
      <c r="T89" s="4" t="e">
        <f t="shared" si="99"/>
        <v>#VALUE!</v>
      </c>
      <c r="U89" s="4" t="e">
        <f t="shared" si="100"/>
        <v>#VALUE!</v>
      </c>
      <c r="V89" s="4" t="b">
        <f t="shared" si="85"/>
        <v>0</v>
      </c>
      <c r="W89" s="13" t="str">
        <f t="shared" si="86"/>
        <v>Да</v>
      </c>
      <c r="X89" s="4" t="e">
        <f>(IF(COUNTIFS($G$2:G89,"+",$W$2:W89,"Да")&gt;1,"&amp; ","")&amp;D89&amp;J89&amp;E89&amp;SUBSTITUTE(L89,"""",""))</f>
        <v>#VALUE!</v>
      </c>
      <c r="Y89" s="4" t="e">
        <f t="shared" si="87"/>
        <v>#VALUE!</v>
      </c>
    </row>
    <row r="90" spans="1:25" x14ac:dyDescent="0.3">
      <c r="A90" s="11"/>
      <c r="B90" s="5" t="str">
        <f t="shared" si="88"/>
        <v/>
      </c>
      <c r="C90" s="5" t="str">
        <f t="shared" si="89"/>
        <v/>
      </c>
      <c r="D90" s="4" t="s">
        <v>10</v>
      </c>
      <c r="E90" s="4" t="s">
        <v>11</v>
      </c>
      <c r="F90" s="4" t="str">
        <f t="shared" si="117"/>
        <v>!!!</v>
      </c>
      <c r="G90" s="4" t="str">
        <f t="shared" si="91"/>
        <v>+</v>
      </c>
      <c r="H90" s="4"/>
      <c r="I90" s="4" t="str">
        <f t="shared" si="118"/>
        <v>!!!</v>
      </c>
      <c r="J90" s="4" t="e">
        <f t="shared" si="119"/>
        <v>#VALUE!</v>
      </c>
      <c r="K90" s="4" t="e">
        <f t="shared" si="120"/>
        <v>#VALUE!</v>
      </c>
      <c r="L90" s="4" t="e">
        <f t="shared" si="121"/>
        <v>#VALUE!</v>
      </c>
      <c r="M90" s="4">
        <f t="shared" si="96"/>
        <v>1000</v>
      </c>
      <c r="N90" s="4">
        <f t="shared" ref="N90:O90" si="128">MIN(IFERROR(FIND(" ",$C90,M90+1),1000))</f>
        <v>1000</v>
      </c>
      <c r="O90" s="4">
        <f t="shared" si="128"/>
        <v>1000</v>
      </c>
      <c r="P90" s="4">
        <f t="shared" si="98"/>
        <v>0</v>
      </c>
      <c r="Q90" s="4" t="str">
        <f t="shared" si="82"/>
        <v/>
      </c>
      <c r="R90" s="4" t="str">
        <f t="shared" si="83"/>
        <v/>
      </c>
      <c r="S90" s="4" t="str">
        <f t="shared" si="84"/>
        <v/>
      </c>
      <c r="T90" s="4" t="e">
        <f t="shared" si="99"/>
        <v>#VALUE!</v>
      </c>
      <c r="U90" s="4" t="e">
        <f t="shared" si="100"/>
        <v>#VALUE!</v>
      </c>
      <c r="V90" s="4" t="b">
        <f t="shared" si="85"/>
        <v>0</v>
      </c>
      <c r="W90" s="13" t="str">
        <f t="shared" si="86"/>
        <v>Да</v>
      </c>
      <c r="X90" s="4" t="e">
        <f>(IF(COUNTIFS($G$2:G90,"+",$W$2:W90,"Да")&gt;1,"&amp; ","")&amp;D90&amp;J90&amp;E90&amp;SUBSTITUTE(L90,"""",""))</f>
        <v>#VALUE!</v>
      </c>
      <c r="Y90" s="4" t="e">
        <f t="shared" si="87"/>
        <v>#VALUE!</v>
      </c>
    </row>
    <row r="91" spans="1:25" x14ac:dyDescent="0.3">
      <c r="A91" s="11"/>
      <c r="B91" s="5" t="str">
        <f t="shared" si="88"/>
        <v/>
      </c>
      <c r="C91" s="5" t="str">
        <f t="shared" si="89"/>
        <v/>
      </c>
      <c r="D91" s="4" t="s">
        <v>10</v>
      </c>
      <c r="E91" s="4" t="s">
        <v>11</v>
      </c>
      <c r="F91" s="4" t="str">
        <f t="shared" si="117"/>
        <v>!!!</v>
      </c>
      <c r="G91" s="4" t="str">
        <f t="shared" si="91"/>
        <v>+</v>
      </c>
      <c r="H91" s="4"/>
      <c r="I91" s="4" t="str">
        <f t="shared" si="118"/>
        <v>!!!</v>
      </c>
      <c r="J91" s="4" t="e">
        <f t="shared" si="119"/>
        <v>#VALUE!</v>
      </c>
      <c r="K91" s="4" t="e">
        <f t="shared" si="120"/>
        <v>#VALUE!</v>
      </c>
      <c r="L91" s="4" t="e">
        <f t="shared" si="121"/>
        <v>#VALUE!</v>
      </c>
      <c r="M91" s="4">
        <f t="shared" si="96"/>
        <v>1000</v>
      </c>
      <c r="N91" s="4">
        <f t="shared" ref="N91:O91" si="129">MIN(IFERROR(FIND(" ",$C91,M91+1),1000))</f>
        <v>1000</v>
      </c>
      <c r="O91" s="4">
        <f t="shared" si="129"/>
        <v>1000</v>
      </c>
      <c r="P91" s="4">
        <f t="shared" si="98"/>
        <v>0</v>
      </c>
      <c r="Q91" s="4" t="str">
        <f t="shared" si="82"/>
        <v/>
      </c>
      <c r="R91" s="4" t="str">
        <f t="shared" si="83"/>
        <v/>
      </c>
      <c r="S91" s="4" t="str">
        <f t="shared" si="84"/>
        <v/>
      </c>
      <c r="T91" s="4" t="e">
        <f t="shared" si="99"/>
        <v>#VALUE!</v>
      </c>
      <c r="U91" s="4" t="e">
        <f t="shared" si="100"/>
        <v>#VALUE!</v>
      </c>
      <c r="V91" s="4" t="b">
        <f t="shared" si="85"/>
        <v>0</v>
      </c>
      <c r="W91" s="13" t="str">
        <f t="shared" si="86"/>
        <v>Да</v>
      </c>
      <c r="X91" s="4" t="e">
        <f>(IF(COUNTIFS($G$2:G91,"+",$W$2:W91,"Да")&gt;1,"&amp; ","")&amp;D91&amp;J91&amp;E91&amp;SUBSTITUTE(L91,"""",""))</f>
        <v>#VALUE!</v>
      </c>
      <c r="Y91" s="4" t="e">
        <f t="shared" si="87"/>
        <v>#VALUE!</v>
      </c>
    </row>
    <row r="92" spans="1:25" x14ac:dyDescent="0.3">
      <c r="A92" s="11"/>
      <c r="B92" s="5" t="str">
        <f t="shared" si="88"/>
        <v/>
      </c>
      <c r="C92" s="5" t="str">
        <f t="shared" si="89"/>
        <v/>
      </c>
      <c r="D92" s="4" t="s">
        <v>10</v>
      </c>
      <c r="E92" s="4" t="s">
        <v>11</v>
      </c>
      <c r="F92" s="4" t="str">
        <f t="shared" si="117"/>
        <v>!!!</v>
      </c>
      <c r="G92" s="4" t="str">
        <f t="shared" si="91"/>
        <v>+</v>
      </c>
      <c r="H92" s="4"/>
      <c r="I92" s="4" t="str">
        <f t="shared" si="118"/>
        <v>!!!</v>
      </c>
      <c r="J92" s="4" t="e">
        <f t="shared" si="119"/>
        <v>#VALUE!</v>
      </c>
      <c r="K92" s="4" t="e">
        <f t="shared" si="120"/>
        <v>#VALUE!</v>
      </c>
      <c r="L92" s="4" t="e">
        <f t="shared" si="121"/>
        <v>#VALUE!</v>
      </c>
      <c r="M92" s="4">
        <f t="shared" si="96"/>
        <v>1000</v>
      </c>
      <c r="N92" s="4">
        <f t="shared" ref="N92:O92" si="130">MIN(IFERROR(FIND(" ",$C92,M92+1),1000))</f>
        <v>1000</v>
      </c>
      <c r="O92" s="4">
        <f t="shared" si="130"/>
        <v>1000</v>
      </c>
      <c r="P92" s="4">
        <f t="shared" si="98"/>
        <v>0</v>
      </c>
      <c r="Q92" s="4" t="str">
        <f t="shared" si="82"/>
        <v/>
      </c>
      <c r="R92" s="4" t="str">
        <f t="shared" si="83"/>
        <v/>
      </c>
      <c r="S92" s="4" t="str">
        <f t="shared" si="84"/>
        <v/>
      </c>
      <c r="T92" s="4" t="e">
        <f t="shared" si="99"/>
        <v>#VALUE!</v>
      </c>
      <c r="U92" s="4" t="e">
        <f t="shared" si="100"/>
        <v>#VALUE!</v>
      </c>
      <c r="V92" s="4" t="b">
        <f t="shared" si="85"/>
        <v>0</v>
      </c>
      <c r="W92" s="13" t="str">
        <f t="shared" si="86"/>
        <v>Да</v>
      </c>
      <c r="X92" s="4" t="e">
        <f>(IF(COUNTIFS($G$2:G92,"+",$W$2:W92,"Да")&gt;1,"&amp; ","")&amp;D92&amp;J92&amp;E92&amp;SUBSTITUTE(L92,"""",""))</f>
        <v>#VALUE!</v>
      </c>
      <c r="Y92" s="4" t="e">
        <f t="shared" si="87"/>
        <v>#VALUE!</v>
      </c>
    </row>
    <row r="93" spans="1:25" x14ac:dyDescent="0.3">
      <c r="A93" s="11"/>
      <c r="B93" s="5" t="str">
        <f t="shared" si="88"/>
        <v/>
      </c>
      <c r="C93" s="5" t="str">
        <f t="shared" si="89"/>
        <v/>
      </c>
      <c r="D93" s="4" t="s">
        <v>10</v>
      </c>
      <c r="E93" s="4" t="s">
        <v>11</v>
      </c>
      <c r="F93" s="4" t="str">
        <f t="shared" si="117"/>
        <v>!!!</v>
      </c>
      <c r="G93" s="4" t="str">
        <f t="shared" si="91"/>
        <v>+</v>
      </c>
      <c r="H93" s="4"/>
      <c r="I93" s="4" t="str">
        <f t="shared" si="118"/>
        <v>!!!</v>
      </c>
      <c r="J93" s="4" t="e">
        <f t="shared" si="119"/>
        <v>#VALUE!</v>
      </c>
      <c r="K93" s="4" t="e">
        <f t="shared" si="120"/>
        <v>#VALUE!</v>
      </c>
      <c r="L93" s="4" t="e">
        <f t="shared" si="121"/>
        <v>#VALUE!</v>
      </c>
      <c r="M93" s="4">
        <f t="shared" si="96"/>
        <v>1000</v>
      </c>
      <c r="N93" s="4">
        <f t="shared" ref="N93:O93" si="131">MIN(IFERROR(FIND(" ",$C93,M93+1),1000))</f>
        <v>1000</v>
      </c>
      <c r="O93" s="4">
        <f t="shared" si="131"/>
        <v>1000</v>
      </c>
      <c r="P93" s="4">
        <f t="shared" si="98"/>
        <v>0</v>
      </c>
      <c r="Q93" s="4" t="str">
        <f t="shared" si="82"/>
        <v/>
      </c>
      <c r="R93" s="4" t="str">
        <f t="shared" si="83"/>
        <v/>
      </c>
      <c r="S93" s="4" t="str">
        <f t="shared" si="84"/>
        <v/>
      </c>
      <c r="T93" s="4" t="e">
        <f t="shared" si="99"/>
        <v>#VALUE!</v>
      </c>
      <c r="U93" s="4" t="e">
        <f t="shared" si="100"/>
        <v>#VALUE!</v>
      </c>
      <c r="V93" s="4" t="b">
        <f t="shared" si="85"/>
        <v>0</v>
      </c>
      <c r="W93" s="13" t="str">
        <f t="shared" si="86"/>
        <v>Да</v>
      </c>
      <c r="X93" s="4" t="e">
        <f>(IF(COUNTIFS($G$2:G93,"+",$W$2:W93,"Да")&gt;1,"&amp; ","")&amp;D93&amp;J93&amp;E93&amp;SUBSTITUTE(L93,"""",""))</f>
        <v>#VALUE!</v>
      </c>
      <c r="Y93" s="4" t="e">
        <f t="shared" si="87"/>
        <v>#VALUE!</v>
      </c>
    </row>
    <row r="94" spans="1:25" x14ac:dyDescent="0.3">
      <c r="A94" s="11"/>
      <c r="B94" s="5" t="str">
        <f t="shared" si="88"/>
        <v/>
      </c>
      <c r="C94" s="5" t="str">
        <f t="shared" si="89"/>
        <v/>
      </c>
      <c r="D94" s="4" t="s">
        <v>10</v>
      </c>
      <c r="E94" s="4" t="s">
        <v>11</v>
      </c>
      <c r="F94" s="4" t="str">
        <f t="shared" si="117"/>
        <v>!!!</v>
      </c>
      <c r="G94" s="4" t="str">
        <f t="shared" si="91"/>
        <v>+</v>
      </c>
      <c r="H94" s="4"/>
      <c r="I94" s="4" t="str">
        <f t="shared" si="118"/>
        <v>!!!</v>
      </c>
      <c r="J94" s="4" t="e">
        <f t="shared" si="119"/>
        <v>#VALUE!</v>
      </c>
      <c r="K94" s="4" t="e">
        <f t="shared" si="120"/>
        <v>#VALUE!</v>
      </c>
      <c r="L94" s="4" t="e">
        <f t="shared" si="121"/>
        <v>#VALUE!</v>
      </c>
      <c r="M94" s="4">
        <f t="shared" si="96"/>
        <v>1000</v>
      </c>
      <c r="N94" s="4">
        <f t="shared" ref="N94:O94" si="132">MIN(IFERROR(FIND(" ",$C94,M94+1),1000))</f>
        <v>1000</v>
      </c>
      <c r="O94" s="4">
        <f t="shared" si="132"/>
        <v>1000</v>
      </c>
      <c r="P94" s="4">
        <f t="shared" si="98"/>
        <v>0</v>
      </c>
      <c r="Q94" s="4" t="str">
        <f t="shared" si="82"/>
        <v/>
      </c>
      <c r="R94" s="4" t="str">
        <f t="shared" si="83"/>
        <v/>
      </c>
      <c r="S94" s="4" t="str">
        <f t="shared" si="84"/>
        <v/>
      </c>
      <c r="T94" s="4" t="e">
        <f t="shared" si="99"/>
        <v>#VALUE!</v>
      </c>
      <c r="U94" s="4" t="e">
        <f t="shared" si="100"/>
        <v>#VALUE!</v>
      </c>
      <c r="V94" s="4" t="b">
        <f t="shared" si="85"/>
        <v>0</v>
      </c>
      <c r="W94" s="13" t="str">
        <f t="shared" si="86"/>
        <v>Да</v>
      </c>
      <c r="X94" s="4" t="e">
        <f>(IF(COUNTIFS($G$2:G94,"+",$W$2:W94,"Да")&gt;1,"&amp; ","")&amp;D94&amp;J94&amp;E94&amp;SUBSTITUTE(L94,"""",""))</f>
        <v>#VALUE!</v>
      </c>
      <c r="Y94" s="4" t="e">
        <f t="shared" si="87"/>
        <v>#VALUE!</v>
      </c>
    </row>
    <row r="95" spans="1:25" x14ac:dyDescent="0.3">
      <c r="A95" s="11"/>
      <c r="B95" s="5" t="str">
        <f t="shared" si="88"/>
        <v/>
      </c>
      <c r="C95" s="5" t="str">
        <f t="shared" si="89"/>
        <v/>
      </c>
      <c r="D95" s="4" t="s">
        <v>10</v>
      </c>
      <c r="E95" s="4" t="s">
        <v>11</v>
      </c>
      <c r="F95" s="4" t="str">
        <f t="shared" si="117"/>
        <v>!!!</v>
      </c>
      <c r="G95" s="4" t="str">
        <f t="shared" si="91"/>
        <v>+</v>
      </c>
      <c r="H95" s="4"/>
      <c r="I95" s="4" t="str">
        <f t="shared" si="118"/>
        <v>!!!</v>
      </c>
      <c r="J95" s="4" t="e">
        <f t="shared" si="119"/>
        <v>#VALUE!</v>
      </c>
      <c r="K95" s="4" t="e">
        <f t="shared" si="120"/>
        <v>#VALUE!</v>
      </c>
      <c r="L95" s="4" t="e">
        <f t="shared" si="121"/>
        <v>#VALUE!</v>
      </c>
      <c r="M95" s="4">
        <f t="shared" si="96"/>
        <v>1000</v>
      </c>
      <c r="N95" s="4">
        <f t="shared" ref="N95:O95" si="133">MIN(IFERROR(FIND(" ",$C95,M95+1),1000))</f>
        <v>1000</v>
      </c>
      <c r="O95" s="4">
        <f t="shared" si="133"/>
        <v>1000</v>
      </c>
      <c r="P95" s="4">
        <f t="shared" si="98"/>
        <v>0</v>
      </c>
      <c r="Q95" s="4" t="str">
        <f t="shared" si="82"/>
        <v/>
      </c>
      <c r="R95" s="4" t="str">
        <f t="shared" si="83"/>
        <v/>
      </c>
      <c r="S95" s="4" t="str">
        <f t="shared" si="84"/>
        <v/>
      </c>
      <c r="T95" s="4" t="e">
        <f t="shared" si="99"/>
        <v>#VALUE!</v>
      </c>
      <c r="U95" s="4" t="e">
        <f t="shared" si="100"/>
        <v>#VALUE!</v>
      </c>
      <c r="V95" s="4" t="b">
        <f t="shared" si="85"/>
        <v>0</v>
      </c>
      <c r="W95" s="13" t="str">
        <f t="shared" si="86"/>
        <v>Да</v>
      </c>
      <c r="X95" s="4" t="e">
        <f>(IF(COUNTIFS($G$2:G95,"+",$W$2:W95,"Да")&gt;1,"&amp; ","")&amp;D95&amp;J95&amp;E95&amp;SUBSTITUTE(L95,"""",""))</f>
        <v>#VALUE!</v>
      </c>
      <c r="Y95" s="4" t="e">
        <f t="shared" si="87"/>
        <v>#VALUE!</v>
      </c>
    </row>
    <row r="96" spans="1:25" x14ac:dyDescent="0.3">
      <c r="A96" s="11"/>
      <c r="B96" s="5" t="str">
        <f t="shared" si="88"/>
        <v/>
      </c>
      <c r="C96" s="5" t="str">
        <f t="shared" si="89"/>
        <v/>
      </c>
      <c r="D96" s="4" t="s">
        <v>10</v>
      </c>
      <c r="E96" s="4" t="s">
        <v>11</v>
      </c>
      <c r="F96" s="4" t="str">
        <f t="shared" si="117"/>
        <v>!!!</v>
      </c>
      <c r="G96" s="4" t="str">
        <f t="shared" si="91"/>
        <v>+</v>
      </c>
      <c r="H96" s="4"/>
      <c r="I96" s="4" t="str">
        <f t="shared" si="118"/>
        <v>!!!</v>
      </c>
      <c r="J96" s="4" t="e">
        <f t="shared" si="119"/>
        <v>#VALUE!</v>
      </c>
      <c r="K96" s="4" t="e">
        <f t="shared" si="120"/>
        <v>#VALUE!</v>
      </c>
      <c r="L96" s="4" t="e">
        <f t="shared" si="121"/>
        <v>#VALUE!</v>
      </c>
      <c r="M96" s="4">
        <f t="shared" si="96"/>
        <v>1000</v>
      </c>
      <c r="N96" s="4">
        <f t="shared" ref="N96:O96" si="134">MIN(IFERROR(FIND(" ",$C96,M96+1),1000))</f>
        <v>1000</v>
      </c>
      <c r="O96" s="4">
        <f t="shared" si="134"/>
        <v>1000</v>
      </c>
      <c r="P96" s="4">
        <f t="shared" si="98"/>
        <v>0</v>
      </c>
      <c r="Q96" s="4" t="str">
        <f t="shared" si="82"/>
        <v/>
      </c>
      <c r="R96" s="4" t="str">
        <f t="shared" si="83"/>
        <v/>
      </c>
      <c r="S96" s="4" t="str">
        <f t="shared" si="84"/>
        <v/>
      </c>
      <c r="T96" s="4" t="e">
        <f t="shared" si="99"/>
        <v>#VALUE!</v>
      </c>
      <c r="U96" s="4" t="e">
        <f t="shared" si="100"/>
        <v>#VALUE!</v>
      </c>
      <c r="V96" s="4" t="b">
        <f t="shared" si="85"/>
        <v>0</v>
      </c>
      <c r="W96" s="13" t="str">
        <f t="shared" si="86"/>
        <v>Да</v>
      </c>
      <c r="X96" s="4" t="e">
        <f>(IF(COUNTIFS($G$2:G96,"+",$W$2:W96,"Да")&gt;1,"&amp; ","")&amp;D96&amp;J96&amp;E96&amp;SUBSTITUTE(L96,"""",""))</f>
        <v>#VALUE!</v>
      </c>
      <c r="Y96" s="4" t="e">
        <f t="shared" si="87"/>
        <v>#VALUE!</v>
      </c>
    </row>
    <row r="97" spans="1:25" x14ac:dyDescent="0.3">
      <c r="A97" s="11"/>
      <c r="B97" s="5" t="str">
        <f t="shared" si="88"/>
        <v/>
      </c>
      <c r="C97" s="5" t="str">
        <f t="shared" si="89"/>
        <v/>
      </c>
      <c r="D97" s="4" t="s">
        <v>10</v>
      </c>
      <c r="E97" s="4" t="s">
        <v>11</v>
      </c>
      <c r="F97" s="4" t="str">
        <f t="shared" si="117"/>
        <v>!!!</v>
      </c>
      <c r="G97" s="4" t="str">
        <f t="shared" si="91"/>
        <v>+</v>
      </c>
      <c r="H97" s="4"/>
      <c r="I97" s="4" t="str">
        <f t="shared" si="118"/>
        <v>!!!</v>
      </c>
      <c r="J97" s="4" t="e">
        <f t="shared" si="119"/>
        <v>#VALUE!</v>
      </c>
      <c r="K97" s="4" t="e">
        <f t="shared" si="120"/>
        <v>#VALUE!</v>
      </c>
      <c r="L97" s="4" t="e">
        <f t="shared" si="121"/>
        <v>#VALUE!</v>
      </c>
      <c r="M97" s="4">
        <f t="shared" si="96"/>
        <v>1000</v>
      </c>
      <c r="N97" s="4">
        <f t="shared" ref="N97:O97" si="135">MIN(IFERROR(FIND(" ",$C97,M97+1),1000))</f>
        <v>1000</v>
      </c>
      <c r="O97" s="4">
        <f t="shared" si="135"/>
        <v>1000</v>
      </c>
      <c r="P97" s="4">
        <f t="shared" si="98"/>
        <v>0</v>
      </c>
      <c r="Q97" s="4" t="str">
        <f t="shared" si="82"/>
        <v/>
      </c>
      <c r="R97" s="4" t="str">
        <f t="shared" si="83"/>
        <v/>
      </c>
      <c r="S97" s="4" t="str">
        <f t="shared" si="84"/>
        <v/>
      </c>
      <c r="T97" s="4" t="e">
        <f t="shared" si="99"/>
        <v>#VALUE!</v>
      </c>
      <c r="U97" s="4" t="e">
        <f t="shared" si="100"/>
        <v>#VALUE!</v>
      </c>
      <c r="V97" s="4" t="b">
        <f t="shared" si="85"/>
        <v>0</v>
      </c>
      <c r="W97" s="13" t="str">
        <f t="shared" si="86"/>
        <v>Да</v>
      </c>
      <c r="X97" s="4" t="e">
        <f>(IF(COUNTIFS($G$2:G97,"+",$W$2:W97,"Да")&gt;1,"&amp; ","")&amp;D97&amp;J97&amp;E97&amp;SUBSTITUTE(L97,"""",""))</f>
        <v>#VALUE!</v>
      </c>
      <c r="Y97" s="4" t="e">
        <f t="shared" si="87"/>
        <v>#VALUE!</v>
      </c>
    </row>
    <row r="98" spans="1:25" x14ac:dyDescent="0.3">
      <c r="A98" s="11"/>
      <c r="B98" s="5" t="str">
        <f t="shared" si="88"/>
        <v/>
      </c>
      <c r="C98" s="5" t="str">
        <f t="shared" si="89"/>
        <v/>
      </c>
      <c r="D98" s="4" t="s">
        <v>10</v>
      </c>
      <c r="E98" s="4" t="s">
        <v>11</v>
      </c>
      <c r="F98" s="4" t="str">
        <f t="shared" si="117"/>
        <v>!!!</v>
      </c>
      <c r="G98" s="4" t="str">
        <f t="shared" si="91"/>
        <v>+</v>
      </c>
      <c r="H98" s="4"/>
      <c r="I98" s="4" t="str">
        <f t="shared" si="118"/>
        <v>!!!</v>
      </c>
      <c r="J98" s="4" t="e">
        <f t="shared" si="119"/>
        <v>#VALUE!</v>
      </c>
      <c r="K98" s="4" t="e">
        <f t="shared" si="120"/>
        <v>#VALUE!</v>
      </c>
      <c r="L98" s="4" t="e">
        <f t="shared" si="121"/>
        <v>#VALUE!</v>
      </c>
      <c r="M98" s="4">
        <f t="shared" si="96"/>
        <v>1000</v>
      </c>
      <c r="N98" s="4">
        <f t="shared" ref="N98:O98" si="136">MIN(IFERROR(FIND(" ",$C98,M98+1),1000))</f>
        <v>1000</v>
      </c>
      <c r="O98" s="4">
        <f t="shared" si="136"/>
        <v>1000</v>
      </c>
      <c r="P98" s="4">
        <f t="shared" si="98"/>
        <v>0</v>
      </c>
      <c r="Q98" s="4" t="str">
        <f t="shared" si="82"/>
        <v/>
      </c>
      <c r="R98" s="4" t="str">
        <f t="shared" si="83"/>
        <v/>
      </c>
      <c r="S98" s="4" t="str">
        <f t="shared" si="84"/>
        <v/>
      </c>
      <c r="T98" s="4" t="e">
        <f t="shared" si="99"/>
        <v>#VALUE!</v>
      </c>
      <c r="U98" s="4" t="e">
        <f t="shared" si="100"/>
        <v>#VALUE!</v>
      </c>
      <c r="V98" s="4" t="b">
        <f t="shared" si="85"/>
        <v>0</v>
      </c>
      <c r="W98" s="13" t="str">
        <f t="shared" si="86"/>
        <v>Да</v>
      </c>
      <c r="X98" s="4" t="e">
        <f>(IF(COUNTIFS($G$2:G98,"+",$W$2:W98,"Да")&gt;1,"&amp; ","")&amp;D98&amp;J98&amp;E98&amp;SUBSTITUTE(L98,"""",""))</f>
        <v>#VALUE!</v>
      </c>
      <c r="Y98" s="4" t="e">
        <f t="shared" si="87"/>
        <v>#VALUE!</v>
      </c>
    </row>
    <row r="99" spans="1:25" x14ac:dyDescent="0.3">
      <c r="A99" s="11"/>
      <c r="B99" s="5" t="str">
        <f t="shared" si="88"/>
        <v/>
      </c>
      <c r="C99" s="5" t="str">
        <f t="shared" si="89"/>
        <v/>
      </c>
      <c r="D99" s="4" t="s">
        <v>10</v>
      </c>
      <c r="E99" s="4" t="s">
        <v>11</v>
      </c>
      <c r="F99" s="4" t="str">
        <f t="shared" si="117"/>
        <v>!!!</v>
      </c>
      <c r="G99" s="4" t="str">
        <f t="shared" si="91"/>
        <v>+</v>
      </c>
      <c r="H99" s="4"/>
      <c r="I99" s="4" t="str">
        <f t="shared" si="118"/>
        <v>!!!</v>
      </c>
      <c r="J99" s="4" t="e">
        <f t="shared" si="119"/>
        <v>#VALUE!</v>
      </c>
      <c r="K99" s="4" t="e">
        <f t="shared" si="120"/>
        <v>#VALUE!</v>
      </c>
      <c r="L99" s="4" t="e">
        <f t="shared" si="121"/>
        <v>#VALUE!</v>
      </c>
      <c r="M99" s="4">
        <f t="shared" si="96"/>
        <v>1000</v>
      </c>
      <c r="N99" s="4">
        <f t="shared" ref="N99:O99" si="137">MIN(IFERROR(FIND(" ",$C99,M99+1),1000))</f>
        <v>1000</v>
      </c>
      <c r="O99" s="4">
        <f t="shared" si="137"/>
        <v>1000</v>
      </c>
      <c r="P99" s="4">
        <f t="shared" si="98"/>
        <v>0</v>
      </c>
      <c r="Q99" s="4" t="str">
        <f t="shared" si="82"/>
        <v/>
      </c>
      <c r="R99" s="4" t="str">
        <f t="shared" si="83"/>
        <v/>
      </c>
      <c r="S99" s="4" t="str">
        <f t="shared" si="84"/>
        <v/>
      </c>
      <c r="T99" s="4" t="e">
        <f t="shared" si="99"/>
        <v>#VALUE!</v>
      </c>
      <c r="U99" s="4" t="e">
        <f t="shared" si="100"/>
        <v>#VALUE!</v>
      </c>
      <c r="V99" s="4" t="b">
        <f t="shared" si="85"/>
        <v>0</v>
      </c>
      <c r="W99" s="13" t="str">
        <f t="shared" si="86"/>
        <v>Да</v>
      </c>
      <c r="X99" s="4" t="e">
        <f>(IF(COUNTIFS($G$2:G99,"+",$W$2:W99,"Да")&gt;1,"&amp; ","")&amp;D99&amp;J99&amp;E99&amp;SUBSTITUTE(L99,"""",""))</f>
        <v>#VALUE!</v>
      </c>
      <c r="Y99" s="4" t="e">
        <f t="shared" si="87"/>
        <v>#VALUE!</v>
      </c>
    </row>
    <row r="100" spans="1:25" x14ac:dyDescent="0.3">
      <c r="A100" s="11"/>
      <c r="B100" s="5" t="str">
        <f t="shared" si="88"/>
        <v/>
      </c>
      <c r="C100" s="5" t="str">
        <f t="shared" si="89"/>
        <v/>
      </c>
      <c r="D100" s="4" t="s">
        <v>10</v>
      </c>
      <c r="E100" s="4" t="s">
        <v>11</v>
      </c>
      <c r="F100" s="4" t="str">
        <f t="shared" si="117"/>
        <v>!!!</v>
      </c>
      <c r="G100" s="4" t="str">
        <f t="shared" si="91"/>
        <v>+</v>
      </c>
      <c r="H100" s="4"/>
      <c r="I100" s="4" t="str">
        <f t="shared" si="118"/>
        <v>!!!</v>
      </c>
      <c r="J100" s="4" t="e">
        <f t="shared" si="119"/>
        <v>#VALUE!</v>
      </c>
      <c r="K100" s="4" t="e">
        <f t="shared" si="120"/>
        <v>#VALUE!</v>
      </c>
      <c r="L100" s="4" t="e">
        <f t="shared" si="121"/>
        <v>#VALUE!</v>
      </c>
      <c r="M100" s="4">
        <f t="shared" si="96"/>
        <v>1000</v>
      </c>
      <c r="N100" s="4">
        <f t="shared" ref="N100:O100" si="138">MIN(IFERROR(FIND(" ",$C100,M100+1),1000))</f>
        <v>1000</v>
      </c>
      <c r="O100" s="4">
        <f t="shared" si="138"/>
        <v>1000</v>
      </c>
      <c r="P100" s="4">
        <f t="shared" si="98"/>
        <v>0</v>
      </c>
      <c r="Q100" s="4" t="str">
        <f t="shared" si="82"/>
        <v/>
      </c>
      <c r="R100" s="4" t="str">
        <f t="shared" si="83"/>
        <v/>
      </c>
      <c r="S100" s="4" t="str">
        <f t="shared" si="84"/>
        <v/>
      </c>
      <c r="T100" s="4" t="e">
        <f t="shared" si="99"/>
        <v>#VALUE!</v>
      </c>
      <c r="U100" s="4" t="e">
        <f t="shared" si="100"/>
        <v>#VALUE!</v>
      </c>
      <c r="V100" s="4" t="b">
        <f t="shared" si="85"/>
        <v>0</v>
      </c>
      <c r="W100" s="13" t="str">
        <f t="shared" si="86"/>
        <v>Да</v>
      </c>
      <c r="X100" s="4" t="e">
        <f>(IF(COUNTIFS($G$2:G100,"+",$W$2:W100,"Да")&gt;1,"&amp; ","")&amp;D100&amp;J100&amp;E100&amp;SUBSTITUTE(L100,"""",""))</f>
        <v>#VALUE!</v>
      </c>
      <c r="Y100" s="4" t="e">
        <f t="shared" si="87"/>
        <v>#VALUE!</v>
      </c>
    </row>
    <row r="101" spans="1:25" x14ac:dyDescent="0.3">
      <c r="A101" s="11"/>
      <c r="B101" s="5" t="str">
        <f t="shared" si="88"/>
        <v/>
      </c>
      <c r="C101" s="5" t="str">
        <f t="shared" si="89"/>
        <v/>
      </c>
      <c r="D101" s="4" t="s">
        <v>10</v>
      </c>
      <c r="E101" s="4" t="s">
        <v>11</v>
      </c>
      <c r="F101" s="4" t="str">
        <f t="shared" si="117"/>
        <v>!!!</v>
      </c>
      <c r="G101" s="4" t="str">
        <f t="shared" si="91"/>
        <v>+</v>
      </c>
      <c r="H101" s="4"/>
      <c r="I101" s="4" t="str">
        <f t="shared" si="118"/>
        <v>!!!</v>
      </c>
      <c r="J101" s="4" t="e">
        <f t="shared" si="119"/>
        <v>#VALUE!</v>
      </c>
      <c r="K101" s="4" t="e">
        <f t="shared" si="120"/>
        <v>#VALUE!</v>
      </c>
      <c r="L101" s="4" t="e">
        <f t="shared" si="121"/>
        <v>#VALUE!</v>
      </c>
      <c r="M101" s="4">
        <f t="shared" si="96"/>
        <v>1000</v>
      </c>
      <c r="N101" s="4">
        <f t="shared" ref="N101:O101" si="139">MIN(IFERROR(FIND(" ",$C101,M101+1),1000))</f>
        <v>1000</v>
      </c>
      <c r="O101" s="4">
        <f t="shared" si="139"/>
        <v>1000</v>
      </c>
      <c r="P101" s="4">
        <f t="shared" si="98"/>
        <v>0</v>
      </c>
      <c r="Q101" s="4" t="str">
        <f t="shared" si="82"/>
        <v/>
      </c>
      <c r="R101" s="4" t="str">
        <f t="shared" si="83"/>
        <v/>
      </c>
      <c r="S101" s="4" t="str">
        <f t="shared" si="84"/>
        <v/>
      </c>
      <c r="T101" s="4" t="e">
        <f t="shared" si="99"/>
        <v>#VALUE!</v>
      </c>
      <c r="U101" s="4" t="e">
        <f t="shared" si="100"/>
        <v>#VALUE!</v>
      </c>
      <c r="V101" s="4" t="b">
        <f t="shared" si="85"/>
        <v>0</v>
      </c>
      <c r="W101" s="13" t="str">
        <f t="shared" si="86"/>
        <v>Да</v>
      </c>
      <c r="X101" s="4" t="e">
        <f>(IF(COUNTIFS($G$2:G101,"+",$W$2:W101,"Да")&gt;1,"&amp; ","")&amp;D101&amp;J101&amp;E101&amp;SUBSTITUTE(L101,"""",""))</f>
        <v>#VALUE!</v>
      </c>
      <c r="Y101" s="4" t="e">
        <f t="shared" si="87"/>
        <v>#VALUE!</v>
      </c>
    </row>
    <row r="102" spans="1:25" x14ac:dyDescent="0.3">
      <c r="A102" s="11"/>
      <c r="B102" s="5" t="str">
        <f t="shared" si="88"/>
        <v/>
      </c>
      <c r="C102" s="5" t="str">
        <f t="shared" si="89"/>
        <v/>
      </c>
      <c r="D102" s="4" t="s">
        <v>10</v>
      </c>
      <c r="E102" s="4" t="s">
        <v>11</v>
      </c>
      <c r="F102" s="4" t="str">
        <f t="shared" si="117"/>
        <v>!!!</v>
      </c>
      <c r="G102" s="4" t="str">
        <f t="shared" si="91"/>
        <v>+</v>
      </c>
      <c r="H102" s="4"/>
      <c r="I102" s="4" t="str">
        <f t="shared" si="118"/>
        <v>!!!</v>
      </c>
      <c r="J102" s="4" t="e">
        <f t="shared" si="119"/>
        <v>#VALUE!</v>
      </c>
      <c r="K102" s="4" t="e">
        <f t="shared" si="120"/>
        <v>#VALUE!</v>
      </c>
      <c r="L102" s="4" t="e">
        <f t="shared" si="121"/>
        <v>#VALUE!</v>
      </c>
      <c r="M102" s="4">
        <f t="shared" si="96"/>
        <v>1000</v>
      </c>
      <c r="N102" s="4">
        <f t="shared" ref="N102:O102" si="140">MIN(IFERROR(FIND(" ",$C102,M102+1),1000))</f>
        <v>1000</v>
      </c>
      <c r="O102" s="4">
        <f t="shared" si="140"/>
        <v>1000</v>
      </c>
      <c r="P102" s="4">
        <f t="shared" si="98"/>
        <v>0</v>
      </c>
      <c r="Q102" s="4" t="str">
        <f t="shared" si="82"/>
        <v/>
      </c>
      <c r="R102" s="4" t="str">
        <f t="shared" si="83"/>
        <v/>
      </c>
      <c r="S102" s="4" t="str">
        <f t="shared" si="84"/>
        <v/>
      </c>
      <c r="T102" s="4" t="e">
        <f t="shared" si="99"/>
        <v>#VALUE!</v>
      </c>
      <c r="U102" s="4" t="e">
        <f t="shared" si="100"/>
        <v>#VALUE!</v>
      </c>
      <c r="V102" s="4" t="b">
        <f t="shared" si="85"/>
        <v>0</v>
      </c>
      <c r="W102" s="13" t="str">
        <f t="shared" si="86"/>
        <v>Да</v>
      </c>
      <c r="X102" s="4" t="e">
        <f>(IF(COUNTIFS($G$2:G102,"+",$W$2:W102,"Да")&gt;1,"&amp; ","")&amp;D102&amp;J102&amp;E102&amp;SUBSTITUTE(L102,"""",""))</f>
        <v>#VALUE!</v>
      </c>
      <c r="Y102" s="4" t="e">
        <f t="shared" si="87"/>
        <v>#VALUE!</v>
      </c>
    </row>
    <row r="103" spans="1:25" x14ac:dyDescent="0.3">
      <c r="A103" s="11"/>
      <c r="B103" s="5" t="str">
        <f t="shared" si="88"/>
        <v/>
      </c>
      <c r="C103" s="5" t="str">
        <f t="shared" si="89"/>
        <v/>
      </c>
      <c r="D103" s="4" t="s">
        <v>10</v>
      </c>
      <c r="E103" s="4" t="s">
        <v>11</v>
      </c>
      <c r="F103" s="4" t="str">
        <f t="shared" si="117"/>
        <v>!!!</v>
      </c>
      <c r="G103" s="4" t="str">
        <f t="shared" si="91"/>
        <v>+</v>
      </c>
      <c r="H103" s="4"/>
      <c r="I103" s="4" t="str">
        <f t="shared" si="118"/>
        <v>!!!</v>
      </c>
      <c r="J103" s="4" t="e">
        <f t="shared" si="119"/>
        <v>#VALUE!</v>
      </c>
      <c r="K103" s="4" t="e">
        <f t="shared" si="120"/>
        <v>#VALUE!</v>
      </c>
      <c r="L103" s="4" t="e">
        <f t="shared" si="121"/>
        <v>#VALUE!</v>
      </c>
      <c r="M103" s="4">
        <f t="shared" si="96"/>
        <v>1000</v>
      </c>
      <c r="N103" s="4">
        <f t="shared" ref="N103:O103" si="141">MIN(IFERROR(FIND(" ",$C103,M103+1),1000))</f>
        <v>1000</v>
      </c>
      <c r="O103" s="4">
        <f t="shared" si="141"/>
        <v>1000</v>
      </c>
      <c r="P103" s="4">
        <f t="shared" si="98"/>
        <v>0</v>
      </c>
      <c r="Q103" s="4" t="str">
        <f t="shared" si="82"/>
        <v/>
      </c>
      <c r="R103" s="4" t="str">
        <f t="shared" si="83"/>
        <v/>
      </c>
      <c r="S103" s="4" t="str">
        <f t="shared" si="84"/>
        <v/>
      </c>
      <c r="T103" s="4" t="e">
        <f t="shared" si="99"/>
        <v>#VALUE!</v>
      </c>
      <c r="U103" s="4" t="e">
        <f t="shared" si="100"/>
        <v>#VALUE!</v>
      </c>
      <c r="V103" s="4" t="b">
        <f t="shared" si="85"/>
        <v>0</v>
      </c>
      <c r="W103" s="13" t="str">
        <f t="shared" si="86"/>
        <v>Да</v>
      </c>
      <c r="X103" s="4" t="e">
        <f>(IF(COUNTIFS($G$2:G103,"+",$W$2:W103,"Да")&gt;1,"&amp; ","")&amp;D103&amp;J103&amp;E103&amp;SUBSTITUTE(L103,"""",""))</f>
        <v>#VALUE!</v>
      </c>
      <c r="Y103" s="4" t="e">
        <f t="shared" si="87"/>
        <v>#VALUE!</v>
      </c>
    </row>
    <row r="104" spans="1:25" x14ac:dyDescent="0.3">
      <c r="A104" s="11"/>
      <c r="B104" s="5" t="str">
        <f t="shared" si="88"/>
        <v/>
      </c>
      <c r="C104" s="5" t="str">
        <f t="shared" si="89"/>
        <v/>
      </c>
      <c r="D104" s="4" t="s">
        <v>10</v>
      </c>
      <c r="E104" s="4" t="s">
        <v>11</v>
      </c>
      <c r="F104" s="4" t="str">
        <f t="shared" si="117"/>
        <v>!!!</v>
      </c>
      <c r="G104" s="4" t="str">
        <f t="shared" si="91"/>
        <v>+</v>
      </c>
      <c r="H104" s="4"/>
      <c r="I104" s="4" t="str">
        <f t="shared" si="118"/>
        <v>!!!</v>
      </c>
      <c r="J104" s="4" t="e">
        <f t="shared" si="119"/>
        <v>#VALUE!</v>
      </c>
      <c r="K104" s="4" t="e">
        <f t="shared" si="120"/>
        <v>#VALUE!</v>
      </c>
      <c r="L104" s="4" t="e">
        <f t="shared" si="121"/>
        <v>#VALUE!</v>
      </c>
      <c r="M104" s="4">
        <f t="shared" si="96"/>
        <v>1000</v>
      </c>
      <c r="N104" s="4">
        <f t="shared" ref="N104:O104" si="142">MIN(IFERROR(FIND(" ",$C104,M104+1),1000))</f>
        <v>1000</v>
      </c>
      <c r="O104" s="4">
        <f t="shared" si="142"/>
        <v>1000</v>
      </c>
      <c r="P104" s="4">
        <f t="shared" si="98"/>
        <v>0</v>
      </c>
      <c r="Q104" s="4" t="str">
        <f t="shared" si="82"/>
        <v/>
      </c>
      <c r="R104" s="4" t="str">
        <f t="shared" si="83"/>
        <v/>
      </c>
      <c r="S104" s="4" t="str">
        <f t="shared" si="84"/>
        <v/>
      </c>
      <c r="T104" s="4" t="e">
        <f t="shared" si="99"/>
        <v>#VALUE!</v>
      </c>
      <c r="U104" s="4" t="e">
        <f t="shared" si="100"/>
        <v>#VALUE!</v>
      </c>
      <c r="V104" s="4" t="b">
        <f t="shared" si="85"/>
        <v>0</v>
      </c>
      <c r="W104" s="13" t="str">
        <f t="shared" si="86"/>
        <v>Да</v>
      </c>
      <c r="X104" s="4" t="e">
        <f>(IF(COUNTIFS($G$2:G104,"+",$W$2:W104,"Да")&gt;1,"&amp; ","")&amp;D104&amp;J104&amp;E104&amp;SUBSTITUTE(L104,"""",""))</f>
        <v>#VALUE!</v>
      </c>
      <c r="Y104" s="4" t="e">
        <f t="shared" si="87"/>
        <v>#VALUE!</v>
      </c>
    </row>
    <row r="105" spans="1:25" x14ac:dyDescent="0.3">
      <c r="A105" s="11"/>
      <c r="B105" s="5" t="str">
        <f t="shared" si="88"/>
        <v/>
      </c>
      <c r="C105" s="5" t="str">
        <f t="shared" si="89"/>
        <v/>
      </c>
      <c r="D105" s="4" t="s">
        <v>10</v>
      </c>
      <c r="E105" s="4" t="s">
        <v>11</v>
      </c>
      <c r="F105" s="4" t="str">
        <f t="shared" si="117"/>
        <v>!!!</v>
      </c>
      <c r="G105" s="4" t="str">
        <f t="shared" si="91"/>
        <v>+</v>
      </c>
      <c r="H105" s="4"/>
      <c r="I105" s="4" t="str">
        <f t="shared" si="118"/>
        <v>!!!</v>
      </c>
      <c r="J105" s="4" t="e">
        <f t="shared" si="119"/>
        <v>#VALUE!</v>
      </c>
      <c r="K105" s="4" t="e">
        <f t="shared" si="120"/>
        <v>#VALUE!</v>
      </c>
      <c r="L105" s="4" t="e">
        <f t="shared" si="121"/>
        <v>#VALUE!</v>
      </c>
      <c r="M105" s="4">
        <f t="shared" si="96"/>
        <v>1000</v>
      </c>
      <c r="N105" s="4">
        <f t="shared" ref="N105:O105" si="143">MIN(IFERROR(FIND(" ",$C105,M105+1),1000))</f>
        <v>1000</v>
      </c>
      <c r="O105" s="4">
        <f t="shared" si="143"/>
        <v>1000</v>
      </c>
      <c r="P105" s="4">
        <f t="shared" si="98"/>
        <v>0</v>
      </c>
      <c r="Q105" s="4" t="str">
        <f t="shared" si="82"/>
        <v/>
      </c>
      <c r="R105" s="4" t="str">
        <f t="shared" si="83"/>
        <v/>
      </c>
      <c r="S105" s="4" t="str">
        <f t="shared" si="84"/>
        <v/>
      </c>
      <c r="T105" s="4" t="e">
        <f t="shared" si="99"/>
        <v>#VALUE!</v>
      </c>
      <c r="U105" s="4" t="e">
        <f t="shared" si="100"/>
        <v>#VALUE!</v>
      </c>
      <c r="V105" s="4" t="b">
        <f t="shared" si="85"/>
        <v>0</v>
      </c>
      <c r="W105" s="13" t="str">
        <f t="shared" si="86"/>
        <v>Да</v>
      </c>
      <c r="X105" s="4" t="e">
        <f>(IF(COUNTIFS($G$2:G105,"+",$W$2:W105,"Да")&gt;1,"&amp; ","")&amp;D105&amp;J105&amp;E105&amp;SUBSTITUTE(L105,"""",""))</f>
        <v>#VALUE!</v>
      </c>
      <c r="Y105" s="4" t="e">
        <f t="shared" si="87"/>
        <v>#VALUE!</v>
      </c>
    </row>
    <row r="106" spans="1:25" x14ac:dyDescent="0.3">
      <c r="A106" s="11"/>
      <c r="B106" s="5" t="str">
        <f t="shared" si="88"/>
        <v/>
      </c>
      <c r="C106" s="5" t="str">
        <f t="shared" si="89"/>
        <v/>
      </c>
      <c r="D106" s="4" t="s">
        <v>10</v>
      </c>
      <c r="E106" s="4" t="s">
        <v>11</v>
      </c>
      <c r="F106" s="4" t="str">
        <f t="shared" si="117"/>
        <v>!!!</v>
      </c>
      <c r="G106" s="4" t="str">
        <f t="shared" si="91"/>
        <v>+</v>
      </c>
      <c r="H106" s="4"/>
      <c r="I106" s="4" t="str">
        <f t="shared" si="118"/>
        <v>!!!</v>
      </c>
      <c r="J106" s="4" t="e">
        <f t="shared" si="119"/>
        <v>#VALUE!</v>
      </c>
      <c r="K106" s="4" t="e">
        <f t="shared" si="120"/>
        <v>#VALUE!</v>
      </c>
      <c r="L106" s="4" t="e">
        <f t="shared" si="121"/>
        <v>#VALUE!</v>
      </c>
      <c r="M106" s="4">
        <f t="shared" si="96"/>
        <v>1000</v>
      </c>
      <c r="N106" s="4">
        <f t="shared" ref="N106:O106" si="144">MIN(IFERROR(FIND(" ",$C106,M106+1),1000))</f>
        <v>1000</v>
      </c>
      <c r="O106" s="4">
        <f t="shared" si="144"/>
        <v>1000</v>
      </c>
      <c r="P106" s="4">
        <f t="shared" si="98"/>
        <v>0</v>
      </c>
      <c r="Q106" s="4" t="str">
        <f t="shared" si="82"/>
        <v/>
      </c>
      <c r="R106" s="4" t="str">
        <f t="shared" si="83"/>
        <v/>
      </c>
      <c r="S106" s="4" t="str">
        <f t="shared" si="84"/>
        <v/>
      </c>
      <c r="T106" s="4" t="e">
        <f t="shared" si="99"/>
        <v>#VALUE!</v>
      </c>
      <c r="U106" s="4" t="e">
        <f t="shared" si="100"/>
        <v>#VALUE!</v>
      </c>
      <c r="V106" s="4" t="b">
        <f t="shared" si="85"/>
        <v>0</v>
      </c>
      <c r="W106" s="13" t="str">
        <f t="shared" si="86"/>
        <v>Да</v>
      </c>
      <c r="X106" s="4" t="e">
        <f>(IF(COUNTIFS($G$2:G106,"+",$W$2:W106,"Да")&gt;1,"&amp; ","")&amp;D106&amp;J106&amp;E106&amp;SUBSTITUTE(L106,"""",""))</f>
        <v>#VALUE!</v>
      </c>
      <c r="Y106" s="4" t="e">
        <f t="shared" si="87"/>
        <v>#VALUE!</v>
      </c>
    </row>
    <row r="107" spans="1:25" x14ac:dyDescent="0.3">
      <c r="A107" s="11"/>
      <c r="B107" s="5" t="str">
        <f t="shared" si="88"/>
        <v/>
      </c>
      <c r="C107" s="5" t="str">
        <f t="shared" si="89"/>
        <v/>
      </c>
      <c r="D107" s="4" t="s">
        <v>10</v>
      </c>
      <c r="E107" s="4" t="s">
        <v>11</v>
      </c>
      <c r="F107" s="4" t="str">
        <f t="shared" si="117"/>
        <v>!!!</v>
      </c>
      <c r="G107" s="4" t="str">
        <f t="shared" si="91"/>
        <v>+</v>
      </c>
      <c r="H107" s="4"/>
      <c r="I107" s="4" t="str">
        <f t="shared" si="118"/>
        <v>!!!</v>
      </c>
      <c r="J107" s="4" t="e">
        <f t="shared" si="119"/>
        <v>#VALUE!</v>
      </c>
      <c r="K107" s="4" t="e">
        <f t="shared" si="120"/>
        <v>#VALUE!</v>
      </c>
      <c r="L107" s="4" t="e">
        <f t="shared" si="121"/>
        <v>#VALUE!</v>
      </c>
      <c r="M107" s="4">
        <f t="shared" si="96"/>
        <v>1000</v>
      </c>
      <c r="N107" s="4">
        <f t="shared" ref="N107:O107" si="145">MIN(IFERROR(FIND(" ",$C107,M107+1),1000))</f>
        <v>1000</v>
      </c>
      <c r="O107" s="4">
        <f t="shared" si="145"/>
        <v>1000</v>
      </c>
      <c r="P107" s="4">
        <f t="shared" si="98"/>
        <v>0</v>
      </c>
      <c r="Q107" s="4" t="str">
        <f t="shared" si="82"/>
        <v/>
      </c>
      <c r="R107" s="4" t="str">
        <f t="shared" si="83"/>
        <v/>
      </c>
      <c r="S107" s="4" t="str">
        <f t="shared" si="84"/>
        <v/>
      </c>
      <c r="T107" s="4" t="e">
        <f t="shared" si="99"/>
        <v>#VALUE!</v>
      </c>
      <c r="U107" s="4" t="e">
        <f t="shared" si="100"/>
        <v>#VALUE!</v>
      </c>
      <c r="V107" s="4" t="b">
        <f t="shared" si="85"/>
        <v>0</v>
      </c>
      <c r="W107" s="13" t="str">
        <f t="shared" si="86"/>
        <v>Да</v>
      </c>
      <c r="X107" s="4" t="e">
        <f>(IF(COUNTIFS($G$2:G107,"+",$W$2:W107,"Да")&gt;1,"&amp; ","")&amp;D107&amp;J107&amp;E107&amp;SUBSTITUTE(L107,"""",""))</f>
        <v>#VALUE!</v>
      </c>
      <c r="Y107" s="4" t="e">
        <f t="shared" si="87"/>
        <v>#VALUE!</v>
      </c>
    </row>
    <row r="108" spans="1:25" x14ac:dyDescent="0.3">
      <c r="A108" s="11"/>
      <c r="B108" s="5" t="str">
        <f t="shared" si="88"/>
        <v/>
      </c>
      <c r="C108" s="5" t="str">
        <f t="shared" si="89"/>
        <v/>
      </c>
      <c r="D108" s="4" t="s">
        <v>10</v>
      </c>
      <c r="E108" s="4" t="s">
        <v>11</v>
      </c>
      <c r="F108" s="4" t="str">
        <f t="shared" si="117"/>
        <v>!!!</v>
      </c>
      <c r="G108" s="4" t="str">
        <f t="shared" si="91"/>
        <v>+</v>
      </c>
      <c r="H108" s="4"/>
      <c r="I108" s="4" t="str">
        <f t="shared" si="118"/>
        <v>!!!</v>
      </c>
      <c r="J108" s="4" t="e">
        <f t="shared" si="119"/>
        <v>#VALUE!</v>
      </c>
      <c r="K108" s="4" t="e">
        <f t="shared" si="120"/>
        <v>#VALUE!</v>
      </c>
      <c r="L108" s="4" t="e">
        <f t="shared" si="121"/>
        <v>#VALUE!</v>
      </c>
      <c r="M108" s="4">
        <f t="shared" si="96"/>
        <v>1000</v>
      </c>
      <c r="N108" s="4">
        <f t="shared" ref="N108:O108" si="146">MIN(IFERROR(FIND(" ",$C108,M108+1),1000))</f>
        <v>1000</v>
      </c>
      <c r="O108" s="4">
        <f t="shared" si="146"/>
        <v>1000</v>
      </c>
      <c r="P108" s="4">
        <f t="shared" si="98"/>
        <v>0</v>
      </c>
      <c r="Q108" s="4" t="str">
        <f t="shared" si="82"/>
        <v/>
      </c>
      <c r="R108" s="4" t="str">
        <f t="shared" si="83"/>
        <v/>
      </c>
      <c r="S108" s="4" t="str">
        <f t="shared" si="84"/>
        <v/>
      </c>
      <c r="T108" s="4" t="e">
        <f t="shared" si="99"/>
        <v>#VALUE!</v>
      </c>
      <c r="U108" s="4" t="e">
        <f t="shared" si="100"/>
        <v>#VALUE!</v>
      </c>
      <c r="V108" s="4" t="b">
        <f t="shared" si="85"/>
        <v>0</v>
      </c>
      <c r="W108" s="13" t="str">
        <f t="shared" si="86"/>
        <v>Да</v>
      </c>
      <c r="X108" s="4" t="e">
        <f>(IF(COUNTIFS($G$2:G108,"+",$W$2:W108,"Да")&gt;1,"&amp; ","")&amp;D108&amp;J108&amp;E108&amp;SUBSTITUTE(L108,"""",""))</f>
        <v>#VALUE!</v>
      </c>
      <c r="Y108" s="4" t="e">
        <f t="shared" si="87"/>
        <v>#VALUE!</v>
      </c>
    </row>
    <row r="109" spans="1:25" x14ac:dyDescent="0.3">
      <c r="A109" s="11"/>
      <c r="B109" s="5" t="str">
        <f t="shared" si="88"/>
        <v/>
      </c>
      <c r="C109" s="5" t="str">
        <f t="shared" si="89"/>
        <v/>
      </c>
      <c r="D109" s="4" t="s">
        <v>10</v>
      </c>
      <c r="E109" s="4" t="s">
        <v>11</v>
      </c>
      <c r="F109" s="4" t="str">
        <f t="shared" si="117"/>
        <v>!!!</v>
      </c>
      <c r="G109" s="4" t="str">
        <f t="shared" si="91"/>
        <v>+</v>
      </c>
      <c r="H109" s="4"/>
      <c r="I109" s="4" t="str">
        <f t="shared" si="118"/>
        <v>!!!</v>
      </c>
      <c r="J109" s="4" t="e">
        <f t="shared" si="119"/>
        <v>#VALUE!</v>
      </c>
      <c r="K109" s="4" t="e">
        <f t="shared" si="120"/>
        <v>#VALUE!</v>
      </c>
      <c r="L109" s="4" t="e">
        <f t="shared" si="121"/>
        <v>#VALUE!</v>
      </c>
      <c r="M109" s="4">
        <f t="shared" si="96"/>
        <v>1000</v>
      </c>
      <c r="N109" s="4">
        <f t="shared" ref="N109:O109" si="147">MIN(IFERROR(FIND(" ",$C109,M109+1),1000))</f>
        <v>1000</v>
      </c>
      <c r="O109" s="4">
        <f t="shared" si="147"/>
        <v>1000</v>
      </c>
      <c r="P109" s="4">
        <f t="shared" si="98"/>
        <v>0</v>
      </c>
      <c r="Q109" s="4" t="str">
        <f t="shared" si="82"/>
        <v/>
      </c>
      <c r="R109" s="4" t="str">
        <f t="shared" si="83"/>
        <v/>
      </c>
      <c r="S109" s="4" t="str">
        <f t="shared" si="84"/>
        <v/>
      </c>
      <c r="T109" s="4" t="e">
        <f t="shared" si="99"/>
        <v>#VALUE!</v>
      </c>
      <c r="U109" s="4" t="e">
        <f t="shared" si="100"/>
        <v>#VALUE!</v>
      </c>
      <c r="V109" s="4" t="b">
        <f t="shared" si="85"/>
        <v>0</v>
      </c>
      <c r="W109" s="13" t="str">
        <f t="shared" si="86"/>
        <v>Да</v>
      </c>
      <c r="X109" s="4" t="e">
        <f>(IF(COUNTIFS($G$2:G109,"+",$W$2:W109,"Да")&gt;1,"&amp; ","")&amp;D109&amp;J109&amp;E109&amp;SUBSTITUTE(L109,"""",""))</f>
        <v>#VALUE!</v>
      </c>
      <c r="Y109" s="4" t="e">
        <f t="shared" si="87"/>
        <v>#VALUE!</v>
      </c>
    </row>
    <row r="110" spans="1:25" x14ac:dyDescent="0.3">
      <c r="A110" s="11"/>
      <c r="B110" s="5" t="str">
        <f t="shared" si="88"/>
        <v/>
      </c>
      <c r="C110" s="5" t="str">
        <f t="shared" si="89"/>
        <v/>
      </c>
      <c r="D110" s="4" t="s">
        <v>10</v>
      </c>
      <c r="E110" s="4" t="s">
        <v>11</v>
      </c>
      <c r="F110" s="4" t="str">
        <f t="shared" si="117"/>
        <v>!!!</v>
      </c>
      <c r="G110" s="4" t="str">
        <f t="shared" si="91"/>
        <v>+</v>
      </c>
      <c r="H110" s="4"/>
      <c r="I110" s="4" t="str">
        <f t="shared" si="118"/>
        <v>!!!</v>
      </c>
      <c r="J110" s="4" t="e">
        <f t="shared" si="119"/>
        <v>#VALUE!</v>
      </c>
      <c r="K110" s="4" t="e">
        <f t="shared" si="120"/>
        <v>#VALUE!</v>
      </c>
      <c r="L110" s="4" t="e">
        <f t="shared" si="121"/>
        <v>#VALUE!</v>
      </c>
      <c r="M110" s="4">
        <f t="shared" si="96"/>
        <v>1000</v>
      </c>
      <c r="N110" s="4">
        <f t="shared" ref="N110:O110" si="148">MIN(IFERROR(FIND(" ",$C110,M110+1),1000))</f>
        <v>1000</v>
      </c>
      <c r="O110" s="4">
        <f t="shared" si="148"/>
        <v>1000</v>
      </c>
      <c r="P110" s="4">
        <f t="shared" si="98"/>
        <v>0</v>
      </c>
      <c r="Q110" s="4" t="str">
        <f t="shared" si="82"/>
        <v/>
      </c>
      <c r="R110" s="4" t="str">
        <f t="shared" si="83"/>
        <v/>
      </c>
      <c r="S110" s="4" t="str">
        <f t="shared" si="84"/>
        <v/>
      </c>
      <c r="T110" s="4" t="e">
        <f t="shared" si="99"/>
        <v>#VALUE!</v>
      </c>
      <c r="U110" s="4" t="e">
        <f t="shared" si="100"/>
        <v>#VALUE!</v>
      </c>
      <c r="V110" s="4" t="b">
        <f t="shared" si="85"/>
        <v>0</v>
      </c>
      <c r="W110" s="13" t="str">
        <f t="shared" si="86"/>
        <v>Да</v>
      </c>
      <c r="X110" s="4" t="e">
        <f>(IF(COUNTIFS($G$2:G110,"+",$W$2:W110,"Да")&gt;1,"&amp; ","")&amp;D110&amp;J110&amp;E110&amp;SUBSTITUTE(L110,"""",""))</f>
        <v>#VALUE!</v>
      </c>
      <c r="Y110" s="4" t="e">
        <f t="shared" si="87"/>
        <v>#VALUE!</v>
      </c>
    </row>
    <row r="111" spans="1:25" x14ac:dyDescent="0.3">
      <c r="A111" s="11"/>
      <c r="B111" s="5" t="str">
        <f t="shared" si="88"/>
        <v/>
      </c>
      <c r="C111" s="5" t="str">
        <f t="shared" si="89"/>
        <v/>
      </c>
      <c r="D111" s="4" t="s">
        <v>10</v>
      </c>
      <c r="E111" s="4" t="s">
        <v>11</v>
      </c>
      <c r="F111" s="4" t="str">
        <f t="shared" si="117"/>
        <v>!!!</v>
      </c>
      <c r="G111" s="4" t="str">
        <f t="shared" si="91"/>
        <v>+</v>
      </c>
      <c r="H111" s="4"/>
      <c r="I111" s="4" t="str">
        <f t="shared" si="118"/>
        <v>!!!</v>
      </c>
      <c r="J111" s="4" t="e">
        <f t="shared" si="119"/>
        <v>#VALUE!</v>
      </c>
      <c r="K111" s="4" t="e">
        <f t="shared" si="120"/>
        <v>#VALUE!</v>
      </c>
      <c r="L111" s="4" t="e">
        <f t="shared" si="121"/>
        <v>#VALUE!</v>
      </c>
      <c r="M111" s="4">
        <f t="shared" si="96"/>
        <v>1000</v>
      </c>
      <c r="N111" s="4">
        <f t="shared" ref="N111:O111" si="149">MIN(IFERROR(FIND(" ",$C111,M111+1),1000))</f>
        <v>1000</v>
      </c>
      <c r="O111" s="4">
        <f t="shared" si="149"/>
        <v>1000</v>
      </c>
      <c r="P111" s="4">
        <f t="shared" si="98"/>
        <v>0</v>
      </c>
      <c r="Q111" s="4" t="str">
        <f t="shared" si="82"/>
        <v/>
      </c>
      <c r="R111" s="4" t="str">
        <f t="shared" si="83"/>
        <v/>
      </c>
      <c r="S111" s="4" t="str">
        <f t="shared" si="84"/>
        <v/>
      </c>
      <c r="T111" s="4" t="e">
        <f t="shared" si="99"/>
        <v>#VALUE!</v>
      </c>
      <c r="U111" s="4" t="e">
        <f t="shared" si="100"/>
        <v>#VALUE!</v>
      </c>
      <c r="V111" s="4" t="b">
        <f t="shared" si="85"/>
        <v>0</v>
      </c>
      <c r="W111" s="13" t="str">
        <f t="shared" si="86"/>
        <v>Да</v>
      </c>
      <c r="X111" s="4" t="e">
        <f>(IF(COUNTIFS($G$2:G111,"+",$W$2:W111,"Да")&gt;1,"&amp; ","")&amp;D111&amp;J111&amp;E111&amp;SUBSTITUTE(L111,"""",""))</f>
        <v>#VALUE!</v>
      </c>
      <c r="Y111" s="4" t="e">
        <f t="shared" si="87"/>
        <v>#VALUE!</v>
      </c>
    </row>
    <row r="112" spans="1:25" x14ac:dyDescent="0.3">
      <c r="A112" s="11"/>
      <c r="B112" s="5" t="str">
        <f t="shared" si="88"/>
        <v/>
      </c>
      <c r="C112" s="5" t="str">
        <f t="shared" si="89"/>
        <v/>
      </c>
      <c r="D112" s="4" t="s">
        <v>10</v>
      </c>
      <c r="E112" s="4" t="s">
        <v>11</v>
      </c>
      <c r="F112" s="4" t="str">
        <f t="shared" si="117"/>
        <v>!!!</v>
      </c>
      <c r="G112" s="4" t="str">
        <f t="shared" si="91"/>
        <v>+</v>
      </c>
      <c r="H112" s="4"/>
      <c r="I112" s="4" t="str">
        <f t="shared" si="118"/>
        <v>!!!</v>
      </c>
      <c r="J112" s="4" t="e">
        <f t="shared" si="119"/>
        <v>#VALUE!</v>
      </c>
      <c r="K112" s="4" t="e">
        <f t="shared" si="120"/>
        <v>#VALUE!</v>
      </c>
      <c r="L112" s="4" t="e">
        <f t="shared" si="121"/>
        <v>#VALUE!</v>
      </c>
      <c r="M112" s="4">
        <f t="shared" si="96"/>
        <v>1000</v>
      </c>
      <c r="N112" s="4">
        <f t="shared" ref="N112:O112" si="150">MIN(IFERROR(FIND(" ",$C112,M112+1),1000))</f>
        <v>1000</v>
      </c>
      <c r="O112" s="4">
        <f t="shared" si="150"/>
        <v>1000</v>
      </c>
      <c r="P112" s="4">
        <f t="shared" si="98"/>
        <v>0</v>
      </c>
      <c r="Q112" s="4" t="str">
        <f t="shared" si="82"/>
        <v/>
      </c>
      <c r="R112" s="4" t="str">
        <f t="shared" si="83"/>
        <v/>
      </c>
      <c r="S112" s="4" t="str">
        <f t="shared" si="84"/>
        <v/>
      </c>
      <c r="T112" s="4" t="e">
        <f t="shared" si="99"/>
        <v>#VALUE!</v>
      </c>
      <c r="U112" s="4" t="e">
        <f t="shared" si="100"/>
        <v>#VALUE!</v>
      </c>
      <c r="V112" s="4" t="b">
        <f t="shared" si="85"/>
        <v>0</v>
      </c>
      <c r="W112" s="13" t="str">
        <f t="shared" si="86"/>
        <v>Да</v>
      </c>
      <c r="X112" s="4" t="e">
        <f>(IF(COUNTIFS($G$2:G112,"+",$W$2:W112,"Да")&gt;1,"&amp; ","")&amp;D112&amp;J112&amp;E112&amp;SUBSTITUTE(L112,"""",""))</f>
        <v>#VALUE!</v>
      </c>
      <c r="Y112" s="4" t="e">
        <f t="shared" si="87"/>
        <v>#VALUE!</v>
      </c>
    </row>
    <row r="113" spans="1:25" x14ac:dyDescent="0.3">
      <c r="A113" s="11"/>
      <c r="B113" s="5" t="str">
        <f t="shared" si="88"/>
        <v/>
      </c>
      <c r="C113" s="5" t="str">
        <f t="shared" si="89"/>
        <v/>
      </c>
      <c r="D113" s="4" t="s">
        <v>10</v>
      </c>
      <c r="E113" s="4" t="s">
        <v>11</v>
      </c>
      <c r="F113" s="4" t="str">
        <f t="shared" si="117"/>
        <v>!!!</v>
      </c>
      <c r="G113" s="4" t="str">
        <f t="shared" si="91"/>
        <v>+</v>
      </c>
      <c r="H113" s="4"/>
      <c r="I113" s="4" t="str">
        <f t="shared" si="118"/>
        <v>!!!</v>
      </c>
      <c r="J113" s="4" t="e">
        <f t="shared" si="119"/>
        <v>#VALUE!</v>
      </c>
      <c r="K113" s="4" t="e">
        <f t="shared" si="120"/>
        <v>#VALUE!</v>
      </c>
      <c r="L113" s="4" t="e">
        <f t="shared" si="121"/>
        <v>#VALUE!</v>
      </c>
      <c r="M113" s="4">
        <f t="shared" si="96"/>
        <v>1000</v>
      </c>
      <c r="N113" s="4">
        <f t="shared" ref="N113:O113" si="151">MIN(IFERROR(FIND(" ",$C113,M113+1),1000))</f>
        <v>1000</v>
      </c>
      <c r="O113" s="4">
        <f t="shared" si="151"/>
        <v>1000</v>
      </c>
      <c r="P113" s="4">
        <f t="shared" si="98"/>
        <v>0</v>
      </c>
      <c r="Q113" s="4" t="str">
        <f t="shared" si="82"/>
        <v/>
      </c>
      <c r="R113" s="4" t="str">
        <f t="shared" si="83"/>
        <v/>
      </c>
      <c r="S113" s="4" t="str">
        <f t="shared" si="84"/>
        <v/>
      </c>
      <c r="T113" s="4" t="e">
        <f t="shared" si="99"/>
        <v>#VALUE!</v>
      </c>
      <c r="U113" s="4" t="e">
        <f t="shared" si="100"/>
        <v>#VALUE!</v>
      </c>
      <c r="V113" s="4" t="b">
        <f t="shared" si="85"/>
        <v>0</v>
      </c>
      <c r="W113" s="13" t="str">
        <f t="shared" si="86"/>
        <v>Да</v>
      </c>
      <c r="X113" s="4" t="e">
        <f>(IF(COUNTIFS($G$2:G113,"+",$W$2:W113,"Да")&gt;1,"&amp; ","")&amp;D113&amp;J113&amp;E113&amp;SUBSTITUTE(L113,"""",""))</f>
        <v>#VALUE!</v>
      </c>
      <c r="Y113" s="4" t="e">
        <f t="shared" si="87"/>
        <v>#VALUE!</v>
      </c>
    </row>
    <row r="114" spans="1:25" x14ac:dyDescent="0.3">
      <c r="A114" s="11"/>
      <c r="B114" s="5" t="str">
        <f t="shared" si="88"/>
        <v/>
      </c>
      <c r="C114" s="5" t="str">
        <f t="shared" si="89"/>
        <v/>
      </c>
      <c r="D114" s="4" t="s">
        <v>10</v>
      </c>
      <c r="E114" s="4" t="s">
        <v>11</v>
      </c>
      <c r="F114" s="4" t="str">
        <f t="shared" si="117"/>
        <v>!!!</v>
      </c>
      <c r="G114" s="4" t="str">
        <f t="shared" si="91"/>
        <v>+</v>
      </c>
      <c r="H114" s="4"/>
      <c r="I114" s="4" t="str">
        <f t="shared" si="118"/>
        <v>!!!</v>
      </c>
      <c r="J114" s="4" t="e">
        <f t="shared" si="119"/>
        <v>#VALUE!</v>
      </c>
      <c r="K114" s="4" t="e">
        <f t="shared" si="120"/>
        <v>#VALUE!</v>
      </c>
      <c r="L114" s="4" t="e">
        <f t="shared" si="121"/>
        <v>#VALUE!</v>
      </c>
      <c r="M114" s="4">
        <f t="shared" si="96"/>
        <v>1000</v>
      </c>
      <c r="N114" s="4">
        <f t="shared" ref="N114:O114" si="152">MIN(IFERROR(FIND(" ",$C114,M114+1),1000))</f>
        <v>1000</v>
      </c>
      <c r="O114" s="4">
        <f t="shared" si="152"/>
        <v>1000</v>
      </c>
      <c r="P114" s="4">
        <f t="shared" si="98"/>
        <v>0</v>
      </c>
      <c r="Q114" s="4" t="str">
        <f t="shared" si="82"/>
        <v/>
      </c>
      <c r="R114" s="4" t="str">
        <f t="shared" si="83"/>
        <v/>
      </c>
      <c r="S114" s="4" t="str">
        <f t="shared" si="84"/>
        <v/>
      </c>
      <c r="T114" s="4" t="e">
        <f t="shared" si="99"/>
        <v>#VALUE!</v>
      </c>
      <c r="U114" s="4" t="e">
        <f t="shared" si="100"/>
        <v>#VALUE!</v>
      </c>
      <c r="V114" s="4" t="b">
        <f t="shared" si="85"/>
        <v>0</v>
      </c>
      <c r="W114" s="13" t="str">
        <f t="shared" si="86"/>
        <v>Да</v>
      </c>
      <c r="X114" s="4" t="e">
        <f>(IF(COUNTIFS($G$2:G114,"+",$W$2:W114,"Да")&gt;1,"&amp; ","")&amp;D114&amp;J114&amp;E114&amp;SUBSTITUTE(L114,"""",""))</f>
        <v>#VALUE!</v>
      </c>
      <c r="Y114" s="4" t="e">
        <f t="shared" si="87"/>
        <v>#VALUE!</v>
      </c>
    </row>
    <row r="115" spans="1:25" x14ac:dyDescent="0.3">
      <c r="A115" s="11"/>
      <c r="B115" s="5" t="str">
        <f t="shared" si="88"/>
        <v/>
      </c>
      <c r="C115" s="5" t="str">
        <f t="shared" si="89"/>
        <v/>
      </c>
      <c r="D115" s="4" t="s">
        <v>10</v>
      </c>
      <c r="E115" s="4" t="s">
        <v>11</v>
      </c>
      <c r="F115" s="4" t="str">
        <f t="shared" si="117"/>
        <v>!!!</v>
      </c>
      <c r="G115" s="4" t="str">
        <f t="shared" si="91"/>
        <v>+</v>
      </c>
      <c r="H115" s="4"/>
      <c r="I115" s="4" t="str">
        <f t="shared" si="118"/>
        <v>!!!</v>
      </c>
      <c r="J115" s="4" t="e">
        <f t="shared" si="119"/>
        <v>#VALUE!</v>
      </c>
      <c r="K115" s="4" t="e">
        <f t="shared" si="120"/>
        <v>#VALUE!</v>
      </c>
      <c r="L115" s="4" t="e">
        <f t="shared" si="121"/>
        <v>#VALUE!</v>
      </c>
      <c r="M115" s="4">
        <f t="shared" si="96"/>
        <v>1000</v>
      </c>
      <c r="N115" s="4">
        <f t="shared" ref="N115:O115" si="153">MIN(IFERROR(FIND(" ",$C115,M115+1),1000))</f>
        <v>1000</v>
      </c>
      <c r="O115" s="4">
        <f t="shared" si="153"/>
        <v>1000</v>
      </c>
      <c r="P115" s="4">
        <f t="shared" si="98"/>
        <v>0</v>
      </c>
      <c r="Q115" s="4" t="str">
        <f t="shared" si="82"/>
        <v/>
      </c>
      <c r="R115" s="4" t="str">
        <f t="shared" si="83"/>
        <v/>
      </c>
      <c r="S115" s="4" t="str">
        <f t="shared" si="84"/>
        <v/>
      </c>
      <c r="T115" s="4" t="e">
        <f t="shared" si="99"/>
        <v>#VALUE!</v>
      </c>
      <c r="U115" s="4" t="e">
        <f t="shared" si="100"/>
        <v>#VALUE!</v>
      </c>
      <c r="V115" s="4" t="b">
        <f t="shared" si="85"/>
        <v>0</v>
      </c>
      <c r="W115" s="13" t="str">
        <f t="shared" si="86"/>
        <v>Да</v>
      </c>
      <c r="X115" s="4" t="e">
        <f>(IF(COUNTIFS($G$2:G115,"+",$W$2:W115,"Да")&gt;1,"&amp; ","")&amp;D115&amp;J115&amp;E115&amp;SUBSTITUTE(L115,"""",""))</f>
        <v>#VALUE!</v>
      </c>
      <c r="Y115" s="4" t="e">
        <f t="shared" si="87"/>
        <v>#VALUE!</v>
      </c>
    </row>
    <row r="116" spans="1:25" x14ac:dyDescent="0.3">
      <c r="A116" s="11"/>
      <c r="B116" s="5" t="str">
        <f t="shared" si="88"/>
        <v/>
      </c>
      <c r="C116" s="5" t="str">
        <f t="shared" si="89"/>
        <v/>
      </c>
      <c r="D116" s="4" t="s">
        <v>10</v>
      </c>
      <c r="E116" s="4" t="s">
        <v>11</v>
      </c>
      <c r="F116" s="4" t="str">
        <f t="shared" si="117"/>
        <v>!!!</v>
      </c>
      <c r="G116" s="4" t="str">
        <f t="shared" si="91"/>
        <v>+</v>
      </c>
      <c r="H116" s="4"/>
      <c r="I116" s="4" t="str">
        <f t="shared" si="118"/>
        <v>!!!</v>
      </c>
      <c r="J116" s="4" t="e">
        <f t="shared" si="119"/>
        <v>#VALUE!</v>
      </c>
      <c r="K116" s="4" t="e">
        <f t="shared" si="120"/>
        <v>#VALUE!</v>
      </c>
      <c r="L116" s="4" t="e">
        <f t="shared" si="121"/>
        <v>#VALUE!</v>
      </c>
      <c r="M116" s="4">
        <f t="shared" si="96"/>
        <v>1000</v>
      </c>
      <c r="N116" s="4">
        <f t="shared" ref="N116:O116" si="154">MIN(IFERROR(FIND(" ",$C116,M116+1),1000))</f>
        <v>1000</v>
      </c>
      <c r="O116" s="4">
        <f t="shared" si="154"/>
        <v>1000</v>
      </c>
      <c r="P116" s="4">
        <f t="shared" si="98"/>
        <v>0</v>
      </c>
      <c r="Q116" s="4" t="str">
        <f t="shared" si="82"/>
        <v/>
      </c>
      <c r="R116" s="4" t="str">
        <f t="shared" si="83"/>
        <v/>
      </c>
      <c r="S116" s="4" t="str">
        <f t="shared" si="84"/>
        <v/>
      </c>
      <c r="T116" s="4" t="e">
        <f t="shared" si="99"/>
        <v>#VALUE!</v>
      </c>
      <c r="U116" s="4" t="e">
        <f t="shared" si="100"/>
        <v>#VALUE!</v>
      </c>
      <c r="V116" s="4" t="b">
        <f t="shared" si="85"/>
        <v>0</v>
      </c>
      <c r="W116" s="13" t="str">
        <f t="shared" si="86"/>
        <v>Да</v>
      </c>
      <c r="X116" s="4" t="e">
        <f>(IF(COUNTIFS($G$2:G116,"+",$W$2:W116,"Да")&gt;1,"&amp; ","")&amp;D116&amp;J116&amp;E116&amp;SUBSTITUTE(L116,"""",""))</f>
        <v>#VALUE!</v>
      </c>
      <c r="Y116" s="4" t="e">
        <f t="shared" si="87"/>
        <v>#VALUE!</v>
      </c>
    </row>
    <row r="117" spans="1:25" x14ac:dyDescent="0.3">
      <c r="A117" s="11"/>
      <c r="B117" s="5" t="str">
        <f t="shared" si="88"/>
        <v/>
      </c>
      <c r="C117" s="5" t="str">
        <f t="shared" si="89"/>
        <v/>
      </c>
      <c r="D117" s="4" t="s">
        <v>10</v>
      </c>
      <c r="E117" s="4" t="s">
        <v>11</v>
      </c>
      <c r="F117" s="4" t="str">
        <f t="shared" si="117"/>
        <v>!!!</v>
      </c>
      <c r="G117" s="4" t="str">
        <f t="shared" si="91"/>
        <v>+</v>
      </c>
      <c r="H117" s="4"/>
      <c r="I117" s="4" t="str">
        <f t="shared" si="118"/>
        <v>!!!</v>
      </c>
      <c r="J117" s="4" t="e">
        <f t="shared" si="119"/>
        <v>#VALUE!</v>
      </c>
      <c r="K117" s="4" t="e">
        <f t="shared" si="120"/>
        <v>#VALUE!</v>
      </c>
      <c r="L117" s="4" t="e">
        <f t="shared" si="121"/>
        <v>#VALUE!</v>
      </c>
      <c r="M117" s="4">
        <f t="shared" si="96"/>
        <v>1000</v>
      </c>
      <c r="N117" s="4">
        <f t="shared" ref="N117:O117" si="155">MIN(IFERROR(FIND(" ",$C117,M117+1),1000))</f>
        <v>1000</v>
      </c>
      <c r="O117" s="4">
        <f t="shared" si="155"/>
        <v>1000</v>
      </c>
      <c r="P117" s="4">
        <f t="shared" si="98"/>
        <v>0</v>
      </c>
      <c r="Q117" s="4" t="str">
        <f t="shared" si="82"/>
        <v/>
      </c>
      <c r="R117" s="4" t="str">
        <f t="shared" si="83"/>
        <v/>
      </c>
      <c r="S117" s="4" t="str">
        <f t="shared" si="84"/>
        <v/>
      </c>
      <c r="T117" s="4" t="e">
        <f t="shared" si="99"/>
        <v>#VALUE!</v>
      </c>
      <c r="U117" s="4" t="e">
        <f t="shared" si="100"/>
        <v>#VALUE!</v>
      </c>
      <c r="V117" s="4" t="b">
        <f t="shared" si="85"/>
        <v>0</v>
      </c>
      <c r="W117" s="13" t="str">
        <f t="shared" si="86"/>
        <v>Да</v>
      </c>
      <c r="X117" s="4" t="e">
        <f>(IF(COUNTIFS($G$2:G117,"+",$W$2:W117,"Да")&gt;1,"&amp; ","")&amp;D117&amp;J117&amp;E117&amp;SUBSTITUTE(L117,"""",""))</f>
        <v>#VALUE!</v>
      </c>
      <c r="Y117" s="4" t="e">
        <f t="shared" si="87"/>
        <v>#VALUE!</v>
      </c>
    </row>
    <row r="118" spans="1:25" x14ac:dyDescent="0.3">
      <c r="A118" s="11"/>
      <c r="B118" s="5" t="str">
        <f t="shared" si="88"/>
        <v/>
      </c>
      <c r="C118" s="5" t="str">
        <f t="shared" si="89"/>
        <v/>
      </c>
      <c r="D118" s="4" t="s">
        <v>10</v>
      </c>
      <c r="E118" s="4" t="s">
        <v>11</v>
      </c>
      <c r="F118" s="4" t="str">
        <f t="shared" si="117"/>
        <v>!!!</v>
      </c>
      <c r="G118" s="4" t="str">
        <f t="shared" si="91"/>
        <v>+</v>
      </c>
      <c r="H118" s="4"/>
      <c r="I118" s="4" t="str">
        <f t="shared" si="118"/>
        <v>!!!</v>
      </c>
      <c r="J118" s="4" t="e">
        <f t="shared" si="119"/>
        <v>#VALUE!</v>
      </c>
      <c r="K118" s="4" t="e">
        <f t="shared" si="120"/>
        <v>#VALUE!</v>
      </c>
      <c r="L118" s="4" t="e">
        <f t="shared" si="121"/>
        <v>#VALUE!</v>
      </c>
      <c r="M118" s="4">
        <f t="shared" si="96"/>
        <v>1000</v>
      </c>
      <c r="N118" s="4">
        <f t="shared" ref="N118:O118" si="156">MIN(IFERROR(FIND(" ",$C118,M118+1),1000))</f>
        <v>1000</v>
      </c>
      <c r="O118" s="4">
        <f t="shared" si="156"/>
        <v>1000</v>
      </c>
      <c r="P118" s="4">
        <f t="shared" si="98"/>
        <v>0</v>
      </c>
      <c r="Q118" s="4" t="str">
        <f t="shared" si="82"/>
        <v/>
      </c>
      <c r="R118" s="4" t="str">
        <f t="shared" si="83"/>
        <v/>
      </c>
      <c r="S118" s="4" t="str">
        <f t="shared" si="84"/>
        <v/>
      </c>
      <c r="T118" s="4" t="e">
        <f t="shared" si="99"/>
        <v>#VALUE!</v>
      </c>
      <c r="U118" s="4" t="e">
        <f t="shared" si="100"/>
        <v>#VALUE!</v>
      </c>
      <c r="V118" s="4" t="b">
        <f t="shared" si="85"/>
        <v>0</v>
      </c>
      <c r="W118" s="13" t="str">
        <f t="shared" si="86"/>
        <v>Да</v>
      </c>
      <c r="X118" s="4" t="e">
        <f>(IF(COUNTIFS($G$2:G118,"+",$W$2:W118,"Да")&gt;1,"&amp; ","")&amp;D118&amp;J118&amp;E118&amp;SUBSTITUTE(L118,"""",""))</f>
        <v>#VALUE!</v>
      </c>
      <c r="Y118" s="4" t="e">
        <f t="shared" si="87"/>
        <v>#VALUE!</v>
      </c>
    </row>
    <row r="119" spans="1:25" x14ac:dyDescent="0.3">
      <c r="A119" s="11"/>
      <c r="B119" s="5" t="str">
        <f t="shared" si="88"/>
        <v/>
      </c>
      <c r="C119" s="5" t="str">
        <f t="shared" si="89"/>
        <v/>
      </c>
      <c r="D119" s="4" t="s">
        <v>10</v>
      </c>
      <c r="E119" s="4" t="s">
        <v>11</v>
      </c>
      <c r="F119" s="4" t="str">
        <f t="shared" si="117"/>
        <v>!!!</v>
      </c>
      <c r="G119" s="4" t="str">
        <f t="shared" si="91"/>
        <v>+</v>
      </c>
      <c r="H119" s="4"/>
      <c r="I119" s="4" t="str">
        <f t="shared" si="118"/>
        <v>!!!</v>
      </c>
      <c r="J119" s="4" t="e">
        <f t="shared" si="119"/>
        <v>#VALUE!</v>
      </c>
      <c r="K119" s="4" t="e">
        <f t="shared" si="120"/>
        <v>#VALUE!</v>
      </c>
      <c r="L119" s="4" t="e">
        <f t="shared" si="121"/>
        <v>#VALUE!</v>
      </c>
      <c r="M119" s="4">
        <f t="shared" si="96"/>
        <v>1000</v>
      </c>
      <c r="N119" s="4">
        <f t="shared" ref="N119:O119" si="157">MIN(IFERROR(FIND(" ",$C119,M119+1),1000))</f>
        <v>1000</v>
      </c>
      <c r="O119" s="4">
        <f t="shared" si="157"/>
        <v>1000</v>
      </c>
      <c r="P119" s="4">
        <f t="shared" si="98"/>
        <v>0</v>
      </c>
      <c r="Q119" s="4" t="str">
        <f t="shared" si="82"/>
        <v/>
      </c>
      <c r="R119" s="4" t="str">
        <f t="shared" si="83"/>
        <v/>
      </c>
      <c r="S119" s="4" t="str">
        <f t="shared" si="84"/>
        <v/>
      </c>
      <c r="T119" s="4" t="e">
        <f t="shared" si="99"/>
        <v>#VALUE!</v>
      </c>
      <c r="U119" s="4" t="e">
        <f t="shared" si="100"/>
        <v>#VALUE!</v>
      </c>
      <c r="V119" s="4" t="b">
        <f t="shared" si="85"/>
        <v>0</v>
      </c>
      <c r="W119" s="13" t="str">
        <f t="shared" si="86"/>
        <v>Да</v>
      </c>
      <c r="X119" s="4" t="e">
        <f>(IF(COUNTIFS($G$2:G119,"+",$W$2:W119,"Да")&gt;1,"&amp; ","")&amp;D119&amp;J119&amp;E119&amp;SUBSTITUTE(L119,"""",""))</f>
        <v>#VALUE!</v>
      </c>
      <c r="Y119" s="4" t="e">
        <f t="shared" si="87"/>
        <v>#VALUE!</v>
      </c>
    </row>
    <row r="120" spans="1:25" x14ac:dyDescent="0.3">
      <c r="A120" s="11"/>
      <c r="B120" s="5" t="str">
        <f t="shared" si="88"/>
        <v/>
      </c>
      <c r="C120" s="5" t="str">
        <f t="shared" si="89"/>
        <v/>
      </c>
      <c r="D120" s="4" t="s">
        <v>10</v>
      </c>
      <c r="E120" s="4" t="s">
        <v>11</v>
      </c>
      <c r="F120" s="4" t="str">
        <f t="shared" si="117"/>
        <v>!!!</v>
      </c>
      <c r="G120" s="4" t="str">
        <f t="shared" si="91"/>
        <v>+</v>
      </c>
      <c r="H120" s="4"/>
      <c r="I120" s="4" t="str">
        <f t="shared" si="118"/>
        <v>!!!</v>
      </c>
      <c r="J120" s="4" t="e">
        <f t="shared" si="119"/>
        <v>#VALUE!</v>
      </c>
      <c r="K120" s="4" t="e">
        <f t="shared" si="120"/>
        <v>#VALUE!</v>
      </c>
      <c r="L120" s="4" t="e">
        <f t="shared" si="121"/>
        <v>#VALUE!</v>
      </c>
      <c r="M120" s="4">
        <f t="shared" si="96"/>
        <v>1000</v>
      </c>
      <c r="N120" s="4">
        <f t="shared" ref="N120:O120" si="158">MIN(IFERROR(FIND(" ",$C120,M120+1),1000))</f>
        <v>1000</v>
      </c>
      <c r="O120" s="4">
        <f t="shared" si="158"/>
        <v>1000</v>
      </c>
      <c r="P120" s="4">
        <f t="shared" si="98"/>
        <v>0</v>
      </c>
      <c r="Q120" s="4" t="str">
        <f t="shared" si="82"/>
        <v/>
      </c>
      <c r="R120" s="4" t="str">
        <f t="shared" si="83"/>
        <v/>
      </c>
      <c r="S120" s="4" t="str">
        <f t="shared" si="84"/>
        <v/>
      </c>
      <c r="T120" s="4" t="e">
        <f t="shared" si="99"/>
        <v>#VALUE!</v>
      </c>
      <c r="U120" s="4" t="e">
        <f t="shared" si="100"/>
        <v>#VALUE!</v>
      </c>
      <c r="V120" s="4" t="b">
        <f t="shared" si="85"/>
        <v>0</v>
      </c>
      <c r="W120" s="13" t="str">
        <f t="shared" si="86"/>
        <v>Да</v>
      </c>
      <c r="X120" s="4" t="e">
        <f>(IF(COUNTIFS($G$2:G120,"+",$W$2:W120,"Да")&gt;1,"&amp; ","")&amp;D120&amp;J120&amp;E120&amp;SUBSTITUTE(L120,"""",""))</f>
        <v>#VALUE!</v>
      </c>
      <c r="Y120" s="4" t="e">
        <f t="shared" si="87"/>
        <v>#VALUE!</v>
      </c>
    </row>
    <row r="121" spans="1:25" x14ac:dyDescent="0.3">
      <c r="A121" s="11"/>
      <c r="B121" s="5" t="str">
        <f t="shared" si="88"/>
        <v/>
      </c>
      <c r="C121" s="5" t="str">
        <f t="shared" si="89"/>
        <v/>
      </c>
      <c r="D121" s="4" t="s">
        <v>10</v>
      </c>
      <c r="E121" s="4" t="s">
        <v>11</v>
      </c>
      <c r="F121" s="4" t="str">
        <f t="shared" si="117"/>
        <v>!!!</v>
      </c>
      <c r="G121" s="4" t="str">
        <f t="shared" si="91"/>
        <v>+</v>
      </c>
      <c r="H121" s="4"/>
      <c r="I121" s="4" t="str">
        <f t="shared" si="118"/>
        <v>!!!</v>
      </c>
      <c r="J121" s="4" t="e">
        <f t="shared" si="119"/>
        <v>#VALUE!</v>
      </c>
      <c r="K121" s="4" t="e">
        <f t="shared" si="120"/>
        <v>#VALUE!</v>
      </c>
      <c r="L121" s="4" t="e">
        <f t="shared" si="121"/>
        <v>#VALUE!</v>
      </c>
      <c r="M121" s="4">
        <f t="shared" si="96"/>
        <v>1000</v>
      </c>
      <c r="N121" s="4">
        <f t="shared" ref="N121:O121" si="159">MIN(IFERROR(FIND(" ",$C121,M121+1),1000))</f>
        <v>1000</v>
      </c>
      <c r="O121" s="4">
        <f t="shared" si="159"/>
        <v>1000</v>
      </c>
      <c r="P121" s="4">
        <f t="shared" si="98"/>
        <v>0</v>
      </c>
      <c r="Q121" s="4" t="str">
        <f t="shared" si="82"/>
        <v/>
      </c>
      <c r="R121" s="4" t="str">
        <f t="shared" si="83"/>
        <v/>
      </c>
      <c r="S121" s="4" t="str">
        <f t="shared" si="84"/>
        <v/>
      </c>
      <c r="T121" s="4" t="e">
        <f t="shared" si="99"/>
        <v>#VALUE!</v>
      </c>
      <c r="U121" s="4" t="e">
        <f t="shared" si="100"/>
        <v>#VALUE!</v>
      </c>
      <c r="V121" s="4" t="b">
        <f t="shared" si="85"/>
        <v>0</v>
      </c>
      <c r="W121" s="13" t="str">
        <f t="shared" si="86"/>
        <v>Да</v>
      </c>
      <c r="X121" s="4" t="e">
        <f>(IF(COUNTIFS($G$2:G121,"+",$W$2:W121,"Да")&gt;1,"&amp; ","")&amp;D121&amp;J121&amp;E121&amp;SUBSTITUTE(L121,"""",""))</f>
        <v>#VALUE!</v>
      </c>
      <c r="Y121" s="4" t="e">
        <f t="shared" si="87"/>
        <v>#VALUE!</v>
      </c>
    </row>
    <row r="122" spans="1:25" x14ac:dyDescent="0.3">
      <c r="A122" s="11"/>
      <c r="B122" s="5" t="str">
        <f t="shared" si="88"/>
        <v/>
      </c>
      <c r="C122" s="5" t="str">
        <f t="shared" si="89"/>
        <v/>
      </c>
      <c r="D122" s="4" t="s">
        <v>10</v>
      </c>
      <c r="E122" s="4" t="s">
        <v>11</v>
      </c>
      <c r="F122" s="4" t="str">
        <f t="shared" si="117"/>
        <v>!!!</v>
      </c>
      <c r="G122" s="4" t="str">
        <f t="shared" si="91"/>
        <v>+</v>
      </c>
      <c r="H122" s="4"/>
      <c r="I122" s="4" t="str">
        <f t="shared" si="118"/>
        <v>!!!</v>
      </c>
      <c r="J122" s="4" t="e">
        <f t="shared" si="119"/>
        <v>#VALUE!</v>
      </c>
      <c r="K122" s="4" t="e">
        <f t="shared" si="120"/>
        <v>#VALUE!</v>
      </c>
      <c r="L122" s="4" t="e">
        <f t="shared" si="121"/>
        <v>#VALUE!</v>
      </c>
      <c r="M122" s="4">
        <f t="shared" si="96"/>
        <v>1000</v>
      </c>
      <c r="N122" s="4">
        <f t="shared" ref="N122:O122" si="160">MIN(IFERROR(FIND(" ",$C122,M122+1),1000))</f>
        <v>1000</v>
      </c>
      <c r="O122" s="4">
        <f t="shared" si="160"/>
        <v>1000</v>
      </c>
      <c r="P122" s="4">
        <f t="shared" si="98"/>
        <v>0</v>
      </c>
      <c r="Q122" s="4" t="str">
        <f t="shared" si="82"/>
        <v/>
      </c>
      <c r="R122" s="4" t="str">
        <f t="shared" si="83"/>
        <v/>
      </c>
      <c r="S122" s="4" t="str">
        <f t="shared" si="84"/>
        <v/>
      </c>
      <c r="T122" s="4" t="e">
        <f t="shared" si="99"/>
        <v>#VALUE!</v>
      </c>
      <c r="U122" s="4" t="e">
        <f t="shared" si="100"/>
        <v>#VALUE!</v>
      </c>
      <c r="V122" s="4" t="b">
        <f t="shared" si="85"/>
        <v>0</v>
      </c>
      <c r="W122" s="13" t="str">
        <f t="shared" si="86"/>
        <v>Да</v>
      </c>
      <c r="X122" s="4" t="e">
        <f>(IF(COUNTIFS($G$2:G122,"+",$W$2:W122,"Да")&gt;1,"&amp; ","")&amp;D122&amp;J122&amp;E122&amp;SUBSTITUTE(L122,"""",""))</f>
        <v>#VALUE!</v>
      </c>
      <c r="Y122" s="4" t="e">
        <f t="shared" si="87"/>
        <v>#VALUE!</v>
      </c>
    </row>
    <row r="123" spans="1:25" x14ac:dyDescent="0.3">
      <c r="A123" s="11"/>
      <c r="B123" s="5" t="str">
        <f t="shared" si="88"/>
        <v/>
      </c>
      <c r="C123" s="5" t="str">
        <f t="shared" si="89"/>
        <v/>
      </c>
      <c r="D123" s="4" t="s">
        <v>10</v>
      </c>
      <c r="E123" s="4" t="s">
        <v>11</v>
      </c>
      <c r="F123" s="4" t="str">
        <f t="shared" si="117"/>
        <v>!!!</v>
      </c>
      <c r="G123" s="4" t="str">
        <f t="shared" si="91"/>
        <v>+</v>
      </c>
      <c r="H123" s="4"/>
      <c r="I123" s="4" t="str">
        <f t="shared" si="118"/>
        <v>!!!</v>
      </c>
      <c r="J123" s="4" t="e">
        <f t="shared" si="119"/>
        <v>#VALUE!</v>
      </c>
      <c r="K123" s="4" t="e">
        <f t="shared" si="120"/>
        <v>#VALUE!</v>
      </c>
      <c r="L123" s="4" t="e">
        <f t="shared" si="121"/>
        <v>#VALUE!</v>
      </c>
      <c r="M123" s="4">
        <f t="shared" si="96"/>
        <v>1000</v>
      </c>
      <c r="N123" s="4">
        <f t="shared" ref="N123:O123" si="161">MIN(IFERROR(FIND(" ",$C123,M123+1),1000))</f>
        <v>1000</v>
      </c>
      <c r="O123" s="4">
        <f t="shared" si="161"/>
        <v>1000</v>
      </c>
      <c r="P123" s="4">
        <f t="shared" si="98"/>
        <v>0</v>
      </c>
      <c r="Q123" s="4" t="str">
        <f t="shared" si="82"/>
        <v/>
      </c>
      <c r="R123" s="4" t="str">
        <f t="shared" si="83"/>
        <v/>
      </c>
      <c r="S123" s="4" t="str">
        <f t="shared" si="84"/>
        <v/>
      </c>
      <c r="T123" s="4" t="e">
        <f t="shared" si="99"/>
        <v>#VALUE!</v>
      </c>
      <c r="U123" s="4" t="e">
        <f t="shared" si="100"/>
        <v>#VALUE!</v>
      </c>
      <c r="V123" s="4" t="b">
        <f t="shared" si="85"/>
        <v>0</v>
      </c>
      <c r="W123" s="13" t="str">
        <f t="shared" si="86"/>
        <v>Да</v>
      </c>
      <c r="X123" s="4" t="e">
        <f>(IF(COUNTIFS($G$2:G123,"+",$W$2:W123,"Да")&gt;1,"&amp; ","")&amp;D123&amp;J123&amp;E123&amp;SUBSTITUTE(L123,"""",""))</f>
        <v>#VALUE!</v>
      </c>
      <c r="Y123" s="4" t="e">
        <f t="shared" si="87"/>
        <v>#VALUE!</v>
      </c>
    </row>
    <row r="124" spans="1:25" x14ac:dyDescent="0.3">
      <c r="A124" s="11"/>
      <c r="B124" s="5" t="str">
        <f t="shared" si="88"/>
        <v/>
      </c>
      <c r="C124" s="5" t="str">
        <f t="shared" si="89"/>
        <v/>
      </c>
      <c r="D124" s="4" t="s">
        <v>10</v>
      </c>
      <c r="E124" s="4" t="s">
        <v>11</v>
      </c>
      <c r="F124" s="4" t="str">
        <f t="shared" si="117"/>
        <v>!!!</v>
      </c>
      <c r="G124" s="4" t="str">
        <f t="shared" si="91"/>
        <v>+</v>
      </c>
      <c r="H124" s="4"/>
      <c r="I124" s="4" t="str">
        <f t="shared" si="118"/>
        <v>!!!</v>
      </c>
      <c r="J124" s="4" t="e">
        <f t="shared" si="119"/>
        <v>#VALUE!</v>
      </c>
      <c r="K124" s="4" t="e">
        <f t="shared" si="120"/>
        <v>#VALUE!</v>
      </c>
      <c r="L124" s="4" t="e">
        <f t="shared" si="121"/>
        <v>#VALUE!</v>
      </c>
      <c r="M124" s="4">
        <f t="shared" si="96"/>
        <v>1000</v>
      </c>
      <c r="N124" s="4">
        <f t="shared" ref="N124:O124" si="162">MIN(IFERROR(FIND(" ",$C124,M124+1),1000))</f>
        <v>1000</v>
      </c>
      <c r="O124" s="4">
        <f t="shared" si="162"/>
        <v>1000</v>
      </c>
      <c r="P124" s="4">
        <f t="shared" si="98"/>
        <v>0</v>
      </c>
      <c r="Q124" s="4" t="str">
        <f t="shared" si="82"/>
        <v/>
      </c>
      <c r="R124" s="4" t="str">
        <f t="shared" si="83"/>
        <v/>
      </c>
      <c r="S124" s="4" t="str">
        <f t="shared" si="84"/>
        <v/>
      </c>
      <c r="T124" s="4" t="e">
        <f t="shared" si="99"/>
        <v>#VALUE!</v>
      </c>
      <c r="U124" s="4" t="e">
        <f t="shared" si="100"/>
        <v>#VALUE!</v>
      </c>
      <c r="V124" s="4" t="b">
        <f t="shared" si="85"/>
        <v>0</v>
      </c>
      <c r="W124" s="13" t="str">
        <f t="shared" si="86"/>
        <v>Да</v>
      </c>
      <c r="X124" s="4" t="e">
        <f>(IF(COUNTIFS($G$2:G124,"+",$W$2:W124,"Да")&gt;1,"&amp; ","")&amp;D124&amp;J124&amp;E124&amp;SUBSTITUTE(L124,"""",""))</f>
        <v>#VALUE!</v>
      </c>
      <c r="Y124" s="4" t="e">
        <f t="shared" si="87"/>
        <v>#VALUE!</v>
      </c>
    </row>
    <row r="125" spans="1:25" x14ac:dyDescent="0.3">
      <c r="A125" s="11"/>
      <c r="B125" s="5" t="str">
        <f t="shared" si="88"/>
        <v/>
      </c>
      <c r="C125" s="5" t="str">
        <f t="shared" si="89"/>
        <v/>
      </c>
      <c r="D125" s="4" t="s">
        <v>10</v>
      </c>
      <c r="E125" s="4" t="s">
        <v>11</v>
      </c>
      <c r="F125" s="4" t="str">
        <f t="shared" si="117"/>
        <v>!!!</v>
      </c>
      <c r="G125" s="4" t="str">
        <f t="shared" si="91"/>
        <v>+</v>
      </c>
      <c r="H125" s="4"/>
      <c r="I125" s="4" t="str">
        <f t="shared" si="118"/>
        <v>!!!</v>
      </c>
      <c r="J125" s="4" t="e">
        <f t="shared" si="119"/>
        <v>#VALUE!</v>
      </c>
      <c r="K125" s="4" t="e">
        <f t="shared" si="120"/>
        <v>#VALUE!</v>
      </c>
      <c r="L125" s="4" t="e">
        <f t="shared" si="121"/>
        <v>#VALUE!</v>
      </c>
      <c r="M125" s="4">
        <f t="shared" si="96"/>
        <v>1000</v>
      </c>
      <c r="N125" s="4">
        <f t="shared" ref="N125:O125" si="163">MIN(IFERROR(FIND(" ",$C125,M125+1),1000))</f>
        <v>1000</v>
      </c>
      <c r="O125" s="4">
        <f t="shared" si="163"/>
        <v>1000</v>
      </c>
      <c r="P125" s="4">
        <f t="shared" si="98"/>
        <v>0</v>
      </c>
      <c r="Q125" s="4" t="str">
        <f t="shared" si="82"/>
        <v/>
      </c>
      <c r="R125" s="4" t="str">
        <f t="shared" si="83"/>
        <v/>
      </c>
      <c r="S125" s="4" t="str">
        <f t="shared" si="84"/>
        <v/>
      </c>
      <c r="T125" s="4" t="e">
        <f t="shared" si="99"/>
        <v>#VALUE!</v>
      </c>
      <c r="U125" s="4" t="e">
        <f t="shared" si="100"/>
        <v>#VALUE!</v>
      </c>
      <c r="V125" s="4" t="b">
        <f t="shared" si="85"/>
        <v>0</v>
      </c>
      <c r="W125" s="13" t="str">
        <f t="shared" si="86"/>
        <v>Да</v>
      </c>
      <c r="X125" s="4" t="e">
        <f>(IF(COUNTIFS($G$2:G125,"+",$W$2:W125,"Да")&gt;1,"&amp; ","")&amp;D125&amp;J125&amp;E125&amp;SUBSTITUTE(L125,"""",""))</f>
        <v>#VALUE!</v>
      </c>
      <c r="Y125" s="4" t="e">
        <f t="shared" si="87"/>
        <v>#VALUE!</v>
      </c>
    </row>
    <row r="126" spans="1:25" x14ac:dyDescent="0.3">
      <c r="A126" s="11"/>
      <c r="B126" s="5" t="str">
        <f t="shared" si="88"/>
        <v/>
      </c>
      <c r="C126" s="5" t="str">
        <f t="shared" si="89"/>
        <v/>
      </c>
      <c r="D126" s="4" t="s">
        <v>10</v>
      </c>
      <c r="E126" s="4" t="s">
        <v>11</v>
      </c>
      <c r="F126" s="4" t="str">
        <f t="shared" si="117"/>
        <v>!!!</v>
      </c>
      <c r="G126" s="4" t="str">
        <f t="shared" si="91"/>
        <v>+</v>
      </c>
      <c r="H126" s="4"/>
      <c r="I126" s="4" t="str">
        <f t="shared" si="118"/>
        <v>!!!</v>
      </c>
      <c r="J126" s="4" t="e">
        <f t="shared" si="119"/>
        <v>#VALUE!</v>
      </c>
      <c r="K126" s="4" t="e">
        <f t="shared" si="120"/>
        <v>#VALUE!</v>
      </c>
      <c r="L126" s="4" t="e">
        <f t="shared" si="121"/>
        <v>#VALUE!</v>
      </c>
      <c r="M126" s="4">
        <f t="shared" si="96"/>
        <v>1000</v>
      </c>
      <c r="N126" s="4">
        <f t="shared" ref="N126:O126" si="164">MIN(IFERROR(FIND(" ",$C126,M126+1),1000))</f>
        <v>1000</v>
      </c>
      <c r="O126" s="4">
        <f t="shared" si="164"/>
        <v>1000</v>
      </c>
      <c r="P126" s="4">
        <f t="shared" si="98"/>
        <v>0</v>
      </c>
      <c r="Q126" s="4" t="str">
        <f t="shared" si="82"/>
        <v/>
      </c>
      <c r="R126" s="4" t="str">
        <f t="shared" si="83"/>
        <v/>
      </c>
      <c r="S126" s="4" t="str">
        <f t="shared" si="84"/>
        <v/>
      </c>
      <c r="T126" s="4" t="e">
        <f t="shared" si="99"/>
        <v>#VALUE!</v>
      </c>
      <c r="U126" s="4" t="e">
        <f t="shared" si="100"/>
        <v>#VALUE!</v>
      </c>
      <c r="V126" s="4" t="b">
        <f t="shared" si="85"/>
        <v>0</v>
      </c>
      <c r="W126" s="13" t="str">
        <f t="shared" si="86"/>
        <v>Да</v>
      </c>
      <c r="X126" s="4" t="e">
        <f>(IF(COUNTIFS($G$2:G126,"+",$W$2:W126,"Да")&gt;1,"&amp; ","")&amp;D126&amp;J126&amp;E126&amp;SUBSTITUTE(L126,"""",""))</f>
        <v>#VALUE!</v>
      </c>
      <c r="Y126" s="4" t="e">
        <f t="shared" si="87"/>
        <v>#VALUE!</v>
      </c>
    </row>
    <row r="127" spans="1:25" x14ac:dyDescent="0.3">
      <c r="A127" s="11"/>
      <c r="B127" s="5" t="str">
        <f t="shared" si="88"/>
        <v/>
      </c>
      <c r="C127" s="5" t="str">
        <f t="shared" si="89"/>
        <v/>
      </c>
      <c r="D127" s="4" t="s">
        <v>10</v>
      </c>
      <c r="E127" s="4" t="s">
        <v>11</v>
      </c>
      <c r="F127" s="4" t="str">
        <f t="shared" si="117"/>
        <v>!!!</v>
      </c>
      <c r="G127" s="4" t="str">
        <f t="shared" si="91"/>
        <v>+</v>
      </c>
      <c r="H127" s="4"/>
      <c r="I127" s="4" t="str">
        <f t="shared" si="118"/>
        <v>!!!</v>
      </c>
      <c r="J127" s="4" t="e">
        <f t="shared" si="119"/>
        <v>#VALUE!</v>
      </c>
      <c r="K127" s="4" t="e">
        <f t="shared" si="120"/>
        <v>#VALUE!</v>
      </c>
      <c r="L127" s="4" t="e">
        <f t="shared" si="121"/>
        <v>#VALUE!</v>
      </c>
      <c r="M127" s="4">
        <f t="shared" si="96"/>
        <v>1000</v>
      </c>
      <c r="N127" s="4">
        <f t="shared" ref="N127:O127" si="165">MIN(IFERROR(FIND(" ",$C127,M127+1),1000))</f>
        <v>1000</v>
      </c>
      <c r="O127" s="4">
        <f t="shared" si="165"/>
        <v>1000</v>
      </c>
      <c r="P127" s="4">
        <f t="shared" si="98"/>
        <v>0</v>
      </c>
      <c r="Q127" s="4" t="str">
        <f t="shared" si="82"/>
        <v/>
      </c>
      <c r="R127" s="4" t="str">
        <f t="shared" si="83"/>
        <v/>
      </c>
      <c r="S127" s="4" t="str">
        <f t="shared" si="84"/>
        <v/>
      </c>
      <c r="T127" s="4" t="e">
        <f t="shared" si="99"/>
        <v>#VALUE!</v>
      </c>
      <c r="U127" s="4" t="e">
        <f t="shared" si="100"/>
        <v>#VALUE!</v>
      </c>
      <c r="V127" s="4" t="b">
        <f t="shared" si="85"/>
        <v>0</v>
      </c>
      <c r="W127" s="13" t="str">
        <f t="shared" si="86"/>
        <v>Да</v>
      </c>
      <c r="X127" s="4" t="e">
        <f>(IF(COUNTIFS($G$2:G127,"+",$W$2:W127,"Да")&gt;1,"&amp; ","")&amp;D127&amp;J127&amp;E127&amp;SUBSTITUTE(L127,"""",""))</f>
        <v>#VALUE!</v>
      </c>
      <c r="Y127" s="4" t="e">
        <f t="shared" si="87"/>
        <v>#VALUE!</v>
      </c>
    </row>
    <row r="128" spans="1:25" x14ac:dyDescent="0.3">
      <c r="A128" s="11"/>
      <c r="B128" s="5" t="str">
        <f t="shared" si="88"/>
        <v/>
      </c>
      <c r="C128" s="5" t="str">
        <f t="shared" si="89"/>
        <v/>
      </c>
      <c r="D128" s="4" t="s">
        <v>10</v>
      </c>
      <c r="E128" s="4" t="s">
        <v>11</v>
      </c>
      <c r="F128" s="4" t="str">
        <f t="shared" si="117"/>
        <v>!!!</v>
      </c>
      <c r="G128" s="4" t="str">
        <f t="shared" si="91"/>
        <v>+</v>
      </c>
      <c r="H128" s="4"/>
      <c r="I128" s="4" t="str">
        <f t="shared" si="118"/>
        <v>!!!</v>
      </c>
      <c r="J128" s="4" t="e">
        <f t="shared" si="119"/>
        <v>#VALUE!</v>
      </c>
      <c r="K128" s="4" t="e">
        <f t="shared" si="120"/>
        <v>#VALUE!</v>
      </c>
      <c r="L128" s="4" t="e">
        <f t="shared" si="121"/>
        <v>#VALUE!</v>
      </c>
      <c r="M128" s="4">
        <f t="shared" si="96"/>
        <v>1000</v>
      </c>
      <c r="N128" s="4">
        <f t="shared" ref="N128:O128" si="166">MIN(IFERROR(FIND(" ",$C128,M128+1),1000))</f>
        <v>1000</v>
      </c>
      <c r="O128" s="4">
        <f t="shared" si="166"/>
        <v>1000</v>
      </c>
      <c r="P128" s="4">
        <f t="shared" si="98"/>
        <v>0</v>
      </c>
      <c r="Q128" s="4" t="str">
        <f t="shared" si="82"/>
        <v/>
      </c>
      <c r="R128" s="4" t="str">
        <f t="shared" si="83"/>
        <v/>
      </c>
      <c r="S128" s="4" t="str">
        <f t="shared" si="84"/>
        <v/>
      </c>
      <c r="T128" s="4" t="e">
        <f t="shared" si="99"/>
        <v>#VALUE!</v>
      </c>
      <c r="U128" s="4" t="e">
        <f t="shared" si="100"/>
        <v>#VALUE!</v>
      </c>
      <c r="V128" s="4" t="b">
        <f t="shared" si="85"/>
        <v>0</v>
      </c>
      <c r="W128" s="13" t="str">
        <f t="shared" si="86"/>
        <v>Да</v>
      </c>
      <c r="X128" s="4" t="e">
        <f>(IF(COUNTIFS($G$2:G128,"+",$W$2:W128,"Да")&gt;1,"&amp; ","")&amp;D128&amp;J128&amp;E128&amp;SUBSTITUTE(L128,"""",""))</f>
        <v>#VALUE!</v>
      </c>
      <c r="Y128" s="4" t="e">
        <f t="shared" si="87"/>
        <v>#VALUE!</v>
      </c>
    </row>
    <row r="129" spans="1:25" x14ac:dyDescent="0.3">
      <c r="A129" s="11"/>
      <c r="B129" s="5" t="str">
        <f t="shared" si="88"/>
        <v/>
      </c>
      <c r="C129" s="5" t="str">
        <f t="shared" si="89"/>
        <v/>
      </c>
      <c r="D129" s="4" t="s">
        <v>10</v>
      </c>
      <c r="E129" s="4" t="s">
        <v>11</v>
      </c>
      <c r="F129" s="4" t="str">
        <f t="shared" si="117"/>
        <v>!!!</v>
      </c>
      <c r="G129" s="4" t="str">
        <f t="shared" si="91"/>
        <v>+</v>
      </c>
      <c r="H129" s="4"/>
      <c r="I129" s="4" t="str">
        <f t="shared" si="118"/>
        <v>!!!</v>
      </c>
      <c r="J129" s="4" t="e">
        <f t="shared" si="119"/>
        <v>#VALUE!</v>
      </c>
      <c r="K129" s="4" t="e">
        <f t="shared" si="120"/>
        <v>#VALUE!</v>
      </c>
      <c r="L129" s="4" t="e">
        <f t="shared" si="121"/>
        <v>#VALUE!</v>
      </c>
      <c r="M129" s="4">
        <f t="shared" si="96"/>
        <v>1000</v>
      </c>
      <c r="N129" s="4">
        <f t="shared" ref="N129:O129" si="167">MIN(IFERROR(FIND(" ",$C129,M129+1),1000))</f>
        <v>1000</v>
      </c>
      <c r="O129" s="4">
        <f t="shared" si="167"/>
        <v>1000</v>
      </c>
      <c r="P129" s="4">
        <f t="shared" si="98"/>
        <v>0</v>
      </c>
      <c r="Q129" s="4" t="str">
        <f t="shared" si="82"/>
        <v/>
      </c>
      <c r="R129" s="4" t="str">
        <f t="shared" si="83"/>
        <v/>
      </c>
      <c r="S129" s="4" t="str">
        <f t="shared" si="84"/>
        <v/>
      </c>
      <c r="T129" s="4" t="e">
        <f t="shared" si="99"/>
        <v>#VALUE!</v>
      </c>
      <c r="U129" s="4" t="e">
        <f t="shared" si="100"/>
        <v>#VALUE!</v>
      </c>
      <c r="V129" s="4" t="b">
        <f t="shared" si="85"/>
        <v>0</v>
      </c>
      <c r="W129" s="13" t="str">
        <f t="shared" si="86"/>
        <v>Да</v>
      </c>
      <c r="X129" s="4" t="e">
        <f>(IF(COUNTIFS($G$2:G129,"+",$W$2:W129,"Да")&gt;1,"&amp; ","")&amp;D129&amp;J129&amp;E129&amp;SUBSTITUTE(L129,"""",""))</f>
        <v>#VALUE!</v>
      </c>
      <c r="Y129" s="4" t="e">
        <f t="shared" si="87"/>
        <v>#VALUE!</v>
      </c>
    </row>
    <row r="130" spans="1:25" x14ac:dyDescent="0.3">
      <c r="A130" s="11"/>
      <c r="B130" s="5" t="str">
        <f t="shared" si="88"/>
        <v/>
      </c>
      <c r="C130" s="5" t="str">
        <f t="shared" si="89"/>
        <v/>
      </c>
      <c r="D130" s="4" t="s">
        <v>10</v>
      </c>
      <c r="E130" s="4" t="s">
        <v>11</v>
      </c>
      <c r="F130" s="4" t="str">
        <f t="shared" si="117"/>
        <v>!!!</v>
      </c>
      <c r="G130" s="4" t="str">
        <f t="shared" si="91"/>
        <v>+</v>
      </c>
      <c r="H130" s="4"/>
      <c r="I130" s="4" t="str">
        <f t="shared" si="118"/>
        <v>!!!</v>
      </c>
      <c r="J130" s="4" t="e">
        <f t="shared" si="119"/>
        <v>#VALUE!</v>
      </c>
      <c r="K130" s="4" t="e">
        <f t="shared" si="120"/>
        <v>#VALUE!</v>
      </c>
      <c r="L130" s="4" t="e">
        <f t="shared" si="121"/>
        <v>#VALUE!</v>
      </c>
      <c r="M130" s="4">
        <f t="shared" si="96"/>
        <v>1000</v>
      </c>
      <c r="N130" s="4">
        <f t="shared" ref="N130:O130" si="168">MIN(IFERROR(FIND(" ",$C130,M130+1),1000))</f>
        <v>1000</v>
      </c>
      <c r="O130" s="4">
        <f t="shared" si="168"/>
        <v>1000</v>
      </c>
      <c r="P130" s="4">
        <f t="shared" si="98"/>
        <v>0</v>
      </c>
      <c r="Q130" s="4" t="str">
        <f t="shared" ref="Q130:Q193" si="169">LEFT(C130,M130-1)</f>
        <v/>
      </c>
      <c r="R130" s="4" t="str">
        <f t="shared" ref="R130:R193" si="170">IFERROR(MID(C130,N130+1,O130-N130-1),"")</f>
        <v/>
      </c>
      <c r="S130" s="4" t="str">
        <f t="shared" ref="S130:S193" si="171">IFERROR(IF(LEFT(A129,1)="'",SUBSTITUTE(A129,"'",""),""),"")</f>
        <v/>
      </c>
      <c r="T130" s="4" t="e">
        <f t="shared" si="99"/>
        <v>#VALUE!</v>
      </c>
      <c r="U130" s="4" t="e">
        <f t="shared" si="100"/>
        <v>#VALUE!</v>
      </c>
      <c r="V130" s="4" t="b">
        <f t="shared" ref="V130:V193" si="172">OR(IFERROR(MATCH(U130,Q:Q,0),0)&lt;&gt;0,IFERROR(MATCH(U130,R:R,0),0)&lt;&gt;0)</f>
        <v>0</v>
      </c>
      <c r="W130" s="13" t="str">
        <f t="shared" ref="W130:W193" si="173">IF(A130="","Да",IF(OR(F130="!!!",NOT(V130)),"Нет","Да"))</f>
        <v>Да</v>
      </c>
      <c r="X130" s="4" t="e">
        <f>(IF(COUNTIFS($G$2:G130,"+",$W$2:W130,"Да")&gt;1,"&amp; ","")&amp;D130&amp;J130&amp;E130&amp;SUBSTITUTE(L130,"""",""))</f>
        <v>#VALUE!</v>
      </c>
      <c r="Y130" s="4" t="e">
        <f t="shared" ref="Y130:Y193" si="174">IF(S130="",X130,LEFT(X130,FIND(":",X130))&amp;" "&amp;S130)</f>
        <v>#VALUE!</v>
      </c>
    </row>
    <row r="131" spans="1:25" x14ac:dyDescent="0.3">
      <c r="A131" s="11"/>
      <c r="B131" s="5" t="str">
        <f t="shared" ref="B131:B194" si="175">TRIM(LEFT(A131,IFERROR(FIND("'",A131)-1,1000)))</f>
        <v/>
      </c>
      <c r="C131" s="5" t="str">
        <f t="shared" ref="C131:C194" si="176">SUBSTITUTE(SUBSTITUTE(SUBSTITUTE(SUBSTITUTE(TRIM(LEFT(A131,IFERROR(FIND("'",A131)-1,1000))),"&lt;&lt;","&lt;"),"--","-"),"&gt;&gt;","&gt;"),"&amp;","")</f>
        <v/>
      </c>
      <c r="D131" s="4" t="s">
        <v>10</v>
      </c>
      <c r="E131" s="4" t="s">
        <v>11</v>
      </c>
      <c r="F131" s="4" t="str">
        <f t="shared" si="117"/>
        <v>!!!</v>
      </c>
      <c r="G131" s="4" t="str">
        <f t="shared" ref="G131:G194" si="177">IF(AND($A$2="",$A$3="",$A$4="",$A$5=""),"+",IF(F131="!!!","X","+"))</f>
        <v>+</v>
      </c>
      <c r="H131" s="4"/>
      <c r="I131" s="4" t="str">
        <f t="shared" si="118"/>
        <v>!!!</v>
      </c>
      <c r="J131" s="4" t="e">
        <f t="shared" si="119"/>
        <v>#VALUE!</v>
      </c>
      <c r="K131" s="4" t="e">
        <f t="shared" si="120"/>
        <v>#VALUE!</v>
      </c>
      <c r="L131" s="4" t="e">
        <f t="shared" si="121"/>
        <v>#VALUE!</v>
      </c>
      <c r="M131" s="4">
        <f t="shared" ref="M131:M194" si="178">MIN(IFERROR(FIND(" ",$C131),1000))</f>
        <v>1000</v>
      </c>
      <c r="N131" s="4">
        <f t="shared" ref="N131:O131" si="179">MIN(IFERROR(FIND(" ",$C131,M131+1),1000))</f>
        <v>1000</v>
      </c>
      <c r="O131" s="4">
        <f t="shared" si="179"/>
        <v>1000</v>
      </c>
      <c r="P131" s="4">
        <f t="shared" ref="P131:P194" si="180">MIN(IFERROR(FIND(" ",C131,O131+1),0),IFERROR(FIND("&lt;",C131,O131+1),0),IFERROR(FIND(":",C131,O131+1),0))</f>
        <v>0</v>
      </c>
      <c r="Q131" s="4" t="str">
        <f t="shared" si="169"/>
        <v/>
      </c>
      <c r="R131" s="4" t="str">
        <f t="shared" si="170"/>
        <v/>
      </c>
      <c r="S131" s="4" t="str">
        <f t="shared" si="171"/>
        <v/>
      </c>
      <c r="T131" s="4" t="e">
        <f t="shared" ref="T131:T194" si="181">FIND(" ",C131,FIND("as",C131))+1</f>
        <v>#VALUE!</v>
      </c>
      <c r="U131" s="4" t="e">
        <f t="shared" ref="U131:U194" si="182">MID(C131,T131,MIN(FIND(" ",C131,T131),FIND("&lt;",C131,T131))-T131)</f>
        <v>#VALUE!</v>
      </c>
      <c r="V131" s="4" t="b">
        <f t="shared" si="172"/>
        <v>0</v>
      </c>
      <c r="W131" s="13" t="str">
        <f t="shared" si="173"/>
        <v>Да</v>
      </c>
      <c r="X131" s="4" t="e">
        <f>(IF(COUNTIFS($G$2:G131,"+",$W$2:W131,"Да")&gt;1,"&amp; ","")&amp;D131&amp;J131&amp;E131&amp;SUBSTITUTE(L131,"""",""))</f>
        <v>#VALUE!</v>
      </c>
      <c r="Y131" s="4" t="e">
        <f t="shared" si="174"/>
        <v>#VALUE!</v>
      </c>
    </row>
    <row r="132" spans="1:25" x14ac:dyDescent="0.3">
      <c r="A132" s="11"/>
      <c r="B132" s="5" t="str">
        <f t="shared" si="175"/>
        <v/>
      </c>
      <c r="C132" s="5" t="str">
        <f t="shared" si="176"/>
        <v/>
      </c>
      <c r="D132" s="4" t="s">
        <v>10</v>
      </c>
      <c r="E132" s="4" t="s">
        <v>11</v>
      </c>
      <c r="F132" s="4" t="str">
        <f t="shared" si="117"/>
        <v>!!!</v>
      </c>
      <c r="G132" s="4" t="str">
        <f t="shared" si="177"/>
        <v>+</v>
      </c>
      <c r="H132" s="4"/>
      <c r="I132" s="4" t="str">
        <f t="shared" si="118"/>
        <v>!!!</v>
      </c>
      <c r="J132" s="4" t="e">
        <f t="shared" si="119"/>
        <v>#VALUE!</v>
      </c>
      <c r="K132" s="4" t="e">
        <f t="shared" si="120"/>
        <v>#VALUE!</v>
      </c>
      <c r="L132" s="4" t="e">
        <f t="shared" si="121"/>
        <v>#VALUE!</v>
      </c>
      <c r="M132" s="4">
        <f t="shared" si="178"/>
        <v>1000</v>
      </c>
      <c r="N132" s="4">
        <f t="shared" ref="N132:O132" si="183">MIN(IFERROR(FIND(" ",$C132,M132+1),1000))</f>
        <v>1000</v>
      </c>
      <c r="O132" s="4">
        <f t="shared" si="183"/>
        <v>1000</v>
      </c>
      <c r="P132" s="4">
        <f t="shared" si="180"/>
        <v>0</v>
      </c>
      <c r="Q132" s="4" t="str">
        <f t="shared" si="169"/>
        <v/>
      </c>
      <c r="R132" s="4" t="str">
        <f t="shared" si="170"/>
        <v/>
      </c>
      <c r="S132" s="4" t="str">
        <f t="shared" si="171"/>
        <v/>
      </c>
      <c r="T132" s="4" t="e">
        <f t="shared" si="181"/>
        <v>#VALUE!</v>
      </c>
      <c r="U132" s="4" t="e">
        <f t="shared" si="182"/>
        <v>#VALUE!</v>
      </c>
      <c r="V132" s="4" t="b">
        <f t="shared" si="172"/>
        <v>0</v>
      </c>
      <c r="W132" s="13" t="str">
        <f t="shared" si="173"/>
        <v>Да</v>
      </c>
      <c r="X132" s="4" t="e">
        <f>(IF(COUNTIFS($G$2:G132,"+",$W$2:W132,"Да")&gt;1,"&amp; ","")&amp;D132&amp;J132&amp;E132&amp;SUBSTITUTE(L132,"""",""))</f>
        <v>#VALUE!</v>
      </c>
      <c r="Y132" s="4" t="e">
        <f t="shared" si="174"/>
        <v>#VALUE!</v>
      </c>
    </row>
    <row r="133" spans="1:25" x14ac:dyDescent="0.3">
      <c r="A133" s="11"/>
      <c r="B133" s="5" t="str">
        <f t="shared" si="175"/>
        <v/>
      </c>
      <c r="C133" s="5" t="str">
        <f t="shared" si="176"/>
        <v/>
      </c>
      <c r="D133" s="4" t="s">
        <v>10</v>
      </c>
      <c r="E133" s="4" t="s">
        <v>11</v>
      </c>
      <c r="F133" s="4" t="str">
        <f t="shared" si="117"/>
        <v>!!!</v>
      </c>
      <c r="G133" s="4" t="str">
        <f t="shared" si="177"/>
        <v>+</v>
      </c>
      <c r="H133" s="4"/>
      <c r="I133" s="4" t="str">
        <f t="shared" si="118"/>
        <v>!!!</v>
      </c>
      <c r="J133" s="4" t="e">
        <f t="shared" si="119"/>
        <v>#VALUE!</v>
      </c>
      <c r="K133" s="4" t="e">
        <f t="shared" si="120"/>
        <v>#VALUE!</v>
      </c>
      <c r="L133" s="4" t="e">
        <f t="shared" si="121"/>
        <v>#VALUE!</v>
      </c>
      <c r="M133" s="4">
        <f t="shared" si="178"/>
        <v>1000</v>
      </c>
      <c r="N133" s="4">
        <f t="shared" ref="N133:O133" si="184">MIN(IFERROR(FIND(" ",$C133,M133+1),1000))</f>
        <v>1000</v>
      </c>
      <c r="O133" s="4">
        <f t="shared" si="184"/>
        <v>1000</v>
      </c>
      <c r="P133" s="4">
        <f t="shared" si="180"/>
        <v>0</v>
      </c>
      <c r="Q133" s="4" t="str">
        <f t="shared" si="169"/>
        <v/>
      </c>
      <c r="R133" s="4" t="str">
        <f t="shared" si="170"/>
        <v/>
      </c>
      <c r="S133" s="4" t="str">
        <f t="shared" si="171"/>
        <v/>
      </c>
      <c r="T133" s="4" t="e">
        <f t="shared" si="181"/>
        <v>#VALUE!</v>
      </c>
      <c r="U133" s="4" t="e">
        <f t="shared" si="182"/>
        <v>#VALUE!</v>
      </c>
      <c r="V133" s="4" t="b">
        <f t="shared" si="172"/>
        <v>0</v>
      </c>
      <c r="W133" s="13" t="str">
        <f t="shared" si="173"/>
        <v>Да</v>
      </c>
      <c r="X133" s="4" t="e">
        <f>(IF(COUNTIFS($G$2:G133,"+",$W$2:W133,"Да")&gt;1,"&amp; ","")&amp;D133&amp;J133&amp;E133&amp;SUBSTITUTE(L133,"""",""))</f>
        <v>#VALUE!</v>
      </c>
      <c r="Y133" s="4" t="e">
        <f t="shared" si="174"/>
        <v>#VALUE!</v>
      </c>
    </row>
    <row r="134" spans="1:25" x14ac:dyDescent="0.3">
      <c r="A134" s="11"/>
      <c r="B134" s="5" t="str">
        <f t="shared" si="175"/>
        <v/>
      </c>
      <c r="C134" s="5" t="str">
        <f t="shared" si="176"/>
        <v/>
      </c>
      <c r="D134" s="4" t="s">
        <v>10</v>
      </c>
      <c r="E134" s="4" t="s">
        <v>11</v>
      </c>
      <c r="F134" s="4" t="str">
        <f t="shared" si="117"/>
        <v>!!!</v>
      </c>
      <c r="G134" s="4" t="str">
        <f t="shared" si="177"/>
        <v>+</v>
      </c>
      <c r="H134" s="4"/>
      <c r="I134" s="4" t="str">
        <f t="shared" si="118"/>
        <v>!!!</v>
      </c>
      <c r="J134" s="4" t="e">
        <f t="shared" si="119"/>
        <v>#VALUE!</v>
      </c>
      <c r="K134" s="4" t="e">
        <f t="shared" si="120"/>
        <v>#VALUE!</v>
      </c>
      <c r="L134" s="4" t="e">
        <f t="shared" si="121"/>
        <v>#VALUE!</v>
      </c>
      <c r="M134" s="4">
        <f t="shared" si="178"/>
        <v>1000</v>
      </c>
      <c r="N134" s="4">
        <f t="shared" ref="N134:O134" si="185">MIN(IFERROR(FIND(" ",$C134,M134+1),1000))</f>
        <v>1000</v>
      </c>
      <c r="O134" s="4">
        <f t="shared" si="185"/>
        <v>1000</v>
      </c>
      <c r="P134" s="4">
        <f t="shared" si="180"/>
        <v>0</v>
      </c>
      <c r="Q134" s="4" t="str">
        <f t="shared" si="169"/>
        <v/>
      </c>
      <c r="R134" s="4" t="str">
        <f t="shared" si="170"/>
        <v/>
      </c>
      <c r="S134" s="4" t="str">
        <f t="shared" si="171"/>
        <v/>
      </c>
      <c r="T134" s="4" t="e">
        <f t="shared" si="181"/>
        <v>#VALUE!</v>
      </c>
      <c r="U134" s="4" t="e">
        <f t="shared" si="182"/>
        <v>#VALUE!</v>
      </c>
      <c r="V134" s="4" t="b">
        <f t="shared" si="172"/>
        <v>0</v>
      </c>
      <c r="W134" s="13" t="str">
        <f t="shared" si="173"/>
        <v>Да</v>
      </c>
      <c r="X134" s="4" t="e">
        <f>(IF(COUNTIFS($G$2:G134,"+",$W$2:W134,"Да")&gt;1,"&amp; ","")&amp;D134&amp;J134&amp;E134&amp;SUBSTITUTE(L134,"""",""))</f>
        <v>#VALUE!</v>
      </c>
      <c r="Y134" s="4" t="e">
        <f t="shared" si="174"/>
        <v>#VALUE!</v>
      </c>
    </row>
    <row r="135" spans="1:25" x14ac:dyDescent="0.3">
      <c r="A135" s="11"/>
      <c r="B135" s="5" t="str">
        <f t="shared" si="175"/>
        <v/>
      </c>
      <c r="C135" s="5" t="str">
        <f t="shared" si="176"/>
        <v/>
      </c>
      <c r="D135" s="4" t="s">
        <v>10</v>
      </c>
      <c r="E135" s="4" t="s">
        <v>11</v>
      </c>
      <c r="F135" s="4" t="str">
        <f t="shared" si="117"/>
        <v>!!!</v>
      </c>
      <c r="G135" s="4" t="str">
        <f t="shared" si="177"/>
        <v>+</v>
      </c>
      <c r="H135" s="4"/>
      <c r="I135" s="4" t="str">
        <f t="shared" si="118"/>
        <v>!!!</v>
      </c>
      <c r="J135" s="4" t="e">
        <f t="shared" si="119"/>
        <v>#VALUE!</v>
      </c>
      <c r="K135" s="4" t="e">
        <f t="shared" si="120"/>
        <v>#VALUE!</v>
      </c>
      <c r="L135" s="4" t="e">
        <f t="shared" si="121"/>
        <v>#VALUE!</v>
      </c>
      <c r="M135" s="4">
        <f t="shared" si="178"/>
        <v>1000</v>
      </c>
      <c r="N135" s="4">
        <f t="shared" ref="N135:O135" si="186">MIN(IFERROR(FIND(" ",$C135,M135+1),1000))</f>
        <v>1000</v>
      </c>
      <c r="O135" s="4">
        <f t="shared" si="186"/>
        <v>1000</v>
      </c>
      <c r="P135" s="4">
        <f t="shared" si="180"/>
        <v>0</v>
      </c>
      <c r="Q135" s="4" t="str">
        <f t="shared" si="169"/>
        <v/>
      </c>
      <c r="R135" s="4" t="str">
        <f t="shared" si="170"/>
        <v/>
      </c>
      <c r="S135" s="4" t="str">
        <f t="shared" si="171"/>
        <v/>
      </c>
      <c r="T135" s="4" t="e">
        <f t="shared" si="181"/>
        <v>#VALUE!</v>
      </c>
      <c r="U135" s="4" t="e">
        <f t="shared" si="182"/>
        <v>#VALUE!</v>
      </c>
      <c r="V135" s="4" t="b">
        <f t="shared" si="172"/>
        <v>0</v>
      </c>
      <c r="W135" s="13" t="str">
        <f t="shared" si="173"/>
        <v>Да</v>
      </c>
      <c r="X135" s="4" t="e">
        <f>(IF(COUNTIFS($G$2:G135,"+",$W$2:W135,"Да")&gt;1,"&amp; ","")&amp;D135&amp;J135&amp;E135&amp;SUBSTITUTE(L135,"""",""))</f>
        <v>#VALUE!</v>
      </c>
      <c r="Y135" s="4" t="e">
        <f t="shared" si="174"/>
        <v>#VALUE!</v>
      </c>
    </row>
    <row r="136" spans="1:25" x14ac:dyDescent="0.3">
      <c r="A136" s="11"/>
      <c r="B136" s="5" t="str">
        <f t="shared" si="175"/>
        <v/>
      </c>
      <c r="C136" s="5" t="str">
        <f t="shared" si="176"/>
        <v/>
      </c>
      <c r="D136" s="4" t="s">
        <v>10</v>
      </c>
      <c r="E136" s="4" t="s">
        <v>11</v>
      </c>
      <c r="F136" s="4" t="str">
        <f t="shared" si="117"/>
        <v>!!!</v>
      </c>
      <c r="G136" s="4" t="str">
        <f t="shared" si="177"/>
        <v>+</v>
      </c>
      <c r="H136" s="4"/>
      <c r="I136" s="4" t="str">
        <f t="shared" si="118"/>
        <v>!!!</v>
      </c>
      <c r="J136" s="4" t="e">
        <f t="shared" si="119"/>
        <v>#VALUE!</v>
      </c>
      <c r="K136" s="4" t="e">
        <f t="shared" si="120"/>
        <v>#VALUE!</v>
      </c>
      <c r="L136" s="4" t="e">
        <f t="shared" si="121"/>
        <v>#VALUE!</v>
      </c>
      <c r="M136" s="4">
        <f t="shared" si="178"/>
        <v>1000</v>
      </c>
      <c r="N136" s="4">
        <f t="shared" ref="N136:O136" si="187">MIN(IFERROR(FIND(" ",$C136,M136+1),1000))</f>
        <v>1000</v>
      </c>
      <c r="O136" s="4">
        <f t="shared" si="187"/>
        <v>1000</v>
      </c>
      <c r="P136" s="4">
        <f t="shared" si="180"/>
        <v>0</v>
      </c>
      <c r="Q136" s="4" t="str">
        <f t="shared" si="169"/>
        <v/>
      </c>
      <c r="R136" s="4" t="str">
        <f t="shared" si="170"/>
        <v/>
      </c>
      <c r="S136" s="4" t="str">
        <f t="shared" si="171"/>
        <v/>
      </c>
      <c r="T136" s="4" t="e">
        <f t="shared" si="181"/>
        <v>#VALUE!</v>
      </c>
      <c r="U136" s="4" t="e">
        <f t="shared" si="182"/>
        <v>#VALUE!</v>
      </c>
      <c r="V136" s="4" t="b">
        <f t="shared" si="172"/>
        <v>0</v>
      </c>
      <c r="W136" s="13" t="str">
        <f t="shared" si="173"/>
        <v>Да</v>
      </c>
      <c r="X136" s="4" t="e">
        <f>(IF(COUNTIFS($G$2:G136,"+",$W$2:W136,"Да")&gt;1,"&amp; ","")&amp;D136&amp;J136&amp;E136&amp;SUBSTITUTE(L136,"""",""))</f>
        <v>#VALUE!</v>
      </c>
      <c r="Y136" s="4" t="e">
        <f t="shared" si="174"/>
        <v>#VALUE!</v>
      </c>
    </row>
    <row r="137" spans="1:25" x14ac:dyDescent="0.3">
      <c r="A137" s="11"/>
      <c r="B137" s="5" t="str">
        <f t="shared" si="175"/>
        <v/>
      </c>
      <c r="C137" s="5" t="str">
        <f t="shared" si="176"/>
        <v/>
      </c>
      <c r="D137" s="4" t="s">
        <v>10</v>
      </c>
      <c r="E137" s="4" t="s">
        <v>11</v>
      </c>
      <c r="F137" s="4" t="str">
        <f t="shared" si="117"/>
        <v>!!!</v>
      </c>
      <c r="G137" s="4" t="str">
        <f t="shared" si="177"/>
        <v>+</v>
      </c>
      <c r="H137" s="4"/>
      <c r="I137" s="4" t="str">
        <f t="shared" si="118"/>
        <v>!!!</v>
      </c>
      <c r="J137" s="4" t="e">
        <f t="shared" si="119"/>
        <v>#VALUE!</v>
      </c>
      <c r="K137" s="4" t="e">
        <f t="shared" si="120"/>
        <v>#VALUE!</v>
      </c>
      <c r="L137" s="4" t="e">
        <f t="shared" si="121"/>
        <v>#VALUE!</v>
      </c>
      <c r="M137" s="4">
        <f t="shared" si="178"/>
        <v>1000</v>
      </c>
      <c r="N137" s="4">
        <f t="shared" ref="N137:O137" si="188">MIN(IFERROR(FIND(" ",$C137,M137+1),1000))</f>
        <v>1000</v>
      </c>
      <c r="O137" s="4">
        <f t="shared" si="188"/>
        <v>1000</v>
      </c>
      <c r="P137" s="4">
        <f t="shared" si="180"/>
        <v>0</v>
      </c>
      <c r="Q137" s="4" t="str">
        <f t="shared" si="169"/>
        <v/>
      </c>
      <c r="R137" s="4" t="str">
        <f t="shared" si="170"/>
        <v/>
      </c>
      <c r="S137" s="4" t="str">
        <f t="shared" si="171"/>
        <v/>
      </c>
      <c r="T137" s="4" t="e">
        <f t="shared" si="181"/>
        <v>#VALUE!</v>
      </c>
      <c r="U137" s="4" t="e">
        <f t="shared" si="182"/>
        <v>#VALUE!</v>
      </c>
      <c r="V137" s="4" t="b">
        <f t="shared" si="172"/>
        <v>0</v>
      </c>
      <c r="W137" s="13" t="str">
        <f t="shared" si="173"/>
        <v>Да</v>
      </c>
      <c r="X137" s="4" t="e">
        <f>(IF(COUNTIFS($G$2:G137,"+",$W$2:W137,"Да")&gt;1,"&amp; ","")&amp;D137&amp;J137&amp;E137&amp;SUBSTITUTE(L137,"""",""))</f>
        <v>#VALUE!</v>
      </c>
      <c r="Y137" s="4" t="e">
        <f t="shared" si="174"/>
        <v>#VALUE!</v>
      </c>
    </row>
    <row r="138" spans="1:25" x14ac:dyDescent="0.3">
      <c r="A138" s="11"/>
      <c r="B138" s="5" t="str">
        <f t="shared" si="175"/>
        <v/>
      </c>
      <c r="C138" s="5" t="str">
        <f t="shared" si="176"/>
        <v/>
      </c>
      <c r="D138" s="4" t="s">
        <v>10</v>
      </c>
      <c r="E138" s="4" t="s">
        <v>11</v>
      </c>
      <c r="F138" s="4" t="str">
        <f t="shared" si="117"/>
        <v>!!!</v>
      </c>
      <c r="G138" s="4" t="str">
        <f t="shared" si="177"/>
        <v>+</v>
      </c>
      <c r="H138" s="4"/>
      <c r="I138" s="4" t="str">
        <f t="shared" si="118"/>
        <v>!!!</v>
      </c>
      <c r="J138" s="4" t="e">
        <f t="shared" si="119"/>
        <v>#VALUE!</v>
      </c>
      <c r="K138" s="4" t="e">
        <f t="shared" si="120"/>
        <v>#VALUE!</v>
      </c>
      <c r="L138" s="4" t="e">
        <f t="shared" si="121"/>
        <v>#VALUE!</v>
      </c>
      <c r="M138" s="4">
        <f t="shared" si="178"/>
        <v>1000</v>
      </c>
      <c r="N138" s="4">
        <f t="shared" ref="N138:O138" si="189">MIN(IFERROR(FIND(" ",$C138,M138+1),1000))</f>
        <v>1000</v>
      </c>
      <c r="O138" s="4">
        <f t="shared" si="189"/>
        <v>1000</v>
      </c>
      <c r="P138" s="4">
        <f t="shared" si="180"/>
        <v>0</v>
      </c>
      <c r="Q138" s="4" t="str">
        <f t="shared" si="169"/>
        <v/>
      </c>
      <c r="R138" s="4" t="str">
        <f t="shared" si="170"/>
        <v/>
      </c>
      <c r="S138" s="4" t="str">
        <f t="shared" si="171"/>
        <v/>
      </c>
      <c r="T138" s="4" t="e">
        <f t="shared" si="181"/>
        <v>#VALUE!</v>
      </c>
      <c r="U138" s="4" t="e">
        <f t="shared" si="182"/>
        <v>#VALUE!</v>
      </c>
      <c r="V138" s="4" t="b">
        <f t="shared" si="172"/>
        <v>0</v>
      </c>
      <c r="W138" s="13" t="str">
        <f t="shared" si="173"/>
        <v>Да</v>
      </c>
      <c r="X138" s="4" t="e">
        <f>(IF(COUNTIFS($G$2:G138,"+",$W$2:W138,"Да")&gt;1,"&amp; ","")&amp;D138&amp;J138&amp;E138&amp;SUBSTITUTE(L138,"""",""))</f>
        <v>#VALUE!</v>
      </c>
      <c r="Y138" s="4" t="e">
        <f t="shared" si="174"/>
        <v>#VALUE!</v>
      </c>
    </row>
    <row r="139" spans="1:25" x14ac:dyDescent="0.3">
      <c r="A139" s="11"/>
      <c r="B139" s="5" t="str">
        <f t="shared" si="175"/>
        <v/>
      </c>
      <c r="C139" s="5" t="str">
        <f t="shared" si="176"/>
        <v/>
      </c>
      <c r="D139" s="4" t="s">
        <v>10</v>
      </c>
      <c r="E139" s="4" t="s">
        <v>11</v>
      </c>
      <c r="F139" s="4" t="str">
        <f t="shared" si="117"/>
        <v>!!!</v>
      </c>
      <c r="G139" s="4" t="str">
        <f t="shared" si="177"/>
        <v>+</v>
      </c>
      <c r="H139" s="4"/>
      <c r="I139" s="4" t="str">
        <f t="shared" si="118"/>
        <v>!!!</v>
      </c>
      <c r="J139" s="4" t="e">
        <f t="shared" si="119"/>
        <v>#VALUE!</v>
      </c>
      <c r="K139" s="4" t="e">
        <f t="shared" si="120"/>
        <v>#VALUE!</v>
      </c>
      <c r="L139" s="4" t="e">
        <f t="shared" si="121"/>
        <v>#VALUE!</v>
      </c>
      <c r="M139" s="4">
        <f t="shared" si="178"/>
        <v>1000</v>
      </c>
      <c r="N139" s="4">
        <f t="shared" ref="N139:O139" si="190">MIN(IFERROR(FIND(" ",$C139,M139+1),1000))</f>
        <v>1000</v>
      </c>
      <c r="O139" s="4">
        <f t="shared" si="190"/>
        <v>1000</v>
      </c>
      <c r="P139" s="4">
        <f t="shared" si="180"/>
        <v>0</v>
      </c>
      <c r="Q139" s="4" t="str">
        <f t="shared" si="169"/>
        <v/>
      </c>
      <c r="R139" s="4" t="str">
        <f t="shared" si="170"/>
        <v/>
      </c>
      <c r="S139" s="4" t="str">
        <f t="shared" si="171"/>
        <v/>
      </c>
      <c r="T139" s="4" t="e">
        <f t="shared" si="181"/>
        <v>#VALUE!</v>
      </c>
      <c r="U139" s="4" t="e">
        <f t="shared" si="182"/>
        <v>#VALUE!</v>
      </c>
      <c r="V139" s="4" t="b">
        <f t="shared" si="172"/>
        <v>0</v>
      </c>
      <c r="W139" s="13" t="str">
        <f t="shared" si="173"/>
        <v>Да</v>
      </c>
      <c r="X139" s="4" t="e">
        <f>(IF(COUNTIFS($G$2:G139,"+",$W$2:W139,"Да")&gt;1,"&amp; ","")&amp;D139&amp;J139&amp;E139&amp;SUBSTITUTE(L139,"""",""))</f>
        <v>#VALUE!</v>
      </c>
      <c r="Y139" s="4" t="e">
        <f t="shared" si="174"/>
        <v>#VALUE!</v>
      </c>
    </row>
    <row r="140" spans="1:25" x14ac:dyDescent="0.3">
      <c r="A140" s="11"/>
      <c r="B140" s="5" t="str">
        <f t="shared" si="175"/>
        <v/>
      </c>
      <c r="C140" s="5" t="str">
        <f t="shared" si="176"/>
        <v/>
      </c>
      <c r="D140" s="4" t="s">
        <v>10</v>
      </c>
      <c r="E140" s="4" t="s">
        <v>11</v>
      </c>
      <c r="F140" s="4" t="str">
        <f t="shared" si="117"/>
        <v>!!!</v>
      </c>
      <c r="G140" s="4" t="str">
        <f t="shared" si="177"/>
        <v>+</v>
      </c>
      <c r="H140" s="4"/>
      <c r="I140" s="4" t="str">
        <f t="shared" si="118"/>
        <v>!!!</v>
      </c>
      <c r="J140" s="4" t="e">
        <f t="shared" si="119"/>
        <v>#VALUE!</v>
      </c>
      <c r="K140" s="4" t="e">
        <f t="shared" si="120"/>
        <v>#VALUE!</v>
      </c>
      <c r="L140" s="4" t="e">
        <f t="shared" si="121"/>
        <v>#VALUE!</v>
      </c>
      <c r="M140" s="4">
        <f t="shared" si="178"/>
        <v>1000</v>
      </c>
      <c r="N140" s="4">
        <f t="shared" ref="N140:O140" si="191">MIN(IFERROR(FIND(" ",$C140,M140+1),1000))</f>
        <v>1000</v>
      </c>
      <c r="O140" s="4">
        <f t="shared" si="191"/>
        <v>1000</v>
      </c>
      <c r="P140" s="4">
        <f t="shared" si="180"/>
        <v>0</v>
      </c>
      <c r="Q140" s="4" t="str">
        <f t="shared" si="169"/>
        <v/>
      </c>
      <c r="R140" s="4" t="str">
        <f t="shared" si="170"/>
        <v/>
      </c>
      <c r="S140" s="4" t="str">
        <f t="shared" si="171"/>
        <v/>
      </c>
      <c r="T140" s="4" t="e">
        <f t="shared" si="181"/>
        <v>#VALUE!</v>
      </c>
      <c r="U140" s="4" t="e">
        <f t="shared" si="182"/>
        <v>#VALUE!</v>
      </c>
      <c r="V140" s="4" t="b">
        <f t="shared" si="172"/>
        <v>0</v>
      </c>
      <c r="W140" s="13" t="str">
        <f t="shared" si="173"/>
        <v>Да</v>
      </c>
      <c r="X140" s="4" t="e">
        <f>(IF(COUNTIFS($G$2:G140,"+",$W$2:W140,"Да")&gt;1,"&amp; ","")&amp;D140&amp;J140&amp;E140&amp;SUBSTITUTE(L140,"""",""))</f>
        <v>#VALUE!</v>
      </c>
      <c r="Y140" s="4" t="e">
        <f t="shared" si="174"/>
        <v>#VALUE!</v>
      </c>
    </row>
    <row r="141" spans="1:25" x14ac:dyDescent="0.3">
      <c r="A141" s="11"/>
      <c r="B141" s="5" t="str">
        <f t="shared" si="175"/>
        <v/>
      </c>
      <c r="C141" s="5" t="str">
        <f t="shared" si="176"/>
        <v/>
      </c>
      <c r="D141" s="4" t="s">
        <v>10</v>
      </c>
      <c r="E141" s="4" t="s">
        <v>11</v>
      </c>
      <c r="F141" s="4" t="str">
        <f t="shared" si="117"/>
        <v>!!!</v>
      </c>
      <c r="G141" s="4" t="str">
        <f t="shared" si="177"/>
        <v>+</v>
      </c>
      <c r="H141" s="4"/>
      <c r="I141" s="4" t="str">
        <f t="shared" si="118"/>
        <v>!!!</v>
      </c>
      <c r="J141" s="4" t="e">
        <f t="shared" si="119"/>
        <v>#VALUE!</v>
      </c>
      <c r="K141" s="4" t="e">
        <f t="shared" si="120"/>
        <v>#VALUE!</v>
      </c>
      <c r="L141" s="4" t="e">
        <f t="shared" si="121"/>
        <v>#VALUE!</v>
      </c>
      <c r="M141" s="4">
        <f t="shared" si="178"/>
        <v>1000</v>
      </c>
      <c r="N141" s="4">
        <f t="shared" ref="N141:O141" si="192">MIN(IFERROR(FIND(" ",$C141,M141+1),1000))</f>
        <v>1000</v>
      </c>
      <c r="O141" s="4">
        <f t="shared" si="192"/>
        <v>1000</v>
      </c>
      <c r="P141" s="4">
        <f t="shared" si="180"/>
        <v>0</v>
      </c>
      <c r="Q141" s="4" t="str">
        <f t="shared" si="169"/>
        <v/>
      </c>
      <c r="R141" s="4" t="str">
        <f t="shared" si="170"/>
        <v/>
      </c>
      <c r="S141" s="4" t="str">
        <f t="shared" si="171"/>
        <v/>
      </c>
      <c r="T141" s="4" t="e">
        <f t="shared" si="181"/>
        <v>#VALUE!</v>
      </c>
      <c r="U141" s="4" t="e">
        <f t="shared" si="182"/>
        <v>#VALUE!</v>
      </c>
      <c r="V141" s="4" t="b">
        <f t="shared" si="172"/>
        <v>0</v>
      </c>
      <c r="W141" s="13" t="str">
        <f t="shared" si="173"/>
        <v>Да</v>
      </c>
      <c r="X141" s="4" t="e">
        <f>(IF(COUNTIFS($G$2:G141,"+",$W$2:W141,"Да")&gt;1,"&amp; ","")&amp;D141&amp;J141&amp;E141&amp;SUBSTITUTE(L141,"""",""))</f>
        <v>#VALUE!</v>
      </c>
      <c r="Y141" s="4" t="e">
        <f t="shared" si="174"/>
        <v>#VALUE!</v>
      </c>
    </row>
    <row r="142" spans="1:25" x14ac:dyDescent="0.3">
      <c r="A142" s="11"/>
      <c r="B142" s="5" t="str">
        <f t="shared" si="175"/>
        <v/>
      </c>
      <c r="C142" s="5" t="str">
        <f t="shared" si="176"/>
        <v/>
      </c>
      <c r="D142" s="4" t="s">
        <v>10</v>
      </c>
      <c r="E142" s="4" t="s">
        <v>11</v>
      </c>
      <c r="F142" s="4" t="str">
        <f t="shared" si="117"/>
        <v>!!!</v>
      </c>
      <c r="G142" s="4" t="str">
        <f t="shared" si="177"/>
        <v>+</v>
      </c>
      <c r="H142" s="4"/>
      <c r="I142" s="4" t="str">
        <f t="shared" si="118"/>
        <v>!!!</v>
      </c>
      <c r="J142" s="4" t="e">
        <f t="shared" si="119"/>
        <v>#VALUE!</v>
      </c>
      <c r="K142" s="4" t="e">
        <f t="shared" si="120"/>
        <v>#VALUE!</v>
      </c>
      <c r="L142" s="4" t="e">
        <f t="shared" si="121"/>
        <v>#VALUE!</v>
      </c>
      <c r="M142" s="4">
        <f t="shared" si="178"/>
        <v>1000</v>
      </c>
      <c r="N142" s="4">
        <f t="shared" ref="N142:O142" si="193">MIN(IFERROR(FIND(" ",$C142,M142+1),1000))</f>
        <v>1000</v>
      </c>
      <c r="O142" s="4">
        <f t="shared" si="193"/>
        <v>1000</v>
      </c>
      <c r="P142" s="4">
        <f t="shared" si="180"/>
        <v>0</v>
      </c>
      <c r="Q142" s="4" t="str">
        <f t="shared" si="169"/>
        <v/>
      </c>
      <c r="R142" s="4" t="str">
        <f t="shared" si="170"/>
        <v/>
      </c>
      <c r="S142" s="4" t="str">
        <f t="shared" si="171"/>
        <v/>
      </c>
      <c r="T142" s="4" t="e">
        <f t="shared" si="181"/>
        <v>#VALUE!</v>
      </c>
      <c r="U142" s="4" t="e">
        <f t="shared" si="182"/>
        <v>#VALUE!</v>
      </c>
      <c r="V142" s="4" t="b">
        <f t="shared" si="172"/>
        <v>0</v>
      </c>
      <c r="W142" s="13" t="str">
        <f t="shared" si="173"/>
        <v>Да</v>
      </c>
      <c r="X142" s="4" t="e">
        <f>(IF(COUNTIFS($G$2:G142,"+",$W$2:W142,"Да")&gt;1,"&amp; ","")&amp;D142&amp;J142&amp;E142&amp;SUBSTITUTE(L142,"""",""))</f>
        <v>#VALUE!</v>
      </c>
      <c r="Y142" s="4" t="e">
        <f t="shared" si="174"/>
        <v>#VALUE!</v>
      </c>
    </row>
    <row r="143" spans="1:25" x14ac:dyDescent="0.3">
      <c r="A143" s="11"/>
      <c r="B143" s="5" t="str">
        <f t="shared" si="175"/>
        <v/>
      </c>
      <c r="C143" s="5" t="str">
        <f t="shared" si="176"/>
        <v/>
      </c>
      <c r="D143" s="4" t="s">
        <v>10</v>
      </c>
      <c r="E143" s="4" t="s">
        <v>11</v>
      </c>
      <c r="F143" s="4" t="str">
        <f t="shared" si="117"/>
        <v>!!!</v>
      </c>
      <c r="G143" s="4" t="str">
        <f t="shared" si="177"/>
        <v>+</v>
      </c>
      <c r="H143" s="4"/>
      <c r="I143" s="4" t="str">
        <f t="shared" si="118"/>
        <v>!!!</v>
      </c>
      <c r="J143" s="4" t="e">
        <f t="shared" si="119"/>
        <v>#VALUE!</v>
      </c>
      <c r="K143" s="4" t="e">
        <f t="shared" si="120"/>
        <v>#VALUE!</v>
      </c>
      <c r="L143" s="4" t="e">
        <f t="shared" si="121"/>
        <v>#VALUE!</v>
      </c>
      <c r="M143" s="4">
        <f t="shared" si="178"/>
        <v>1000</v>
      </c>
      <c r="N143" s="4">
        <f t="shared" ref="N143:O143" si="194">MIN(IFERROR(FIND(" ",$C143,M143+1),1000))</f>
        <v>1000</v>
      </c>
      <c r="O143" s="4">
        <f t="shared" si="194"/>
        <v>1000</v>
      </c>
      <c r="P143" s="4">
        <f t="shared" si="180"/>
        <v>0</v>
      </c>
      <c r="Q143" s="4" t="str">
        <f t="shared" si="169"/>
        <v/>
      </c>
      <c r="R143" s="4" t="str">
        <f t="shared" si="170"/>
        <v/>
      </c>
      <c r="S143" s="4" t="str">
        <f t="shared" si="171"/>
        <v/>
      </c>
      <c r="T143" s="4" t="e">
        <f t="shared" si="181"/>
        <v>#VALUE!</v>
      </c>
      <c r="U143" s="4" t="e">
        <f t="shared" si="182"/>
        <v>#VALUE!</v>
      </c>
      <c r="V143" s="4" t="b">
        <f t="shared" si="172"/>
        <v>0</v>
      </c>
      <c r="W143" s="13" t="str">
        <f t="shared" si="173"/>
        <v>Да</v>
      </c>
      <c r="X143" s="4" t="e">
        <f>(IF(COUNTIFS($G$2:G143,"+",$W$2:W143,"Да")&gt;1,"&amp; ","")&amp;D143&amp;J143&amp;E143&amp;SUBSTITUTE(L143,"""",""))</f>
        <v>#VALUE!</v>
      </c>
      <c r="Y143" s="4" t="e">
        <f t="shared" si="174"/>
        <v>#VALUE!</v>
      </c>
    </row>
    <row r="144" spans="1:25" x14ac:dyDescent="0.3">
      <c r="A144" s="11"/>
      <c r="B144" s="5" t="str">
        <f t="shared" si="175"/>
        <v/>
      </c>
      <c r="C144" s="5" t="str">
        <f t="shared" si="176"/>
        <v/>
      </c>
      <c r="D144" s="4" t="s">
        <v>10</v>
      </c>
      <c r="E144" s="4" t="s">
        <v>11</v>
      </c>
      <c r="F144" s="4" t="str">
        <f t="shared" si="117"/>
        <v>!!!</v>
      </c>
      <c r="G144" s="4" t="str">
        <f t="shared" si="177"/>
        <v>+</v>
      </c>
      <c r="H144" s="4"/>
      <c r="I144" s="4" t="str">
        <f t="shared" si="118"/>
        <v>!!!</v>
      </c>
      <c r="J144" s="4" t="e">
        <f t="shared" si="119"/>
        <v>#VALUE!</v>
      </c>
      <c r="K144" s="4" t="e">
        <f t="shared" si="120"/>
        <v>#VALUE!</v>
      </c>
      <c r="L144" s="4" t="e">
        <f t="shared" si="121"/>
        <v>#VALUE!</v>
      </c>
      <c r="M144" s="4">
        <f t="shared" si="178"/>
        <v>1000</v>
      </c>
      <c r="N144" s="4">
        <f t="shared" ref="N144:O144" si="195">MIN(IFERROR(FIND(" ",$C144,M144+1),1000))</f>
        <v>1000</v>
      </c>
      <c r="O144" s="4">
        <f t="shared" si="195"/>
        <v>1000</v>
      </c>
      <c r="P144" s="4">
        <f t="shared" si="180"/>
        <v>0</v>
      </c>
      <c r="Q144" s="4" t="str">
        <f t="shared" si="169"/>
        <v/>
      </c>
      <c r="R144" s="4" t="str">
        <f t="shared" si="170"/>
        <v/>
      </c>
      <c r="S144" s="4" t="str">
        <f t="shared" si="171"/>
        <v/>
      </c>
      <c r="T144" s="4" t="e">
        <f t="shared" si="181"/>
        <v>#VALUE!</v>
      </c>
      <c r="U144" s="4" t="e">
        <f t="shared" si="182"/>
        <v>#VALUE!</v>
      </c>
      <c r="V144" s="4" t="b">
        <f t="shared" si="172"/>
        <v>0</v>
      </c>
      <c r="W144" s="13" t="str">
        <f t="shared" si="173"/>
        <v>Да</v>
      </c>
      <c r="X144" s="4" t="e">
        <f>(IF(COUNTIFS($G$2:G144,"+",$W$2:W144,"Да")&gt;1,"&amp; ","")&amp;D144&amp;J144&amp;E144&amp;SUBSTITUTE(L144,"""",""))</f>
        <v>#VALUE!</v>
      </c>
      <c r="Y144" s="4" t="e">
        <f t="shared" si="174"/>
        <v>#VALUE!</v>
      </c>
    </row>
    <row r="145" spans="1:25" x14ac:dyDescent="0.3">
      <c r="A145" s="11"/>
      <c r="B145" s="5" t="str">
        <f t="shared" si="175"/>
        <v/>
      </c>
      <c r="C145" s="5" t="str">
        <f t="shared" si="176"/>
        <v/>
      </c>
      <c r="D145" s="4" t="s">
        <v>10</v>
      </c>
      <c r="E145" s="4" t="s">
        <v>11</v>
      </c>
      <c r="F145" s="4" t="str">
        <f t="shared" si="117"/>
        <v>!!!</v>
      </c>
      <c r="G145" s="4" t="str">
        <f t="shared" si="177"/>
        <v>+</v>
      </c>
      <c r="H145" s="4"/>
      <c r="I145" s="4" t="str">
        <f t="shared" si="118"/>
        <v>!!!</v>
      </c>
      <c r="J145" s="4" t="e">
        <f t="shared" si="119"/>
        <v>#VALUE!</v>
      </c>
      <c r="K145" s="4" t="e">
        <f t="shared" si="120"/>
        <v>#VALUE!</v>
      </c>
      <c r="L145" s="4" t="e">
        <f t="shared" si="121"/>
        <v>#VALUE!</v>
      </c>
      <c r="M145" s="4">
        <f t="shared" si="178"/>
        <v>1000</v>
      </c>
      <c r="N145" s="4">
        <f t="shared" ref="N145:O145" si="196">MIN(IFERROR(FIND(" ",$C145,M145+1),1000))</f>
        <v>1000</v>
      </c>
      <c r="O145" s="4">
        <f t="shared" si="196"/>
        <v>1000</v>
      </c>
      <c r="P145" s="4">
        <f t="shared" si="180"/>
        <v>0</v>
      </c>
      <c r="Q145" s="4" t="str">
        <f t="shared" si="169"/>
        <v/>
      </c>
      <c r="R145" s="4" t="str">
        <f t="shared" si="170"/>
        <v/>
      </c>
      <c r="S145" s="4" t="str">
        <f t="shared" si="171"/>
        <v/>
      </c>
      <c r="T145" s="4" t="e">
        <f t="shared" si="181"/>
        <v>#VALUE!</v>
      </c>
      <c r="U145" s="4" t="e">
        <f t="shared" si="182"/>
        <v>#VALUE!</v>
      </c>
      <c r="V145" s="4" t="b">
        <f t="shared" si="172"/>
        <v>0</v>
      </c>
      <c r="W145" s="13" t="str">
        <f t="shared" si="173"/>
        <v>Да</v>
      </c>
      <c r="X145" s="4" t="e">
        <f>(IF(COUNTIFS($G$2:G145,"+",$W$2:W145,"Да")&gt;1,"&amp; ","")&amp;D145&amp;J145&amp;E145&amp;SUBSTITUTE(L145,"""",""))</f>
        <v>#VALUE!</v>
      </c>
      <c r="Y145" s="4" t="e">
        <f t="shared" si="174"/>
        <v>#VALUE!</v>
      </c>
    </row>
    <row r="146" spans="1:25" x14ac:dyDescent="0.3">
      <c r="A146" s="11"/>
      <c r="B146" s="5" t="str">
        <f t="shared" si="175"/>
        <v/>
      </c>
      <c r="C146" s="5" t="str">
        <f t="shared" si="176"/>
        <v/>
      </c>
      <c r="D146" s="4" t="s">
        <v>10</v>
      </c>
      <c r="E146" s="4" t="s">
        <v>11</v>
      </c>
      <c r="F146" s="4" t="str">
        <f t="shared" si="117"/>
        <v>!!!</v>
      </c>
      <c r="G146" s="4" t="str">
        <f t="shared" si="177"/>
        <v>+</v>
      </c>
      <c r="H146" s="4"/>
      <c r="I146" s="4" t="str">
        <f t="shared" si="118"/>
        <v>!!!</v>
      </c>
      <c r="J146" s="4" t="e">
        <f t="shared" si="119"/>
        <v>#VALUE!</v>
      </c>
      <c r="K146" s="4" t="e">
        <f t="shared" si="120"/>
        <v>#VALUE!</v>
      </c>
      <c r="L146" s="4" t="e">
        <f t="shared" si="121"/>
        <v>#VALUE!</v>
      </c>
      <c r="M146" s="4">
        <f t="shared" si="178"/>
        <v>1000</v>
      </c>
      <c r="N146" s="4">
        <f t="shared" ref="N146:O146" si="197">MIN(IFERROR(FIND(" ",$C146,M146+1),1000))</f>
        <v>1000</v>
      </c>
      <c r="O146" s="4">
        <f t="shared" si="197"/>
        <v>1000</v>
      </c>
      <c r="P146" s="4">
        <f t="shared" si="180"/>
        <v>0</v>
      </c>
      <c r="Q146" s="4" t="str">
        <f t="shared" si="169"/>
        <v/>
      </c>
      <c r="R146" s="4" t="str">
        <f t="shared" si="170"/>
        <v/>
      </c>
      <c r="S146" s="4" t="str">
        <f t="shared" si="171"/>
        <v/>
      </c>
      <c r="T146" s="4" t="e">
        <f t="shared" si="181"/>
        <v>#VALUE!</v>
      </c>
      <c r="U146" s="4" t="e">
        <f t="shared" si="182"/>
        <v>#VALUE!</v>
      </c>
      <c r="V146" s="4" t="b">
        <f t="shared" si="172"/>
        <v>0</v>
      </c>
      <c r="W146" s="13" t="str">
        <f t="shared" si="173"/>
        <v>Да</v>
      </c>
      <c r="X146" s="4" t="e">
        <f>(IF(COUNTIFS($G$2:G146,"+",$W$2:W146,"Да")&gt;1,"&amp; ","")&amp;D146&amp;J146&amp;E146&amp;SUBSTITUTE(L146,"""",""))</f>
        <v>#VALUE!</v>
      </c>
      <c r="Y146" s="4" t="e">
        <f t="shared" si="174"/>
        <v>#VALUE!</v>
      </c>
    </row>
    <row r="147" spans="1:25" x14ac:dyDescent="0.3">
      <c r="A147" s="11"/>
      <c r="B147" s="5" t="str">
        <f t="shared" si="175"/>
        <v/>
      </c>
      <c r="C147" s="5" t="str">
        <f t="shared" si="176"/>
        <v/>
      </c>
      <c r="D147" s="4" t="s">
        <v>10</v>
      </c>
      <c r="E147" s="4" t="s">
        <v>11</v>
      </c>
      <c r="F147" s="4" t="str">
        <f t="shared" si="117"/>
        <v>!!!</v>
      </c>
      <c r="G147" s="4" t="str">
        <f t="shared" si="177"/>
        <v>+</v>
      </c>
      <c r="H147" s="4"/>
      <c r="I147" s="4" t="str">
        <f t="shared" si="118"/>
        <v>!!!</v>
      </c>
      <c r="J147" s="4" t="e">
        <f t="shared" si="119"/>
        <v>#VALUE!</v>
      </c>
      <c r="K147" s="4" t="e">
        <f t="shared" si="120"/>
        <v>#VALUE!</v>
      </c>
      <c r="L147" s="4" t="e">
        <f t="shared" si="121"/>
        <v>#VALUE!</v>
      </c>
      <c r="M147" s="4">
        <f t="shared" si="178"/>
        <v>1000</v>
      </c>
      <c r="N147" s="4">
        <f t="shared" ref="N147:O147" si="198">MIN(IFERROR(FIND(" ",$C147,M147+1),1000))</f>
        <v>1000</v>
      </c>
      <c r="O147" s="4">
        <f t="shared" si="198"/>
        <v>1000</v>
      </c>
      <c r="P147" s="4">
        <f t="shared" si="180"/>
        <v>0</v>
      </c>
      <c r="Q147" s="4" t="str">
        <f t="shared" si="169"/>
        <v/>
      </c>
      <c r="R147" s="4" t="str">
        <f t="shared" si="170"/>
        <v/>
      </c>
      <c r="S147" s="4" t="str">
        <f t="shared" si="171"/>
        <v/>
      </c>
      <c r="T147" s="4" t="e">
        <f t="shared" si="181"/>
        <v>#VALUE!</v>
      </c>
      <c r="U147" s="4" t="e">
        <f t="shared" si="182"/>
        <v>#VALUE!</v>
      </c>
      <c r="V147" s="4" t="b">
        <f t="shared" si="172"/>
        <v>0</v>
      </c>
      <c r="W147" s="13" t="str">
        <f t="shared" si="173"/>
        <v>Да</v>
      </c>
      <c r="X147" s="4" t="e">
        <f>(IF(COUNTIFS($G$2:G147,"+",$W$2:W147,"Да")&gt;1,"&amp; ","")&amp;D147&amp;J147&amp;E147&amp;SUBSTITUTE(L147,"""",""))</f>
        <v>#VALUE!</v>
      </c>
      <c r="Y147" s="4" t="e">
        <f t="shared" si="174"/>
        <v>#VALUE!</v>
      </c>
    </row>
    <row r="148" spans="1:25" x14ac:dyDescent="0.3">
      <c r="A148" s="11"/>
      <c r="B148" s="5" t="str">
        <f t="shared" si="175"/>
        <v/>
      </c>
      <c r="C148" s="5" t="str">
        <f t="shared" si="176"/>
        <v/>
      </c>
      <c r="D148" s="4" t="s">
        <v>10</v>
      </c>
      <c r="E148" s="4" t="s">
        <v>11</v>
      </c>
      <c r="F148" s="4" t="str">
        <f t="shared" ref="F148:F211" si="199">IFERROR(SEARCH(" as ",B148),"!!!")</f>
        <v>!!!</v>
      </c>
      <c r="G148" s="4" t="str">
        <f t="shared" si="177"/>
        <v>+</v>
      </c>
      <c r="H148" s="4"/>
      <c r="I148" s="4" t="str">
        <f t="shared" ref="I148:I211" si="200">IFERROR(SEARCH(" ",B148),"!!!")</f>
        <v>!!!</v>
      </c>
      <c r="J148" s="4" t="e">
        <f t="shared" ref="J148:J211" si="201">RIGHT(B148,LEN(B148)-F148-3)</f>
        <v>#VALUE!</v>
      </c>
      <c r="K148" s="4" t="e">
        <f t="shared" ref="K148:K211" si="202">MID(B148,I148+1,F148-I148)</f>
        <v>#VALUE!</v>
      </c>
      <c r="L148" s="4" t="e">
        <f t="shared" ref="L148:L211" si="203">MID(B148,I148+1,F148-I148)</f>
        <v>#VALUE!</v>
      </c>
      <c r="M148" s="4">
        <f t="shared" si="178"/>
        <v>1000</v>
      </c>
      <c r="N148" s="4">
        <f t="shared" ref="N148:O148" si="204">MIN(IFERROR(FIND(" ",$C148,M148+1),1000))</f>
        <v>1000</v>
      </c>
      <c r="O148" s="4">
        <f t="shared" si="204"/>
        <v>1000</v>
      </c>
      <c r="P148" s="4">
        <f t="shared" si="180"/>
        <v>0</v>
      </c>
      <c r="Q148" s="4" t="str">
        <f t="shared" si="169"/>
        <v/>
      </c>
      <c r="R148" s="4" t="str">
        <f t="shared" si="170"/>
        <v/>
      </c>
      <c r="S148" s="4" t="str">
        <f t="shared" si="171"/>
        <v/>
      </c>
      <c r="T148" s="4" t="e">
        <f t="shared" si="181"/>
        <v>#VALUE!</v>
      </c>
      <c r="U148" s="4" t="e">
        <f t="shared" si="182"/>
        <v>#VALUE!</v>
      </c>
      <c r="V148" s="4" t="b">
        <f t="shared" si="172"/>
        <v>0</v>
      </c>
      <c r="W148" s="13" t="str">
        <f t="shared" si="173"/>
        <v>Да</v>
      </c>
      <c r="X148" s="4" t="e">
        <f>(IF(COUNTIFS($G$2:G148,"+",$W$2:W148,"Да")&gt;1,"&amp; ","")&amp;D148&amp;J148&amp;E148&amp;SUBSTITUTE(L148,"""",""))</f>
        <v>#VALUE!</v>
      </c>
      <c r="Y148" s="4" t="e">
        <f t="shared" si="174"/>
        <v>#VALUE!</v>
      </c>
    </row>
    <row r="149" spans="1:25" x14ac:dyDescent="0.3">
      <c r="A149" s="11"/>
      <c r="B149" s="5" t="str">
        <f t="shared" si="175"/>
        <v/>
      </c>
      <c r="C149" s="5" t="str">
        <f t="shared" si="176"/>
        <v/>
      </c>
      <c r="D149" s="4" t="s">
        <v>10</v>
      </c>
      <c r="E149" s="4" t="s">
        <v>11</v>
      </c>
      <c r="F149" s="4" t="str">
        <f t="shared" si="199"/>
        <v>!!!</v>
      </c>
      <c r="G149" s="4" t="str">
        <f t="shared" si="177"/>
        <v>+</v>
      </c>
      <c r="H149" s="4"/>
      <c r="I149" s="4" t="str">
        <f t="shared" si="200"/>
        <v>!!!</v>
      </c>
      <c r="J149" s="4" t="e">
        <f t="shared" si="201"/>
        <v>#VALUE!</v>
      </c>
      <c r="K149" s="4" t="e">
        <f t="shared" si="202"/>
        <v>#VALUE!</v>
      </c>
      <c r="L149" s="4" t="e">
        <f t="shared" si="203"/>
        <v>#VALUE!</v>
      </c>
      <c r="M149" s="4">
        <f t="shared" si="178"/>
        <v>1000</v>
      </c>
      <c r="N149" s="4">
        <f t="shared" ref="N149:O149" si="205">MIN(IFERROR(FIND(" ",$C149,M149+1),1000))</f>
        <v>1000</v>
      </c>
      <c r="O149" s="4">
        <f t="shared" si="205"/>
        <v>1000</v>
      </c>
      <c r="P149" s="4">
        <f t="shared" si="180"/>
        <v>0</v>
      </c>
      <c r="Q149" s="4" t="str">
        <f t="shared" si="169"/>
        <v/>
      </c>
      <c r="R149" s="4" t="str">
        <f t="shared" si="170"/>
        <v/>
      </c>
      <c r="S149" s="4" t="str">
        <f t="shared" si="171"/>
        <v/>
      </c>
      <c r="T149" s="4" t="e">
        <f t="shared" si="181"/>
        <v>#VALUE!</v>
      </c>
      <c r="U149" s="4" t="e">
        <f t="shared" si="182"/>
        <v>#VALUE!</v>
      </c>
      <c r="V149" s="4" t="b">
        <f t="shared" si="172"/>
        <v>0</v>
      </c>
      <c r="W149" s="13" t="str">
        <f t="shared" si="173"/>
        <v>Да</v>
      </c>
      <c r="X149" s="4" t="e">
        <f>(IF(COUNTIFS($G$2:G149,"+",$W$2:W149,"Да")&gt;1,"&amp; ","")&amp;D149&amp;J149&amp;E149&amp;SUBSTITUTE(L149,"""",""))</f>
        <v>#VALUE!</v>
      </c>
      <c r="Y149" s="4" t="e">
        <f t="shared" si="174"/>
        <v>#VALUE!</v>
      </c>
    </row>
    <row r="150" spans="1:25" x14ac:dyDescent="0.3">
      <c r="A150" s="11"/>
      <c r="B150" s="5" t="str">
        <f t="shared" si="175"/>
        <v/>
      </c>
      <c r="C150" s="5" t="str">
        <f t="shared" si="176"/>
        <v/>
      </c>
      <c r="D150" s="4" t="s">
        <v>10</v>
      </c>
      <c r="E150" s="4" t="s">
        <v>11</v>
      </c>
      <c r="F150" s="4" t="str">
        <f t="shared" si="199"/>
        <v>!!!</v>
      </c>
      <c r="G150" s="4" t="str">
        <f t="shared" si="177"/>
        <v>+</v>
      </c>
      <c r="H150" s="4"/>
      <c r="I150" s="4" t="str">
        <f t="shared" si="200"/>
        <v>!!!</v>
      </c>
      <c r="J150" s="4" t="e">
        <f t="shared" si="201"/>
        <v>#VALUE!</v>
      </c>
      <c r="K150" s="4" t="e">
        <f t="shared" si="202"/>
        <v>#VALUE!</v>
      </c>
      <c r="L150" s="4" t="e">
        <f t="shared" si="203"/>
        <v>#VALUE!</v>
      </c>
      <c r="M150" s="4">
        <f t="shared" si="178"/>
        <v>1000</v>
      </c>
      <c r="N150" s="4">
        <f t="shared" ref="N150:O150" si="206">MIN(IFERROR(FIND(" ",$C150,M150+1),1000))</f>
        <v>1000</v>
      </c>
      <c r="O150" s="4">
        <f t="shared" si="206"/>
        <v>1000</v>
      </c>
      <c r="P150" s="4">
        <f t="shared" si="180"/>
        <v>0</v>
      </c>
      <c r="Q150" s="4" t="str">
        <f t="shared" si="169"/>
        <v/>
      </c>
      <c r="R150" s="4" t="str">
        <f t="shared" si="170"/>
        <v/>
      </c>
      <c r="S150" s="4" t="str">
        <f t="shared" si="171"/>
        <v/>
      </c>
      <c r="T150" s="4" t="e">
        <f t="shared" si="181"/>
        <v>#VALUE!</v>
      </c>
      <c r="U150" s="4" t="e">
        <f t="shared" si="182"/>
        <v>#VALUE!</v>
      </c>
      <c r="V150" s="4" t="b">
        <f t="shared" si="172"/>
        <v>0</v>
      </c>
      <c r="W150" s="13" t="str">
        <f t="shared" si="173"/>
        <v>Да</v>
      </c>
      <c r="X150" s="4" t="e">
        <f>(IF(COUNTIFS($G$2:G150,"+",$W$2:W150,"Да")&gt;1,"&amp; ","")&amp;D150&amp;J150&amp;E150&amp;SUBSTITUTE(L150,"""",""))</f>
        <v>#VALUE!</v>
      </c>
      <c r="Y150" s="4" t="e">
        <f t="shared" si="174"/>
        <v>#VALUE!</v>
      </c>
    </row>
    <row r="151" spans="1:25" x14ac:dyDescent="0.3">
      <c r="A151" s="11"/>
      <c r="B151" s="5" t="str">
        <f t="shared" si="175"/>
        <v/>
      </c>
      <c r="C151" s="5" t="str">
        <f t="shared" si="176"/>
        <v/>
      </c>
      <c r="D151" s="4" t="s">
        <v>10</v>
      </c>
      <c r="E151" s="4" t="s">
        <v>11</v>
      </c>
      <c r="F151" s="4" t="str">
        <f t="shared" si="199"/>
        <v>!!!</v>
      </c>
      <c r="G151" s="4" t="str">
        <f t="shared" si="177"/>
        <v>+</v>
      </c>
      <c r="H151" s="4"/>
      <c r="I151" s="4" t="str">
        <f t="shared" si="200"/>
        <v>!!!</v>
      </c>
      <c r="J151" s="4" t="e">
        <f t="shared" si="201"/>
        <v>#VALUE!</v>
      </c>
      <c r="K151" s="4" t="e">
        <f t="shared" si="202"/>
        <v>#VALUE!</v>
      </c>
      <c r="L151" s="4" t="e">
        <f t="shared" si="203"/>
        <v>#VALUE!</v>
      </c>
      <c r="M151" s="4">
        <f t="shared" si="178"/>
        <v>1000</v>
      </c>
      <c r="N151" s="4">
        <f t="shared" ref="N151:O151" si="207">MIN(IFERROR(FIND(" ",$C151,M151+1),1000))</f>
        <v>1000</v>
      </c>
      <c r="O151" s="4">
        <f t="shared" si="207"/>
        <v>1000</v>
      </c>
      <c r="P151" s="4">
        <f t="shared" si="180"/>
        <v>0</v>
      </c>
      <c r="Q151" s="4" t="str">
        <f t="shared" si="169"/>
        <v/>
      </c>
      <c r="R151" s="4" t="str">
        <f t="shared" si="170"/>
        <v/>
      </c>
      <c r="S151" s="4" t="str">
        <f t="shared" si="171"/>
        <v/>
      </c>
      <c r="T151" s="4" t="e">
        <f t="shared" si="181"/>
        <v>#VALUE!</v>
      </c>
      <c r="U151" s="4" t="e">
        <f t="shared" si="182"/>
        <v>#VALUE!</v>
      </c>
      <c r="V151" s="4" t="b">
        <f t="shared" si="172"/>
        <v>0</v>
      </c>
      <c r="W151" s="13" t="str">
        <f t="shared" si="173"/>
        <v>Да</v>
      </c>
      <c r="X151" s="4" t="e">
        <f>(IF(COUNTIFS($G$2:G151,"+",$W$2:W151,"Да")&gt;1,"&amp; ","")&amp;D151&amp;J151&amp;E151&amp;SUBSTITUTE(L151,"""",""))</f>
        <v>#VALUE!</v>
      </c>
      <c r="Y151" s="4" t="e">
        <f t="shared" si="174"/>
        <v>#VALUE!</v>
      </c>
    </row>
    <row r="152" spans="1:25" x14ac:dyDescent="0.3">
      <c r="A152" s="11"/>
      <c r="B152" s="5" t="str">
        <f t="shared" si="175"/>
        <v/>
      </c>
      <c r="C152" s="5" t="str">
        <f t="shared" si="176"/>
        <v/>
      </c>
      <c r="D152" s="4" t="s">
        <v>10</v>
      </c>
      <c r="E152" s="4" t="s">
        <v>11</v>
      </c>
      <c r="F152" s="4" t="str">
        <f t="shared" si="199"/>
        <v>!!!</v>
      </c>
      <c r="G152" s="4" t="str">
        <f t="shared" si="177"/>
        <v>+</v>
      </c>
      <c r="H152" s="4"/>
      <c r="I152" s="4" t="str">
        <f t="shared" si="200"/>
        <v>!!!</v>
      </c>
      <c r="J152" s="4" t="e">
        <f t="shared" si="201"/>
        <v>#VALUE!</v>
      </c>
      <c r="K152" s="4" t="e">
        <f t="shared" si="202"/>
        <v>#VALUE!</v>
      </c>
      <c r="L152" s="4" t="e">
        <f t="shared" si="203"/>
        <v>#VALUE!</v>
      </c>
      <c r="M152" s="4">
        <f t="shared" si="178"/>
        <v>1000</v>
      </c>
      <c r="N152" s="4">
        <f t="shared" ref="N152:O152" si="208">MIN(IFERROR(FIND(" ",$C152,M152+1),1000))</f>
        <v>1000</v>
      </c>
      <c r="O152" s="4">
        <f t="shared" si="208"/>
        <v>1000</v>
      </c>
      <c r="P152" s="4">
        <f t="shared" si="180"/>
        <v>0</v>
      </c>
      <c r="Q152" s="4" t="str">
        <f t="shared" si="169"/>
        <v/>
      </c>
      <c r="R152" s="4" t="str">
        <f t="shared" si="170"/>
        <v/>
      </c>
      <c r="S152" s="4" t="str">
        <f t="shared" si="171"/>
        <v/>
      </c>
      <c r="T152" s="4" t="e">
        <f t="shared" si="181"/>
        <v>#VALUE!</v>
      </c>
      <c r="U152" s="4" t="e">
        <f t="shared" si="182"/>
        <v>#VALUE!</v>
      </c>
      <c r="V152" s="4" t="b">
        <f t="shared" si="172"/>
        <v>0</v>
      </c>
      <c r="W152" s="13" t="str">
        <f t="shared" si="173"/>
        <v>Да</v>
      </c>
      <c r="X152" s="4" t="e">
        <f>(IF(COUNTIFS($G$2:G152,"+",$W$2:W152,"Да")&gt;1,"&amp; ","")&amp;D152&amp;J152&amp;E152&amp;SUBSTITUTE(L152,"""",""))</f>
        <v>#VALUE!</v>
      </c>
      <c r="Y152" s="4" t="e">
        <f t="shared" si="174"/>
        <v>#VALUE!</v>
      </c>
    </row>
    <row r="153" spans="1:25" x14ac:dyDescent="0.3">
      <c r="A153" s="11"/>
      <c r="B153" s="5" t="str">
        <f t="shared" si="175"/>
        <v/>
      </c>
      <c r="C153" s="5" t="str">
        <f t="shared" si="176"/>
        <v/>
      </c>
      <c r="D153" s="4" t="s">
        <v>10</v>
      </c>
      <c r="E153" s="4" t="s">
        <v>11</v>
      </c>
      <c r="F153" s="4" t="str">
        <f t="shared" si="199"/>
        <v>!!!</v>
      </c>
      <c r="G153" s="4" t="str">
        <f t="shared" si="177"/>
        <v>+</v>
      </c>
      <c r="H153" s="4"/>
      <c r="I153" s="4" t="str">
        <f t="shared" si="200"/>
        <v>!!!</v>
      </c>
      <c r="J153" s="4" t="e">
        <f t="shared" si="201"/>
        <v>#VALUE!</v>
      </c>
      <c r="K153" s="4" t="e">
        <f t="shared" si="202"/>
        <v>#VALUE!</v>
      </c>
      <c r="L153" s="4" t="e">
        <f t="shared" si="203"/>
        <v>#VALUE!</v>
      </c>
      <c r="M153" s="4">
        <f t="shared" si="178"/>
        <v>1000</v>
      </c>
      <c r="N153" s="4">
        <f t="shared" ref="N153:O153" si="209">MIN(IFERROR(FIND(" ",$C153,M153+1),1000))</f>
        <v>1000</v>
      </c>
      <c r="O153" s="4">
        <f t="shared" si="209"/>
        <v>1000</v>
      </c>
      <c r="P153" s="4">
        <f t="shared" si="180"/>
        <v>0</v>
      </c>
      <c r="Q153" s="4" t="str">
        <f t="shared" si="169"/>
        <v/>
      </c>
      <c r="R153" s="4" t="str">
        <f t="shared" si="170"/>
        <v/>
      </c>
      <c r="S153" s="4" t="str">
        <f t="shared" si="171"/>
        <v/>
      </c>
      <c r="T153" s="4" t="e">
        <f t="shared" si="181"/>
        <v>#VALUE!</v>
      </c>
      <c r="U153" s="4" t="e">
        <f t="shared" si="182"/>
        <v>#VALUE!</v>
      </c>
      <c r="V153" s="4" t="b">
        <f t="shared" si="172"/>
        <v>0</v>
      </c>
      <c r="W153" s="13" t="str">
        <f t="shared" si="173"/>
        <v>Да</v>
      </c>
      <c r="X153" s="4" t="e">
        <f>(IF(COUNTIFS($G$2:G153,"+",$W$2:W153,"Да")&gt;1,"&amp; ","")&amp;D153&amp;J153&amp;E153&amp;SUBSTITUTE(L153,"""",""))</f>
        <v>#VALUE!</v>
      </c>
      <c r="Y153" s="4" t="e">
        <f t="shared" si="174"/>
        <v>#VALUE!</v>
      </c>
    </row>
    <row r="154" spans="1:25" x14ac:dyDescent="0.3">
      <c r="A154" s="11"/>
      <c r="B154" s="5" t="str">
        <f t="shared" si="175"/>
        <v/>
      </c>
      <c r="C154" s="5" t="str">
        <f t="shared" si="176"/>
        <v/>
      </c>
      <c r="D154" s="4" t="s">
        <v>10</v>
      </c>
      <c r="E154" s="4" t="s">
        <v>11</v>
      </c>
      <c r="F154" s="4" t="str">
        <f t="shared" si="199"/>
        <v>!!!</v>
      </c>
      <c r="G154" s="4" t="str">
        <f t="shared" si="177"/>
        <v>+</v>
      </c>
      <c r="H154" s="4"/>
      <c r="I154" s="4" t="str">
        <f t="shared" si="200"/>
        <v>!!!</v>
      </c>
      <c r="J154" s="4" t="e">
        <f t="shared" si="201"/>
        <v>#VALUE!</v>
      </c>
      <c r="K154" s="4" t="e">
        <f t="shared" si="202"/>
        <v>#VALUE!</v>
      </c>
      <c r="L154" s="4" t="e">
        <f t="shared" si="203"/>
        <v>#VALUE!</v>
      </c>
      <c r="M154" s="4">
        <f t="shared" si="178"/>
        <v>1000</v>
      </c>
      <c r="N154" s="4">
        <f t="shared" ref="N154:O154" si="210">MIN(IFERROR(FIND(" ",$C154,M154+1),1000))</f>
        <v>1000</v>
      </c>
      <c r="O154" s="4">
        <f t="shared" si="210"/>
        <v>1000</v>
      </c>
      <c r="P154" s="4">
        <f t="shared" si="180"/>
        <v>0</v>
      </c>
      <c r="Q154" s="4" t="str">
        <f t="shared" si="169"/>
        <v/>
      </c>
      <c r="R154" s="4" t="str">
        <f t="shared" si="170"/>
        <v/>
      </c>
      <c r="S154" s="4" t="str">
        <f t="shared" si="171"/>
        <v/>
      </c>
      <c r="T154" s="4" t="e">
        <f t="shared" si="181"/>
        <v>#VALUE!</v>
      </c>
      <c r="U154" s="4" t="e">
        <f t="shared" si="182"/>
        <v>#VALUE!</v>
      </c>
      <c r="V154" s="4" t="b">
        <f t="shared" si="172"/>
        <v>0</v>
      </c>
      <c r="W154" s="13" t="str">
        <f t="shared" si="173"/>
        <v>Да</v>
      </c>
      <c r="X154" s="4" t="e">
        <f>(IF(COUNTIFS($G$2:G154,"+",$W$2:W154,"Да")&gt;1,"&amp; ","")&amp;D154&amp;J154&amp;E154&amp;SUBSTITUTE(L154,"""",""))</f>
        <v>#VALUE!</v>
      </c>
      <c r="Y154" s="4" t="e">
        <f t="shared" si="174"/>
        <v>#VALUE!</v>
      </c>
    </row>
    <row r="155" spans="1:25" x14ac:dyDescent="0.3">
      <c r="A155" s="11"/>
      <c r="B155" s="5" t="str">
        <f t="shared" si="175"/>
        <v/>
      </c>
      <c r="C155" s="5" t="str">
        <f t="shared" si="176"/>
        <v/>
      </c>
      <c r="D155" s="4" t="s">
        <v>10</v>
      </c>
      <c r="E155" s="4" t="s">
        <v>11</v>
      </c>
      <c r="F155" s="4" t="str">
        <f t="shared" si="199"/>
        <v>!!!</v>
      </c>
      <c r="G155" s="4" t="str">
        <f t="shared" si="177"/>
        <v>+</v>
      </c>
      <c r="H155" s="4"/>
      <c r="I155" s="4" t="str">
        <f t="shared" si="200"/>
        <v>!!!</v>
      </c>
      <c r="J155" s="4" t="e">
        <f t="shared" si="201"/>
        <v>#VALUE!</v>
      </c>
      <c r="K155" s="4" t="e">
        <f t="shared" si="202"/>
        <v>#VALUE!</v>
      </c>
      <c r="L155" s="4" t="e">
        <f t="shared" si="203"/>
        <v>#VALUE!</v>
      </c>
      <c r="M155" s="4">
        <f t="shared" si="178"/>
        <v>1000</v>
      </c>
      <c r="N155" s="4">
        <f t="shared" ref="N155:O155" si="211">MIN(IFERROR(FIND(" ",$C155,M155+1),1000))</f>
        <v>1000</v>
      </c>
      <c r="O155" s="4">
        <f t="shared" si="211"/>
        <v>1000</v>
      </c>
      <c r="P155" s="4">
        <f t="shared" si="180"/>
        <v>0</v>
      </c>
      <c r="Q155" s="4" t="str">
        <f t="shared" si="169"/>
        <v/>
      </c>
      <c r="R155" s="4" t="str">
        <f t="shared" si="170"/>
        <v/>
      </c>
      <c r="S155" s="4" t="str">
        <f t="shared" si="171"/>
        <v/>
      </c>
      <c r="T155" s="4" t="e">
        <f t="shared" si="181"/>
        <v>#VALUE!</v>
      </c>
      <c r="U155" s="4" t="e">
        <f t="shared" si="182"/>
        <v>#VALUE!</v>
      </c>
      <c r="V155" s="4" t="b">
        <f t="shared" si="172"/>
        <v>0</v>
      </c>
      <c r="W155" s="13" t="str">
        <f t="shared" si="173"/>
        <v>Да</v>
      </c>
      <c r="X155" s="4" t="e">
        <f>(IF(COUNTIFS($G$2:G155,"+",$W$2:W155,"Да")&gt;1,"&amp; ","")&amp;D155&amp;J155&amp;E155&amp;SUBSTITUTE(L155,"""",""))</f>
        <v>#VALUE!</v>
      </c>
      <c r="Y155" s="4" t="e">
        <f t="shared" si="174"/>
        <v>#VALUE!</v>
      </c>
    </row>
    <row r="156" spans="1:25" x14ac:dyDescent="0.3">
      <c r="A156" s="11"/>
      <c r="B156" s="5" t="str">
        <f t="shared" si="175"/>
        <v/>
      </c>
      <c r="C156" s="5" t="str">
        <f t="shared" si="176"/>
        <v/>
      </c>
      <c r="D156" s="4" t="s">
        <v>10</v>
      </c>
      <c r="E156" s="4" t="s">
        <v>11</v>
      </c>
      <c r="F156" s="4" t="str">
        <f t="shared" si="199"/>
        <v>!!!</v>
      </c>
      <c r="G156" s="4" t="str">
        <f t="shared" si="177"/>
        <v>+</v>
      </c>
      <c r="H156" s="4"/>
      <c r="I156" s="4" t="str">
        <f t="shared" si="200"/>
        <v>!!!</v>
      </c>
      <c r="J156" s="4" t="e">
        <f t="shared" si="201"/>
        <v>#VALUE!</v>
      </c>
      <c r="K156" s="4" t="e">
        <f t="shared" si="202"/>
        <v>#VALUE!</v>
      </c>
      <c r="L156" s="4" t="e">
        <f t="shared" si="203"/>
        <v>#VALUE!</v>
      </c>
      <c r="M156" s="4">
        <f t="shared" si="178"/>
        <v>1000</v>
      </c>
      <c r="N156" s="4">
        <f t="shared" ref="N156:O156" si="212">MIN(IFERROR(FIND(" ",$C156,M156+1),1000))</f>
        <v>1000</v>
      </c>
      <c r="O156" s="4">
        <f t="shared" si="212"/>
        <v>1000</v>
      </c>
      <c r="P156" s="4">
        <f t="shared" si="180"/>
        <v>0</v>
      </c>
      <c r="Q156" s="4" t="str">
        <f t="shared" si="169"/>
        <v/>
      </c>
      <c r="R156" s="4" t="str">
        <f t="shared" si="170"/>
        <v/>
      </c>
      <c r="S156" s="4" t="str">
        <f t="shared" si="171"/>
        <v/>
      </c>
      <c r="T156" s="4" t="e">
        <f t="shared" si="181"/>
        <v>#VALUE!</v>
      </c>
      <c r="U156" s="4" t="e">
        <f t="shared" si="182"/>
        <v>#VALUE!</v>
      </c>
      <c r="V156" s="4" t="b">
        <f t="shared" si="172"/>
        <v>0</v>
      </c>
      <c r="W156" s="13" t="str">
        <f t="shared" si="173"/>
        <v>Да</v>
      </c>
      <c r="X156" s="4" t="e">
        <f>(IF(COUNTIFS($G$2:G156,"+",$W$2:W156,"Да")&gt;1,"&amp; ","")&amp;D156&amp;J156&amp;E156&amp;SUBSTITUTE(L156,"""",""))</f>
        <v>#VALUE!</v>
      </c>
      <c r="Y156" s="4" t="e">
        <f t="shared" si="174"/>
        <v>#VALUE!</v>
      </c>
    </row>
    <row r="157" spans="1:25" x14ac:dyDescent="0.3">
      <c r="A157" s="11"/>
      <c r="B157" s="5" t="str">
        <f t="shared" si="175"/>
        <v/>
      </c>
      <c r="C157" s="5" t="str">
        <f t="shared" si="176"/>
        <v/>
      </c>
      <c r="D157" s="4" t="s">
        <v>10</v>
      </c>
      <c r="E157" s="4" t="s">
        <v>11</v>
      </c>
      <c r="F157" s="4" t="str">
        <f t="shared" si="199"/>
        <v>!!!</v>
      </c>
      <c r="G157" s="4" t="str">
        <f t="shared" si="177"/>
        <v>+</v>
      </c>
      <c r="H157" s="4"/>
      <c r="I157" s="4" t="str">
        <f t="shared" si="200"/>
        <v>!!!</v>
      </c>
      <c r="J157" s="4" t="e">
        <f t="shared" si="201"/>
        <v>#VALUE!</v>
      </c>
      <c r="K157" s="4" t="e">
        <f t="shared" si="202"/>
        <v>#VALUE!</v>
      </c>
      <c r="L157" s="4" t="e">
        <f t="shared" si="203"/>
        <v>#VALUE!</v>
      </c>
      <c r="M157" s="4">
        <f t="shared" si="178"/>
        <v>1000</v>
      </c>
      <c r="N157" s="4">
        <f t="shared" ref="N157:O157" si="213">MIN(IFERROR(FIND(" ",$C157,M157+1),1000))</f>
        <v>1000</v>
      </c>
      <c r="O157" s="4">
        <f t="shared" si="213"/>
        <v>1000</v>
      </c>
      <c r="P157" s="4">
        <f t="shared" si="180"/>
        <v>0</v>
      </c>
      <c r="Q157" s="4" t="str">
        <f t="shared" si="169"/>
        <v/>
      </c>
      <c r="R157" s="4" t="str">
        <f t="shared" si="170"/>
        <v/>
      </c>
      <c r="S157" s="4" t="str">
        <f t="shared" si="171"/>
        <v/>
      </c>
      <c r="T157" s="4" t="e">
        <f t="shared" si="181"/>
        <v>#VALUE!</v>
      </c>
      <c r="U157" s="4" t="e">
        <f t="shared" si="182"/>
        <v>#VALUE!</v>
      </c>
      <c r="V157" s="4" t="b">
        <f t="shared" si="172"/>
        <v>0</v>
      </c>
      <c r="W157" s="13" t="str">
        <f t="shared" si="173"/>
        <v>Да</v>
      </c>
      <c r="X157" s="4" t="e">
        <f>(IF(COUNTIFS($G$2:G157,"+",$W$2:W157,"Да")&gt;1,"&amp; ","")&amp;D157&amp;J157&amp;E157&amp;SUBSTITUTE(L157,"""",""))</f>
        <v>#VALUE!</v>
      </c>
      <c r="Y157" s="4" t="e">
        <f t="shared" si="174"/>
        <v>#VALUE!</v>
      </c>
    </row>
    <row r="158" spans="1:25" x14ac:dyDescent="0.3">
      <c r="A158" s="11"/>
      <c r="B158" s="5" t="str">
        <f t="shared" si="175"/>
        <v/>
      </c>
      <c r="C158" s="5" t="str">
        <f t="shared" si="176"/>
        <v/>
      </c>
      <c r="D158" s="4" t="s">
        <v>10</v>
      </c>
      <c r="E158" s="4" t="s">
        <v>11</v>
      </c>
      <c r="F158" s="4" t="str">
        <f t="shared" si="199"/>
        <v>!!!</v>
      </c>
      <c r="G158" s="4" t="str">
        <f t="shared" si="177"/>
        <v>+</v>
      </c>
      <c r="H158" s="4"/>
      <c r="I158" s="4" t="str">
        <f t="shared" si="200"/>
        <v>!!!</v>
      </c>
      <c r="J158" s="4" t="e">
        <f t="shared" si="201"/>
        <v>#VALUE!</v>
      </c>
      <c r="K158" s="4" t="e">
        <f t="shared" si="202"/>
        <v>#VALUE!</v>
      </c>
      <c r="L158" s="4" t="e">
        <f t="shared" si="203"/>
        <v>#VALUE!</v>
      </c>
      <c r="M158" s="4">
        <f t="shared" si="178"/>
        <v>1000</v>
      </c>
      <c r="N158" s="4">
        <f t="shared" ref="N158:O158" si="214">MIN(IFERROR(FIND(" ",$C158,M158+1),1000))</f>
        <v>1000</v>
      </c>
      <c r="O158" s="4">
        <f t="shared" si="214"/>
        <v>1000</v>
      </c>
      <c r="P158" s="4">
        <f t="shared" si="180"/>
        <v>0</v>
      </c>
      <c r="Q158" s="4" t="str">
        <f t="shared" si="169"/>
        <v/>
      </c>
      <c r="R158" s="4" t="str">
        <f t="shared" si="170"/>
        <v/>
      </c>
      <c r="S158" s="4" t="str">
        <f t="shared" si="171"/>
        <v/>
      </c>
      <c r="T158" s="4" t="e">
        <f t="shared" si="181"/>
        <v>#VALUE!</v>
      </c>
      <c r="U158" s="4" t="e">
        <f t="shared" si="182"/>
        <v>#VALUE!</v>
      </c>
      <c r="V158" s="4" t="b">
        <f t="shared" si="172"/>
        <v>0</v>
      </c>
      <c r="W158" s="13" t="str">
        <f t="shared" si="173"/>
        <v>Да</v>
      </c>
      <c r="X158" s="4" t="e">
        <f>(IF(COUNTIFS($G$2:G158,"+",$W$2:W158,"Да")&gt;1,"&amp; ","")&amp;D158&amp;J158&amp;E158&amp;SUBSTITUTE(L158,"""",""))</f>
        <v>#VALUE!</v>
      </c>
      <c r="Y158" s="4" t="e">
        <f t="shared" si="174"/>
        <v>#VALUE!</v>
      </c>
    </row>
    <row r="159" spans="1:25" x14ac:dyDescent="0.3">
      <c r="A159" s="11"/>
      <c r="B159" s="5" t="str">
        <f t="shared" si="175"/>
        <v/>
      </c>
      <c r="C159" s="5" t="str">
        <f t="shared" si="176"/>
        <v/>
      </c>
      <c r="D159" s="4" t="s">
        <v>10</v>
      </c>
      <c r="E159" s="4" t="s">
        <v>11</v>
      </c>
      <c r="F159" s="4" t="str">
        <f t="shared" si="199"/>
        <v>!!!</v>
      </c>
      <c r="G159" s="4" t="str">
        <f t="shared" si="177"/>
        <v>+</v>
      </c>
      <c r="H159" s="4"/>
      <c r="I159" s="4" t="str">
        <f t="shared" si="200"/>
        <v>!!!</v>
      </c>
      <c r="J159" s="4" t="e">
        <f t="shared" si="201"/>
        <v>#VALUE!</v>
      </c>
      <c r="K159" s="4" t="e">
        <f t="shared" si="202"/>
        <v>#VALUE!</v>
      </c>
      <c r="L159" s="4" t="e">
        <f t="shared" si="203"/>
        <v>#VALUE!</v>
      </c>
      <c r="M159" s="4">
        <f t="shared" si="178"/>
        <v>1000</v>
      </c>
      <c r="N159" s="4">
        <f t="shared" ref="N159:O159" si="215">MIN(IFERROR(FIND(" ",$C159,M159+1),1000))</f>
        <v>1000</v>
      </c>
      <c r="O159" s="4">
        <f t="shared" si="215"/>
        <v>1000</v>
      </c>
      <c r="P159" s="4">
        <f t="shared" si="180"/>
        <v>0</v>
      </c>
      <c r="Q159" s="4" t="str">
        <f t="shared" si="169"/>
        <v/>
      </c>
      <c r="R159" s="4" t="str">
        <f t="shared" si="170"/>
        <v/>
      </c>
      <c r="S159" s="4" t="str">
        <f t="shared" si="171"/>
        <v/>
      </c>
      <c r="T159" s="4" t="e">
        <f t="shared" si="181"/>
        <v>#VALUE!</v>
      </c>
      <c r="U159" s="4" t="e">
        <f t="shared" si="182"/>
        <v>#VALUE!</v>
      </c>
      <c r="V159" s="4" t="b">
        <f t="shared" si="172"/>
        <v>0</v>
      </c>
      <c r="W159" s="13" t="str">
        <f t="shared" si="173"/>
        <v>Да</v>
      </c>
      <c r="X159" s="4" t="e">
        <f>(IF(COUNTIFS($G$2:G159,"+",$W$2:W159,"Да")&gt;1,"&amp; ","")&amp;D159&amp;J159&amp;E159&amp;SUBSTITUTE(L159,"""",""))</f>
        <v>#VALUE!</v>
      </c>
      <c r="Y159" s="4" t="e">
        <f t="shared" si="174"/>
        <v>#VALUE!</v>
      </c>
    </row>
    <row r="160" spans="1:25" x14ac:dyDescent="0.3">
      <c r="A160" s="11"/>
      <c r="B160" s="5" t="str">
        <f t="shared" si="175"/>
        <v/>
      </c>
      <c r="C160" s="5" t="str">
        <f t="shared" si="176"/>
        <v/>
      </c>
      <c r="D160" s="4" t="s">
        <v>10</v>
      </c>
      <c r="E160" s="4" t="s">
        <v>11</v>
      </c>
      <c r="F160" s="4" t="str">
        <f t="shared" si="199"/>
        <v>!!!</v>
      </c>
      <c r="G160" s="4" t="str">
        <f t="shared" si="177"/>
        <v>+</v>
      </c>
      <c r="H160" s="4"/>
      <c r="I160" s="4" t="str">
        <f t="shared" si="200"/>
        <v>!!!</v>
      </c>
      <c r="J160" s="4" t="e">
        <f t="shared" si="201"/>
        <v>#VALUE!</v>
      </c>
      <c r="K160" s="4" t="e">
        <f t="shared" si="202"/>
        <v>#VALUE!</v>
      </c>
      <c r="L160" s="4" t="e">
        <f t="shared" si="203"/>
        <v>#VALUE!</v>
      </c>
      <c r="M160" s="4">
        <f t="shared" si="178"/>
        <v>1000</v>
      </c>
      <c r="N160" s="4">
        <f t="shared" ref="N160:O160" si="216">MIN(IFERROR(FIND(" ",$C160,M160+1),1000))</f>
        <v>1000</v>
      </c>
      <c r="O160" s="4">
        <f t="shared" si="216"/>
        <v>1000</v>
      </c>
      <c r="P160" s="4">
        <f t="shared" si="180"/>
        <v>0</v>
      </c>
      <c r="Q160" s="4" t="str">
        <f t="shared" si="169"/>
        <v/>
      </c>
      <c r="R160" s="4" t="str">
        <f t="shared" si="170"/>
        <v/>
      </c>
      <c r="S160" s="4" t="str">
        <f t="shared" si="171"/>
        <v/>
      </c>
      <c r="T160" s="4" t="e">
        <f t="shared" si="181"/>
        <v>#VALUE!</v>
      </c>
      <c r="U160" s="4" t="e">
        <f t="shared" si="182"/>
        <v>#VALUE!</v>
      </c>
      <c r="V160" s="4" t="b">
        <f t="shared" si="172"/>
        <v>0</v>
      </c>
      <c r="W160" s="13" t="str">
        <f t="shared" si="173"/>
        <v>Да</v>
      </c>
      <c r="X160" s="4" t="e">
        <f>(IF(COUNTIFS($G$2:G160,"+",$W$2:W160,"Да")&gt;1,"&amp; ","")&amp;D160&amp;J160&amp;E160&amp;SUBSTITUTE(L160,"""",""))</f>
        <v>#VALUE!</v>
      </c>
      <c r="Y160" s="4" t="e">
        <f t="shared" si="174"/>
        <v>#VALUE!</v>
      </c>
    </row>
    <row r="161" spans="1:25" x14ac:dyDescent="0.3">
      <c r="A161" s="11"/>
      <c r="B161" s="5" t="str">
        <f t="shared" si="175"/>
        <v/>
      </c>
      <c r="C161" s="5" t="str">
        <f t="shared" si="176"/>
        <v/>
      </c>
      <c r="D161" s="4" t="s">
        <v>10</v>
      </c>
      <c r="E161" s="4" t="s">
        <v>11</v>
      </c>
      <c r="F161" s="4" t="str">
        <f t="shared" si="199"/>
        <v>!!!</v>
      </c>
      <c r="G161" s="4" t="str">
        <f t="shared" si="177"/>
        <v>+</v>
      </c>
      <c r="H161" s="4"/>
      <c r="I161" s="4" t="str">
        <f t="shared" si="200"/>
        <v>!!!</v>
      </c>
      <c r="J161" s="4" t="e">
        <f t="shared" si="201"/>
        <v>#VALUE!</v>
      </c>
      <c r="K161" s="4" t="e">
        <f t="shared" si="202"/>
        <v>#VALUE!</v>
      </c>
      <c r="L161" s="4" t="e">
        <f t="shared" si="203"/>
        <v>#VALUE!</v>
      </c>
      <c r="M161" s="4">
        <f t="shared" si="178"/>
        <v>1000</v>
      </c>
      <c r="N161" s="4">
        <f t="shared" ref="N161:O161" si="217">MIN(IFERROR(FIND(" ",$C161,M161+1),1000))</f>
        <v>1000</v>
      </c>
      <c r="O161" s="4">
        <f t="shared" si="217"/>
        <v>1000</v>
      </c>
      <c r="P161" s="4">
        <f t="shared" si="180"/>
        <v>0</v>
      </c>
      <c r="Q161" s="4" t="str">
        <f t="shared" si="169"/>
        <v/>
      </c>
      <c r="R161" s="4" t="str">
        <f t="shared" si="170"/>
        <v/>
      </c>
      <c r="S161" s="4" t="str">
        <f t="shared" si="171"/>
        <v/>
      </c>
      <c r="T161" s="4" t="e">
        <f t="shared" si="181"/>
        <v>#VALUE!</v>
      </c>
      <c r="U161" s="4" t="e">
        <f t="shared" si="182"/>
        <v>#VALUE!</v>
      </c>
      <c r="V161" s="4" t="b">
        <f t="shared" si="172"/>
        <v>0</v>
      </c>
      <c r="W161" s="13" t="str">
        <f t="shared" si="173"/>
        <v>Да</v>
      </c>
      <c r="X161" s="4" t="e">
        <f>(IF(COUNTIFS($G$2:G161,"+",$W$2:W161,"Да")&gt;1,"&amp; ","")&amp;D161&amp;J161&amp;E161&amp;SUBSTITUTE(L161,"""",""))</f>
        <v>#VALUE!</v>
      </c>
      <c r="Y161" s="4" t="e">
        <f t="shared" si="174"/>
        <v>#VALUE!</v>
      </c>
    </row>
    <row r="162" spans="1:25" x14ac:dyDescent="0.3">
      <c r="A162" s="11"/>
      <c r="B162" s="5" t="str">
        <f t="shared" si="175"/>
        <v/>
      </c>
      <c r="C162" s="5" t="str">
        <f t="shared" si="176"/>
        <v/>
      </c>
      <c r="D162" s="4" t="s">
        <v>10</v>
      </c>
      <c r="E162" s="4" t="s">
        <v>11</v>
      </c>
      <c r="F162" s="4" t="str">
        <f t="shared" si="199"/>
        <v>!!!</v>
      </c>
      <c r="G162" s="4" t="str">
        <f t="shared" si="177"/>
        <v>+</v>
      </c>
      <c r="H162" s="4"/>
      <c r="I162" s="4" t="str">
        <f t="shared" si="200"/>
        <v>!!!</v>
      </c>
      <c r="J162" s="4" t="e">
        <f t="shared" si="201"/>
        <v>#VALUE!</v>
      </c>
      <c r="K162" s="4" t="e">
        <f t="shared" si="202"/>
        <v>#VALUE!</v>
      </c>
      <c r="L162" s="4" t="e">
        <f t="shared" si="203"/>
        <v>#VALUE!</v>
      </c>
      <c r="M162" s="4">
        <f t="shared" si="178"/>
        <v>1000</v>
      </c>
      <c r="N162" s="4">
        <f t="shared" ref="N162:O162" si="218">MIN(IFERROR(FIND(" ",$C162,M162+1),1000))</f>
        <v>1000</v>
      </c>
      <c r="O162" s="4">
        <f t="shared" si="218"/>
        <v>1000</v>
      </c>
      <c r="P162" s="4">
        <f t="shared" si="180"/>
        <v>0</v>
      </c>
      <c r="Q162" s="4" t="str">
        <f t="shared" si="169"/>
        <v/>
      </c>
      <c r="R162" s="4" t="str">
        <f t="shared" si="170"/>
        <v/>
      </c>
      <c r="S162" s="4" t="str">
        <f t="shared" si="171"/>
        <v/>
      </c>
      <c r="T162" s="4" t="e">
        <f t="shared" si="181"/>
        <v>#VALUE!</v>
      </c>
      <c r="U162" s="4" t="e">
        <f t="shared" si="182"/>
        <v>#VALUE!</v>
      </c>
      <c r="V162" s="4" t="b">
        <f t="shared" si="172"/>
        <v>0</v>
      </c>
      <c r="W162" s="13" t="str">
        <f t="shared" si="173"/>
        <v>Да</v>
      </c>
      <c r="X162" s="4" t="e">
        <f>(IF(COUNTIFS($G$2:G162,"+",$W$2:W162,"Да")&gt;1,"&amp; ","")&amp;D162&amp;J162&amp;E162&amp;SUBSTITUTE(L162,"""",""))</f>
        <v>#VALUE!</v>
      </c>
      <c r="Y162" s="4" t="e">
        <f t="shared" si="174"/>
        <v>#VALUE!</v>
      </c>
    </row>
    <row r="163" spans="1:25" x14ac:dyDescent="0.3">
      <c r="A163" s="11"/>
      <c r="B163" s="5" t="str">
        <f t="shared" si="175"/>
        <v/>
      </c>
      <c r="C163" s="5" t="str">
        <f t="shared" si="176"/>
        <v/>
      </c>
      <c r="D163" s="4" t="s">
        <v>10</v>
      </c>
      <c r="E163" s="4" t="s">
        <v>11</v>
      </c>
      <c r="F163" s="4" t="str">
        <f t="shared" si="199"/>
        <v>!!!</v>
      </c>
      <c r="G163" s="4" t="str">
        <f t="shared" si="177"/>
        <v>+</v>
      </c>
      <c r="H163" s="4"/>
      <c r="I163" s="4" t="str">
        <f t="shared" si="200"/>
        <v>!!!</v>
      </c>
      <c r="J163" s="4" t="e">
        <f t="shared" si="201"/>
        <v>#VALUE!</v>
      </c>
      <c r="K163" s="4" t="e">
        <f t="shared" si="202"/>
        <v>#VALUE!</v>
      </c>
      <c r="L163" s="4" t="e">
        <f t="shared" si="203"/>
        <v>#VALUE!</v>
      </c>
      <c r="M163" s="4">
        <f t="shared" si="178"/>
        <v>1000</v>
      </c>
      <c r="N163" s="4">
        <f t="shared" ref="N163:O163" si="219">MIN(IFERROR(FIND(" ",$C163,M163+1),1000))</f>
        <v>1000</v>
      </c>
      <c r="O163" s="4">
        <f t="shared" si="219"/>
        <v>1000</v>
      </c>
      <c r="P163" s="4">
        <f t="shared" si="180"/>
        <v>0</v>
      </c>
      <c r="Q163" s="4" t="str">
        <f t="shared" si="169"/>
        <v/>
      </c>
      <c r="R163" s="4" t="str">
        <f t="shared" si="170"/>
        <v/>
      </c>
      <c r="S163" s="4" t="str">
        <f t="shared" si="171"/>
        <v/>
      </c>
      <c r="T163" s="4" t="e">
        <f t="shared" si="181"/>
        <v>#VALUE!</v>
      </c>
      <c r="U163" s="4" t="e">
        <f t="shared" si="182"/>
        <v>#VALUE!</v>
      </c>
      <c r="V163" s="4" t="b">
        <f t="shared" si="172"/>
        <v>0</v>
      </c>
      <c r="W163" s="13" t="str">
        <f t="shared" si="173"/>
        <v>Да</v>
      </c>
      <c r="X163" s="4" t="e">
        <f>(IF(COUNTIFS($G$2:G163,"+",$W$2:W163,"Да")&gt;1,"&amp; ","")&amp;D163&amp;J163&amp;E163&amp;SUBSTITUTE(L163,"""",""))</f>
        <v>#VALUE!</v>
      </c>
      <c r="Y163" s="4" t="e">
        <f t="shared" si="174"/>
        <v>#VALUE!</v>
      </c>
    </row>
    <row r="164" spans="1:25" x14ac:dyDescent="0.3">
      <c r="A164" s="11"/>
      <c r="B164" s="5" t="str">
        <f t="shared" si="175"/>
        <v/>
      </c>
      <c r="C164" s="5" t="str">
        <f t="shared" si="176"/>
        <v/>
      </c>
      <c r="D164" s="4" t="s">
        <v>10</v>
      </c>
      <c r="E164" s="4" t="s">
        <v>11</v>
      </c>
      <c r="F164" s="4" t="str">
        <f t="shared" si="199"/>
        <v>!!!</v>
      </c>
      <c r="G164" s="4" t="str">
        <f t="shared" si="177"/>
        <v>+</v>
      </c>
      <c r="H164" s="4"/>
      <c r="I164" s="4" t="str">
        <f t="shared" si="200"/>
        <v>!!!</v>
      </c>
      <c r="J164" s="4" t="e">
        <f t="shared" si="201"/>
        <v>#VALUE!</v>
      </c>
      <c r="K164" s="4" t="e">
        <f t="shared" si="202"/>
        <v>#VALUE!</v>
      </c>
      <c r="L164" s="4" t="e">
        <f t="shared" si="203"/>
        <v>#VALUE!</v>
      </c>
      <c r="M164" s="4">
        <f t="shared" si="178"/>
        <v>1000</v>
      </c>
      <c r="N164" s="4">
        <f t="shared" ref="N164:O164" si="220">MIN(IFERROR(FIND(" ",$C164,M164+1),1000))</f>
        <v>1000</v>
      </c>
      <c r="O164" s="4">
        <f t="shared" si="220"/>
        <v>1000</v>
      </c>
      <c r="P164" s="4">
        <f t="shared" si="180"/>
        <v>0</v>
      </c>
      <c r="Q164" s="4" t="str">
        <f t="shared" si="169"/>
        <v/>
      </c>
      <c r="R164" s="4" t="str">
        <f t="shared" si="170"/>
        <v/>
      </c>
      <c r="S164" s="4" t="str">
        <f t="shared" si="171"/>
        <v/>
      </c>
      <c r="T164" s="4" t="e">
        <f t="shared" si="181"/>
        <v>#VALUE!</v>
      </c>
      <c r="U164" s="4" t="e">
        <f t="shared" si="182"/>
        <v>#VALUE!</v>
      </c>
      <c r="V164" s="4" t="b">
        <f t="shared" si="172"/>
        <v>0</v>
      </c>
      <c r="W164" s="13" t="str">
        <f t="shared" si="173"/>
        <v>Да</v>
      </c>
      <c r="X164" s="4" t="e">
        <f>(IF(COUNTIFS($G$2:G164,"+",$W$2:W164,"Да")&gt;1,"&amp; ","")&amp;D164&amp;J164&amp;E164&amp;SUBSTITUTE(L164,"""",""))</f>
        <v>#VALUE!</v>
      </c>
      <c r="Y164" s="4" t="e">
        <f t="shared" si="174"/>
        <v>#VALUE!</v>
      </c>
    </row>
    <row r="165" spans="1:25" x14ac:dyDescent="0.3">
      <c r="A165" s="11"/>
      <c r="B165" s="5" t="str">
        <f t="shared" si="175"/>
        <v/>
      </c>
      <c r="C165" s="5" t="str">
        <f t="shared" si="176"/>
        <v/>
      </c>
      <c r="D165" s="4" t="s">
        <v>10</v>
      </c>
      <c r="E165" s="4" t="s">
        <v>11</v>
      </c>
      <c r="F165" s="4" t="str">
        <f t="shared" si="199"/>
        <v>!!!</v>
      </c>
      <c r="G165" s="4" t="str">
        <f t="shared" si="177"/>
        <v>+</v>
      </c>
      <c r="H165" s="4"/>
      <c r="I165" s="4" t="str">
        <f t="shared" si="200"/>
        <v>!!!</v>
      </c>
      <c r="J165" s="4" t="e">
        <f t="shared" si="201"/>
        <v>#VALUE!</v>
      </c>
      <c r="K165" s="4" t="e">
        <f t="shared" si="202"/>
        <v>#VALUE!</v>
      </c>
      <c r="L165" s="4" t="e">
        <f t="shared" si="203"/>
        <v>#VALUE!</v>
      </c>
      <c r="M165" s="4">
        <f t="shared" si="178"/>
        <v>1000</v>
      </c>
      <c r="N165" s="4">
        <f t="shared" ref="N165:O165" si="221">MIN(IFERROR(FIND(" ",$C165,M165+1),1000))</f>
        <v>1000</v>
      </c>
      <c r="O165" s="4">
        <f t="shared" si="221"/>
        <v>1000</v>
      </c>
      <c r="P165" s="4">
        <f t="shared" si="180"/>
        <v>0</v>
      </c>
      <c r="Q165" s="4" t="str">
        <f t="shared" si="169"/>
        <v/>
      </c>
      <c r="R165" s="4" t="str">
        <f t="shared" si="170"/>
        <v/>
      </c>
      <c r="S165" s="4" t="str">
        <f t="shared" si="171"/>
        <v/>
      </c>
      <c r="T165" s="4" t="e">
        <f t="shared" si="181"/>
        <v>#VALUE!</v>
      </c>
      <c r="U165" s="4" t="e">
        <f t="shared" si="182"/>
        <v>#VALUE!</v>
      </c>
      <c r="V165" s="4" t="b">
        <f t="shared" si="172"/>
        <v>0</v>
      </c>
      <c r="W165" s="13" t="str">
        <f t="shared" si="173"/>
        <v>Да</v>
      </c>
      <c r="X165" s="4" t="e">
        <f>(IF(COUNTIFS($G$2:G165,"+",$W$2:W165,"Да")&gt;1,"&amp; ","")&amp;D165&amp;J165&amp;E165&amp;SUBSTITUTE(L165,"""",""))</f>
        <v>#VALUE!</v>
      </c>
      <c r="Y165" s="4" t="e">
        <f t="shared" si="174"/>
        <v>#VALUE!</v>
      </c>
    </row>
    <row r="166" spans="1:25" x14ac:dyDescent="0.3">
      <c r="A166" s="11"/>
      <c r="B166" s="5" t="str">
        <f t="shared" si="175"/>
        <v/>
      </c>
      <c r="C166" s="5" t="str">
        <f t="shared" si="176"/>
        <v/>
      </c>
      <c r="D166" s="4" t="s">
        <v>10</v>
      </c>
      <c r="E166" s="4" t="s">
        <v>11</v>
      </c>
      <c r="F166" s="4" t="str">
        <f t="shared" si="199"/>
        <v>!!!</v>
      </c>
      <c r="G166" s="4" t="str">
        <f t="shared" si="177"/>
        <v>+</v>
      </c>
      <c r="H166" s="4"/>
      <c r="I166" s="4" t="str">
        <f t="shared" si="200"/>
        <v>!!!</v>
      </c>
      <c r="J166" s="4" t="e">
        <f t="shared" si="201"/>
        <v>#VALUE!</v>
      </c>
      <c r="K166" s="4" t="e">
        <f t="shared" si="202"/>
        <v>#VALUE!</v>
      </c>
      <c r="L166" s="4" t="e">
        <f t="shared" si="203"/>
        <v>#VALUE!</v>
      </c>
      <c r="M166" s="4">
        <f t="shared" si="178"/>
        <v>1000</v>
      </c>
      <c r="N166" s="4">
        <f t="shared" ref="N166:O166" si="222">MIN(IFERROR(FIND(" ",$C166,M166+1),1000))</f>
        <v>1000</v>
      </c>
      <c r="O166" s="4">
        <f t="shared" si="222"/>
        <v>1000</v>
      </c>
      <c r="P166" s="4">
        <f t="shared" si="180"/>
        <v>0</v>
      </c>
      <c r="Q166" s="4" t="str">
        <f t="shared" si="169"/>
        <v/>
      </c>
      <c r="R166" s="4" t="str">
        <f t="shared" si="170"/>
        <v/>
      </c>
      <c r="S166" s="4" t="str">
        <f t="shared" si="171"/>
        <v/>
      </c>
      <c r="T166" s="4" t="e">
        <f t="shared" si="181"/>
        <v>#VALUE!</v>
      </c>
      <c r="U166" s="4" t="e">
        <f t="shared" si="182"/>
        <v>#VALUE!</v>
      </c>
      <c r="V166" s="4" t="b">
        <f t="shared" si="172"/>
        <v>0</v>
      </c>
      <c r="W166" s="13" t="str">
        <f t="shared" si="173"/>
        <v>Да</v>
      </c>
      <c r="X166" s="4" t="e">
        <f>(IF(COUNTIFS($G$2:G166,"+",$W$2:W166,"Да")&gt;1,"&amp; ","")&amp;D166&amp;J166&amp;E166&amp;SUBSTITUTE(L166,"""",""))</f>
        <v>#VALUE!</v>
      </c>
      <c r="Y166" s="4" t="e">
        <f t="shared" si="174"/>
        <v>#VALUE!</v>
      </c>
    </row>
    <row r="167" spans="1:25" x14ac:dyDescent="0.3">
      <c r="A167" s="11"/>
      <c r="B167" s="5" t="str">
        <f t="shared" si="175"/>
        <v/>
      </c>
      <c r="C167" s="5" t="str">
        <f t="shared" si="176"/>
        <v/>
      </c>
      <c r="D167" s="4" t="s">
        <v>10</v>
      </c>
      <c r="E167" s="4" t="s">
        <v>11</v>
      </c>
      <c r="F167" s="4" t="str">
        <f t="shared" si="199"/>
        <v>!!!</v>
      </c>
      <c r="G167" s="4" t="str">
        <f t="shared" si="177"/>
        <v>+</v>
      </c>
      <c r="H167" s="4"/>
      <c r="I167" s="4" t="str">
        <f t="shared" si="200"/>
        <v>!!!</v>
      </c>
      <c r="J167" s="4" t="e">
        <f t="shared" si="201"/>
        <v>#VALUE!</v>
      </c>
      <c r="K167" s="4" t="e">
        <f t="shared" si="202"/>
        <v>#VALUE!</v>
      </c>
      <c r="L167" s="4" t="e">
        <f t="shared" si="203"/>
        <v>#VALUE!</v>
      </c>
      <c r="M167" s="4">
        <f t="shared" si="178"/>
        <v>1000</v>
      </c>
      <c r="N167" s="4">
        <f t="shared" ref="N167:O167" si="223">MIN(IFERROR(FIND(" ",$C167,M167+1),1000))</f>
        <v>1000</v>
      </c>
      <c r="O167" s="4">
        <f t="shared" si="223"/>
        <v>1000</v>
      </c>
      <c r="P167" s="4">
        <f t="shared" si="180"/>
        <v>0</v>
      </c>
      <c r="Q167" s="4" t="str">
        <f t="shared" si="169"/>
        <v/>
      </c>
      <c r="R167" s="4" t="str">
        <f t="shared" si="170"/>
        <v/>
      </c>
      <c r="S167" s="4" t="str">
        <f t="shared" si="171"/>
        <v/>
      </c>
      <c r="T167" s="4" t="e">
        <f t="shared" si="181"/>
        <v>#VALUE!</v>
      </c>
      <c r="U167" s="4" t="e">
        <f t="shared" si="182"/>
        <v>#VALUE!</v>
      </c>
      <c r="V167" s="4" t="b">
        <f t="shared" si="172"/>
        <v>0</v>
      </c>
      <c r="W167" s="13" t="str">
        <f t="shared" si="173"/>
        <v>Да</v>
      </c>
      <c r="X167" s="4" t="e">
        <f>(IF(COUNTIFS($G$2:G167,"+",$W$2:W167,"Да")&gt;1,"&amp; ","")&amp;D167&amp;J167&amp;E167&amp;SUBSTITUTE(L167,"""",""))</f>
        <v>#VALUE!</v>
      </c>
      <c r="Y167" s="4" t="e">
        <f t="shared" si="174"/>
        <v>#VALUE!</v>
      </c>
    </row>
    <row r="168" spans="1:25" x14ac:dyDescent="0.3">
      <c r="A168" s="11"/>
      <c r="B168" s="5" t="str">
        <f t="shared" si="175"/>
        <v/>
      </c>
      <c r="C168" s="5" t="str">
        <f t="shared" si="176"/>
        <v/>
      </c>
      <c r="D168" s="4" t="s">
        <v>10</v>
      </c>
      <c r="E168" s="4" t="s">
        <v>11</v>
      </c>
      <c r="F168" s="4" t="str">
        <f t="shared" si="199"/>
        <v>!!!</v>
      </c>
      <c r="G168" s="4" t="str">
        <f t="shared" si="177"/>
        <v>+</v>
      </c>
      <c r="H168" s="4"/>
      <c r="I168" s="4" t="str">
        <f t="shared" si="200"/>
        <v>!!!</v>
      </c>
      <c r="J168" s="4" t="e">
        <f t="shared" si="201"/>
        <v>#VALUE!</v>
      </c>
      <c r="K168" s="4" t="e">
        <f t="shared" si="202"/>
        <v>#VALUE!</v>
      </c>
      <c r="L168" s="4" t="e">
        <f t="shared" si="203"/>
        <v>#VALUE!</v>
      </c>
      <c r="M168" s="4">
        <f t="shared" si="178"/>
        <v>1000</v>
      </c>
      <c r="N168" s="4">
        <f t="shared" ref="N168:O168" si="224">MIN(IFERROR(FIND(" ",$C168,M168+1),1000))</f>
        <v>1000</v>
      </c>
      <c r="O168" s="4">
        <f t="shared" si="224"/>
        <v>1000</v>
      </c>
      <c r="P168" s="4">
        <f t="shared" si="180"/>
        <v>0</v>
      </c>
      <c r="Q168" s="4" t="str">
        <f t="shared" si="169"/>
        <v/>
      </c>
      <c r="R168" s="4" t="str">
        <f t="shared" si="170"/>
        <v/>
      </c>
      <c r="S168" s="4" t="str">
        <f t="shared" si="171"/>
        <v/>
      </c>
      <c r="T168" s="4" t="e">
        <f t="shared" si="181"/>
        <v>#VALUE!</v>
      </c>
      <c r="U168" s="4" t="e">
        <f t="shared" si="182"/>
        <v>#VALUE!</v>
      </c>
      <c r="V168" s="4" t="b">
        <f t="shared" si="172"/>
        <v>0</v>
      </c>
      <c r="W168" s="13" t="str">
        <f t="shared" si="173"/>
        <v>Да</v>
      </c>
      <c r="X168" s="4" t="e">
        <f>(IF(COUNTIFS($G$2:G168,"+",$W$2:W168,"Да")&gt;1,"&amp; ","")&amp;D168&amp;J168&amp;E168&amp;SUBSTITUTE(L168,"""",""))</f>
        <v>#VALUE!</v>
      </c>
      <c r="Y168" s="4" t="e">
        <f t="shared" si="174"/>
        <v>#VALUE!</v>
      </c>
    </row>
    <row r="169" spans="1:25" x14ac:dyDescent="0.3">
      <c r="A169" s="11"/>
      <c r="B169" s="5" t="str">
        <f t="shared" si="175"/>
        <v/>
      </c>
      <c r="C169" s="5" t="str">
        <f t="shared" si="176"/>
        <v/>
      </c>
      <c r="D169" s="4" t="s">
        <v>10</v>
      </c>
      <c r="E169" s="4" t="s">
        <v>11</v>
      </c>
      <c r="F169" s="4" t="str">
        <f t="shared" si="199"/>
        <v>!!!</v>
      </c>
      <c r="G169" s="4" t="str">
        <f t="shared" si="177"/>
        <v>+</v>
      </c>
      <c r="H169" s="4"/>
      <c r="I169" s="4" t="str">
        <f t="shared" si="200"/>
        <v>!!!</v>
      </c>
      <c r="J169" s="4" t="e">
        <f t="shared" si="201"/>
        <v>#VALUE!</v>
      </c>
      <c r="K169" s="4" t="e">
        <f t="shared" si="202"/>
        <v>#VALUE!</v>
      </c>
      <c r="L169" s="4" t="e">
        <f t="shared" si="203"/>
        <v>#VALUE!</v>
      </c>
      <c r="M169" s="4">
        <f t="shared" si="178"/>
        <v>1000</v>
      </c>
      <c r="N169" s="4">
        <f t="shared" ref="N169:O169" si="225">MIN(IFERROR(FIND(" ",$C169,M169+1),1000))</f>
        <v>1000</v>
      </c>
      <c r="O169" s="4">
        <f t="shared" si="225"/>
        <v>1000</v>
      </c>
      <c r="P169" s="4">
        <f t="shared" si="180"/>
        <v>0</v>
      </c>
      <c r="Q169" s="4" t="str">
        <f t="shared" si="169"/>
        <v/>
      </c>
      <c r="R169" s="4" t="str">
        <f t="shared" si="170"/>
        <v/>
      </c>
      <c r="S169" s="4" t="str">
        <f t="shared" si="171"/>
        <v/>
      </c>
      <c r="T169" s="4" t="e">
        <f t="shared" si="181"/>
        <v>#VALUE!</v>
      </c>
      <c r="U169" s="4" t="e">
        <f t="shared" si="182"/>
        <v>#VALUE!</v>
      </c>
      <c r="V169" s="4" t="b">
        <f t="shared" si="172"/>
        <v>0</v>
      </c>
      <c r="W169" s="13" t="str">
        <f t="shared" si="173"/>
        <v>Да</v>
      </c>
      <c r="X169" s="4" t="e">
        <f>(IF(COUNTIFS($G$2:G169,"+",$W$2:W169,"Да")&gt;1,"&amp; ","")&amp;D169&amp;J169&amp;E169&amp;SUBSTITUTE(L169,"""",""))</f>
        <v>#VALUE!</v>
      </c>
      <c r="Y169" s="4" t="e">
        <f t="shared" si="174"/>
        <v>#VALUE!</v>
      </c>
    </row>
    <row r="170" spans="1:25" x14ac:dyDescent="0.3">
      <c r="A170" s="11"/>
      <c r="B170" s="5" t="str">
        <f t="shared" si="175"/>
        <v/>
      </c>
      <c r="C170" s="5" t="str">
        <f t="shared" si="176"/>
        <v/>
      </c>
      <c r="D170" s="4" t="s">
        <v>10</v>
      </c>
      <c r="E170" s="4" t="s">
        <v>11</v>
      </c>
      <c r="F170" s="4" t="str">
        <f t="shared" si="199"/>
        <v>!!!</v>
      </c>
      <c r="G170" s="4" t="str">
        <f t="shared" si="177"/>
        <v>+</v>
      </c>
      <c r="H170" s="4"/>
      <c r="I170" s="4" t="str">
        <f t="shared" si="200"/>
        <v>!!!</v>
      </c>
      <c r="J170" s="4" t="e">
        <f t="shared" si="201"/>
        <v>#VALUE!</v>
      </c>
      <c r="K170" s="4" t="e">
        <f t="shared" si="202"/>
        <v>#VALUE!</v>
      </c>
      <c r="L170" s="4" t="e">
        <f t="shared" si="203"/>
        <v>#VALUE!</v>
      </c>
      <c r="M170" s="4">
        <f t="shared" si="178"/>
        <v>1000</v>
      </c>
      <c r="N170" s="4">
        <f t="shared" ref="N170:O170" si="226">MIN(IFERROR(FIND(" ",$C170,M170+1),1000))</f>
        <v>1000</v>
      </c>
      <c r="O170" s="4">
        <f t="shared" si="226"/>
        <v>1000</v>
      </c>
      <c r="P170" s="4">
        <f t="shared" si="180"/>
        <v>0</v>
      </c>
      <c r="Q170" s="4" t="str">
        <f t="shared" si="169"/>
        <v/>
      </c>
      <c r="R170" s="4" t="str">
        <f t="shared" si="170"/>
        <v/>
      </c>
      <c r="S170" s="4" t="str">
        <f t="shared" si="171"/>
        <v/>
      </c>
      <c r="T170" s="4" t="e">
        <f t="shared" si="181"/>
        <v>#VALUE!</v>
      </c>
      <c r="U170" s="4" t="e">
        <f t="shared" si="182"/>
        <v>#VALUE!</v>
      </c>
      <c r="V170" s="4" t="b">
        <f t="shared" si="172"/>
        <v>0</v>
      </c>
      <c r="W170" s="13" t="str">
        <f t="shared" si="173"/>
        <v>Да</v>
      </c>
      <c r="X170" s="4" t="e">
        <f>(IF(COUNTIFS($G$2:G170,"+",$W$2:W170,"Да")&gt;1,"&amp; ","")&amp;D170&amp;J170&amp;E170&amp;SUBSTITUTE(L170,"""",""))</f>
        <v>#VALUE!</v>
      </c>
      <c r="Y170" s="4" t="e">
        <f t="shared" si="174"/>
        <v>#VALUE!</v>
      </c>
    </row>
    <row r="171" spans="1:25" x14ac:dyDescent="0.3">
      <c r="A171" s="11"/>
      <c r="B171" s="5" t="str">
        <f t="shared" si="175"/>
        <v/>
      </c>
      <c r="C171" s="5" t="str">
        <f t="shared" si="176"/>
        <v/>
      </c>
      <c r="D171" s="4" t="s">
        <v>10</v>
      </c>
      <c r="E171" s="4" t="s">
        <v>11</v>
      </c>
      <c r="F171" s="4" t="str">
        <f t="shared" si="199"/>
        <v>!!!</v>
      </c>
      <c r="G171" s="4" t="str">
        <f t="shared" si="177"/>
        <v>+</v>
      </c>
      <c r="H171" s="4"/>
      <c r="I171" s="4" t="str">
        <f t="shared" si="200"/>
        <v>!!!</v>
      </c>
      <c r="J171" s="4" t="e">
        <f t="shared" si="201"/>
        <v>#VALUE!</v>
      </c>
      <c r="K171" s="4" t="e">
        <f t="shared" si="202"/>
        <v>#VALUE!</v>
      </c>
      <c r="L171" s="4" t="e">
        <f t="shared" si="203"/>
        <v>#VALUE!</v>
      </c>
      <c r="M171" s="4">
        <f t="shared" si="178"/>
        <v>1000</v>
      </c>
      <c r="N171" s="4">
        <f t="shared" ref="N171:O171" si="227">MIN(IFERROR(FIND(" ",$C171,M171+1),1000))</f>
        <v>1000</v>
      </c>
      <c r="O171" s="4">
        <f t="shared" si="227"/>
        <v>1000</v>
      </c>
      <c r="P171" s="4">
        <f t="shared" si="180"/>
        <v>0</v>
      </c>
      <c r="Q171" s="4" t="str">
        <f t="shared" si="169"/>
        <v/>
      </c>
      <c r="R171" s="4" t="str">
        <f t="shared" si="170"/>
        <v/>
      </c>
      <c r="S171" s="4" t="str">
        <f t="shared" si="171"/>
        <v/>
      </c>
      <c r="T171" s="4" t="e">
        <f t="shared" si="181"/>
        <v>#VALUE!</v>
      </c>
      <c r="U171" s="4" t="e">
        <f t="shared" si="182"/>
        <v>#VALUE!</v>
      </c>
      <c r="V171" s="4" t="b">
        <f t="shared" si="172"/>
        <v>0</v>
      </c>
      <c r="W171" s="13" t="str">
        <f t="shared" si="173"/>
        <v>Да</v>
      </c>
      <c r="X171" s="4" t="e">
        <f>(IF(COUNTIFS($G$2:G171,"+",$W$2:W171,"Да")&gt;1,"&amp; ","")&amp;D171&amp;J171&amp;E171&amp;SUBSTITUTE(L171,"""",""))</f>
        <v>#VALUE!</v>
      </c>
      <c r="Y171" s="4" t="e">
        <f t="shared" si="174"/>
        <v>#VALUE!</v>
      </c>
    </row>
    <row r="172" spans="1:25" x14ac:dyDescent="0.3">
      <c r="A172" s="11"/>
      <c r="B172" s="5" t="str">
        <f t="shared" si="175"/>
        <v/>
      </c>
      <c r="C172" s="5" t="str">
        <f t="shared" si="176"/>
        <v/>
      </c>
      <c r="D172" s="4" t="s">
        <v>10</v>
      </c>
      <c r="E172" s="4" t="s">
        <v>11</v>
      </c>
      <c r="F172" s="4" t="str">
        <f t="shared" si="199"/>
        <v>!!!</v>
      </c>
      <c r="G172" s="4" t="str">
        <f t="shared" si="177"/>
        <v>+</v>
      </c>
      <c r="H172" s="4"/>
      <c r="I172" s="4" t="str">
        <f t="shared" si="200"/>
        <v>!!!</v>
      </c>
      <c r="J172" s="4" t="e">
        <f t="shared" si="201"/>
        <v>#VALUE!</v>
      </c>
      <c r="K172" s="4" t="e">
        <f t="shared" si="202"/>
        <v>#VALUE!</v>
      </c>
      <c r="L172" s="4" t="e">
        <f t="shared" si="203"/>
        <v>#VALUE!</v>
      </c>
      <c r="M172" s="4">
        <f t="shared" si="178"/>
        <v>1000</v>
      </c>
      <c r="N172" s="4">
        <f t="shared" ref="N172:O172" si="228">MIN(IFERROR(FIND(" ",$C172,M172+1),1000))</f>
        <v>1000</v>
      </c>
      <c r="O172" s="4">
        <f t="shared" si="228"/>
        <v>1000</v>
      </c>
      <c r="P172" s="4">
        <f t="shared" si="180"/>
        <v>0</v>
      </c>
      <c r="Q172" s="4" t="str">
        <f t="shared" si="169"/>
        <v/>
      </c>
      <c r="R172" s="4" t="str">
        <f t="shared" si="170"/>
        <v/>
      </c>
      <c r="S172" s="4" t="str">
        <f t="shared" si="171"/>
        <v/>
      </c>
      <c r="T172" s="4" t="e">
        <f t="shared" si="181"/>
        <v>#VALUE!</v>
      </c>
      <c r="U172" s="4" t="e">
        <f t="shared" si="182"/>
        <v>#VALUE!</v>
      </c>
      <c r="V172" s="4" t="b">
        <f t="shared" si="172"/>
        <v>0</v>
      </c>
      <c r="W172" s="13" t="str">
        <f t="shared" si="173"/>
        <v>Да</v>
      </c>
      <c r="X172" s="4" t="e">
        <f>(IF(COUNTIFS($G$2:G172,"+",$W$2:W172,"Да")&gt;1,"&amp; ","")&amp;D172&amp;J172&amp;E172&amp;SUBSTITUTE(L172,"""",""))</f>
        <v>#VALUE!</v>
      </c>
      <c r="Y172" s="4" t="e">
        <f t="shared" si="174"/>
        <v>#VALUE!</v>
      </c>
    </row>
    <row r="173" spans="1:25" x14ac:dyDescent="0.3">
      <c r="A173" s="11"/>
      <c r="B173" s="5" t="str">
        <f t="shared" si="175"/>
        <v/>
      </c>
      <c r="C173" s="5" t="str">
        <f t="shared" si="176"/>
        <v/>
      </c>
      <c r="D173" s="4" t="s">
        <v>10</v>
      </c>
      <c r="E173" s="4" t="s">
        <v>11</v>
      </c>
      <c r="F173" s="4" t="str">
        <f t="shared" si="199"/>
        <v>!!!</v>
      </c>
      <c r="G173" s="4" t="str">
        <f t="shared" si="177"/>
        <v>+</v>
      </c>
      <c r="H173" s="4"/>
      <c r="I173" s="4" t="str">
        <f t="shared" si="200"/>
        <v>!!!</v>
      </c>
      <c r="J173" s="4" t="e">
        <f t="shared" si="201"/>
        <v>#VALUE!</v>
      </c>
      <c r="K173" s="4" t="e">
        <f t="shared" si="202"/>
        <v>#VALUE!</v>
      </c>
      <c r="L173" s="4" t="e">
        <f t="shared" si="203"/>
        <v>#VALUE!</v>
      </c>
      <c r="M173" s="4">
        <f t="shared" si="178"/>
        <v>1000</v>
      </c>
      <c r="N173" s="4">
        <f t="shared" ref="N173:O173" si="229">MIN(IFERROR(FIND(" ",$C173,M173+1),1000))</f>
        <v>1000</v>
      </c>
      <c r="O173" s="4">
        <f t="shared" si="229"/>
        <v>1000</v>
      </c>
      <c r="P173" s="4">
        <f t="shared" si="180"/>
        <v>0</v>
      </c>
      <c r="Q173" s="4" t="str">
        <f t="shared" si="169"/>
        <v/>
      </c>
      <c r="R173" s="4" t="str">
        <f t="shared" si="170"/>
        <v/>
      </c>
      <c r="S173" s="4" t="str">
        <f t="shared" si="171"/>
        <v/>
      </c>
      <c r="T173" s="4" t="e">
        <f t="shared" si="181"/>
        <v>#VALUE!</v>
      </c>
      <c r="U173" s="4" t="e">
        <f t="shared" si="182"/>
        <v>#VALUE!</v>
      </c>
      <c r="V173" s="4" t="b">
        <f t="shared" si="172"/>
        <v>0</v>
      </c>
      <c r="W173" s="13" t="str">
        <f t="shared" si="173"/>
        <v>Да</v>
      </c>
      <c r="X173" s="4" t="e">
        <f>(IF(COUNTIFS($G$2:G173,"+",$W$2:W173,"Да")&gt;1,"&amp; ","")&amp;D173&amp;J173&amp;E173&amp;SUBSTITUTE(L173,"""",""))</f>
        <v>#VALUE!</v>
      </c>
      <c r="Y173" s="4" t="e">
        <f t="shared" si="174"/>
        <v>#VALUE!</v>
      </c>
    </row>
    <row r="174" spans="1:25" x14ac:dyDescent="0.3">
      <c r="A174" s="11"/>
      <c r="B174" s="5" t="str">
        <f t="shared" si="175"/>
        <v/>
      </c>
      <c r="C174" s="5" t="str">
        <f t="shared" si="176"/>
        <v/>
      </c>
      <c r="D174" s="4" t="s">
        <v>10</v>
      </c>
      <c r="E174" s="4" t="s">
        <v>11</v>
      </c>
      <c r="F174" s="4" t="str">
        <f t="shared" si="199"/>
        <v>!!!</v>
      </c>
      <c r="G174" s="4" t="str">
        <f t="shared" si="177"/>
        <v>+</v>
      </c>
      <c r="H174" s="4"/>
      <c r="I174" s="4" t="str">
        <f t="shared" si="200"/>
        <v>!!!</v>
      </c>
      <c r="J174" s="4" t="e">
        <f t="shared" si="201"/>
        <v>#VALUE!</v>
      </c>
      <c r="K174" s="4" t="e">
        <f t="shared" si="202"/>
        <v>#VALUE!</v>
      </c>
      <c r="L174" s="4" t="e">
        <f t="shared" si="203"/>
        <v>#VALUE!</v>
      </c>
      <c r="M174" s="4">
        <f t="shared" si="178"/>
        <v>1000</v>
      </c>
      <c r="N174" s="4">
        <f t="shared" ref="N174:O174" si="230">MIN(IFERROR(FIND(" ",$C174,M174+1),1000))</f>
        <v>1000</v>
      </c>
      <c r="O174" s="4">
        <f t="shared" si="230"/>
        <v>1000</v>
      </c>
      <c r="P174" s="4">
        <f t="shared" si="180"/>
        <v>0</v>
      </c>
      <c r="Q174" s="4" t="str">
        <f t="shared" si="169"/>
        <v/>
      </c>
      <c r="R174" s="4" t="str">
        <f t="shared" si="170"/>
        <v/>
      </c>
      <c r="S174" s="4" t="str">
        <f t="shared" si="171"/>
        <v/>
      </c>
      <c r="T174" s="4" t="e">
        <f t="shared" si="181"/>
        <v>#VALUE!</v>
      </c>
      <c r="U174" s="4" t="e">
        <f t="shared" si="182"/>
        <v>#VALUE!</v>
      </c>
      <c r="V174" s="4" t="b">
        <f t="shared" si="172"/>
        <v>0</v>
      </c>
      <c r="W174" s="13" t="str">
        <f t="shared" si="173"/>
        <v>Да</v>
      </c>
      <c r="X174" s="4" t="e">
        <f>(IF(COUNTIFS($G$2:G174,"+",$W$2:W174,"Да")&gt;1,"&amp; ","")&amp;D174&amp;J174&amp;E174&amp;SUBSTITUTE(L174,"""",""))</f>
        <v>#VALUE!</v>
      </c>
      <c r="Y174" s="4" t="e">
        <f t="shared" si="174"/>
        <v>#VALUE!</v>
      </c>
    </row>
    <row r="175" spans="1:25" x14ac:dyDescent="0.3">
      <c r="A175" s="11"/>
      <c r="B175" s="5" t="str">
        <f t="shared" si="175"/>
        <v/>
      </c>
      <c r="C175" s="5" t="str">
        <f t="shared" si="176"/>
        <v/>
      </c>
      <c r="D175" s="4" t="s">
        <v>10</v>
      </c>
      <c r="E175" s="4" t="s">
        <v>11</v>
      </c>
      <c r="F175" s="4" t="str">
        <f t="shared" si="199"/>
        <v>!!!</v>
      </c>
      <c r="G175" s="4" t="str">
        <f t="shared" si="177"/>
        <v>+</v>
      </c>
      <c r="H175" s="4"/>
      <c r="I175" s="4" t="str">
        <f t="shared" si="200"/>
        <v>!!!</v>
      </c>
      <c r="J175" s="4" t="e">
        <f t="shared" si="201"/>
        <v>#VALUE!</v>
      </c>
      <c r="K175" s="4" t="e">
        <f t="shared" si="202"/>
        <v>#VALUE!</v>
      </c>
      <c r="L175" s="4" t="e">
        <f t="shared" si="203"/>
        <v>#VALUE!</v>
      </c>
      <c r="M175" s="4">
        <f t="shared" si="178"/>
        <v>1000</v>
      </c>
      <c r="N175" s="4">
        <f t="shared" ref="N175:O175" si="231">MIN(IFERROR(FIND(" ",$C175,M175+1),1000))</f>
        <v>1000</v>
      </c>
      <c r="O175" s="4">
        <f t="shared" si="231"/>
        <v>1000</v>
      </c>
      <c r="P175" s="4">
        <f t="shared" si="180"/>
        <v>0</v>
      </c>
      <c r="Q175" s="4" t="str">
        <f t="shared" si="169"/>
        <v/>
      </c>
      <c r="R175" s="4" t="str">
        <f t="shared" si="170"/>
        <v/>
      </c>
      <c r="S175" s="4" t="str">
        <f t="shared" si="171"/>
        <v/>
      </c>
      <c r="T175" s="4" t="e">
        <f t="shared" si="181"/>
        <v>#VALUE!</v>
      </c>
      <c r="U175" s="4" t="e">
        <f t="shared" si="182"/>
        <v>#VALUE!</v>
      </c>
      <c r="V175" s="4" t="b">
        <f t="shared" si="172"/>
        <v>0</v>
      </c>
      <c r="W175" s="13" t="str">
        <f t="shared" si="173"/>
        <v>Да</v>
      </c>
      <c r="X175" s="4" t="e">
        <f>(IF(COUNTIFS($G$2:G175,"+",$W$2:W175,"Да")&gt;1,"&amp; ","")&amp;D175&amp;J175&amp;E175&amp;SUBSTITUTE(L175,"""",""))</f>
        <v>#VALUE!</v>
      </c>
      <c r="Y175" s="4" t="e">
        <f t="shared" si="174"/>
        <v>#VALUE!</v>
      </c>
    </row>
    <row r="176" spans="1:25" x14ac:dyDescent="0.3">
      <c r="A176" s="11"/>
      <c r="B176" s="5" t="str">
        <f t="shared" si="175"/>
        <v/>
      </c>
      <c r="C176" s="5" t="str">
        <f t="shared" si="176"/>
        <v/>
      </c>
      <c r="D176" s="4" t="s">
        <v>10</v>
      </c>
      <c r="E176" s="4" t="s">
        <v>11</v>
      </c>
      <c r="F176" s="4" t="str">
        <f t="shared" si="199"/>
        <v>!!!</v>
      </c>
      <c r="G176" s="4" t="str">
        <f t="shared" si="177"/>
        <v>+</v>
      </c>
      <c r="H176" s="4"/>
      <c r="I176" s="4" t="str">
        <f t="shared" si="200"/>
        <v>!!!</v>
      </c>
      <c r="J176" s="4" t="e">
        <f t="shared" si="201"/>
        <v>#VALUE!</v>
      </c>
      <c r="K176" s="4" t="e">
        <f t="shared" si="202"/>
        <v>#VALUE!</v>
      </c>
      <c r="L176" s="4" t="e">
        <f t="shared" si="203"/>
        <v>#VALUE!</v>
      </c>
      <c r="M176" s="4">
        <f t="shared" si="178"/>
        <v>1000</v>
      </c>
      <c r="N176" s="4">
        <f t="shared" ref="N176:O176" si="232">MIN(IFERROR(FIND(" ",$C176,M176+1),1000))</f>
        <v>1000</v>
      </c>
      <c r="O176" s="4">
        <f t="shared" si="232"/>
        <v>1000</v>
      </c>
      <c r="P176" s="4">
        <f t="shared" si="180"/>
        <v>0</v>
      </c>
      <c r="Q176" s="4" t="str">
        <f t="shared" si="169"/>
        <v/>
      </c>
      <c r="R176" s="4" t="str">
        <f t="shared" si="170"/>
        <v/>
      </c>
      <c r="S176" s="4" t="str">
        <f t="shared" si="171"/>
        <v/>
      </c>
      <c r="T176" s="4" t="e">
        <f t="shared" si="181"/>
        <v>#VALUE!</v>
      </c>
      <c r="U176" s="4" t="e">
        <f t="shared" si="182"/>
        <v>#VALUE!</v>
      </c>
      <c r="V176" s="4" t="b">
        <f t="shared" si="172"/>
        <v>0</v>
      </c>
      <c r="W176" s="13" t="str">
        <f t="shared" si="173"/>
        <v>Да</v>
      </c>
      <c r="X176" s="4" t="e">
        <f>(IF(COUNTIFS($G$2:G176,"+",$W$2:W176,"Да")&gt;1,"&amp; ","")&amp;D176&amp;J176&amp;E176&amp;SUBSTITUTE(L176,"""",""))</f>
        <v>#VALUE!</v>
      </c>
      <c r="Y176" s="4" t="e">
        <f t="shared" si="174"/>
        <v>#VALUE!</v>
      </c>
    </row>
    <row r="177" spans="1:25" x14ac:dyDescent="0.3">
      <c r="A177" s="11"/>
      <c r="B177" s="5" t="str">
        <f t="shared" si="175"/>
        <v/>
      </c>
      <c r="C177" s="5" t="str">
        <f t="shared" si="176"/>
        <v/>
      </c>
      <c r="D177" s="4" t="s">
        <v>10</v>
      </c>
      <c r="E177" s="4" t="s">
        <v>11</v>
      </c>
      <c r="F177" s="4" t="str">
        <f t="shared" si="199"/>
        <v>!!!</v>
      </c>
      <c r="G177" s="4" t="str">
        <f t="shared" si="177"/>
        <v>+</v>
      </c>
      <c r="H177" s="4"/>
      <c r="I177" s="4" t="str">
        <f t="shared" si="200"/>
        <v>!!!</v>
      </c>
      <c r="J177" s="4" t="e">
        <f t="shared" si="201"/>
        <v>#VALUE!</v>
      </c>
      <c r="K177" s="4" t="e">
        <f t="shared" si="202"/>
        <v>#VALUE!</v>
      </c>
      <c r="L177" s="4" t="e">
        <f t="shared" si="203"/>
        <v>#VALUE!</v>
      </c>
      <c r="M177" s="4">
        <f t="shared" si="178"/>
        <v>1000</v>
      </c>
      <c r="N177" s="4">
        <f t="shared" ref="N177:O177" si="233">MIN(IFERROR(FIND(" ",$C177,M177+1),1000))</f>
        <v>1000</v>
      </c>
      <c r="O177" s="4">
        <f t="shared" si="233"/>
        <v>1000</v>
      </c>
      <c r="P177" s="4">
        <f t="shared" si="180"/>
        <v>0</v>
      </c>
      <c r="Q177" s="4" t="str">
        <f t="shared" si="169"/>
        <v/>
      </c>
      <c r="R177" s="4" t="str">
        <f t="shared" si="170"/>
        <v/>
      </c>
      <c r="S177" s="4" t="str">
        <f t="shared" si="171"/>
        <v/>
      </c>
      <c r="T177" s="4" t="e">
        <f t="shared" si="181"/>
        <v>#VALUE!</v>
      </c>
      <c r="U177" s="4" t="e">
        <f t="shared" si="182"/>
        <v>#VALUE!</v>
      </c>
      <c r="V177" s="4" t="b">
        <f t="shared" si="172"/>
        <v>0</v>
      </c>
      <c r="W177" s="13" t="str">
        <f t="shared" si="173"/>
        <v>Да</v>
      </c>
      <c r="X177" s="4" t="e">
        <f>(IF(COUNTIFS($G$2:G177,"+",$W$2:W177,"Да")&gt;1,"&amp; ","")&amp;D177&amp;J177&amp;E177&amp;SUBSTITUTE(L177,"""",""))</f>
        <v>#VALUE!</v>
      </c>
      <c r="Y177" s="4" t="e">
        <f t="shared" si="174"/>
        <v>#VALUE!</v>
      </c>
    </row>
    <row r="178" spans="1:25" x14ac:dyDescent="0.3">
      <c r="A178" s="11"/>
      <c r="B178" s="5" t="str">
        <f t="shared" si="175"/>
        <v/>
      </c>
      <c r="C178" s="5" t="str">
        <f t="shared" si="176"/>
        <v/>
      </c>
      <c r="D178" s="4" t="s">
        <v>10</v>
      </c>
      <c r="E178" s="4" t="s">
        <v>11</v>
      </c>
      <c r="F178" s="4" t="str">
        <f t="shared" si="199"/>
        <v>!!!</v>
      </c>
      <c r="G178" s="4" t="str">
        <f t="shared" si="177"/>
        <v>+</v>
      </c>
      <c r="H178" s="4"/>
      <c r="I178" s="4" t="str">
        <f t="shared" si="200"/>
        <v>!!!</v>
      </c>
      <c r="J178" s="4" t="e">
        <f t="shared" si="201"/>
        <v>#VALUE!</v>
      </c>
      <c r="K178" s="4" t="e">
        <f t="shared" si="202"/>
        <v>#VALUE!</v>
      </c>
      <c r="L178" s="4" t="e">
        <f t="shared" si="203"/>
        <v>#VALUE!</v>
      </c>
      <c r="M178" s="4">
        <f t="shared" si="178"/>
        <v>1000</v>
      </c>
      <c r="N178" s="4">
        <f t="shared" ref="N178:O178" si="234">MIN(IFERROR(FIND(" ",$C178,M178+1),1000))</f>
        <v>1000</v>
      </c>
      <c r="O178" s="4">
        <f t="shared" si="234"/>
        <v>1000</v>
      </c>
      <c r="P178" s="4">
        <f t="shared" si="180"/>
        <v>0</v>
      </c>
      <c r="Q178" s="4" t="str">
        <f t="shared" si="169"/>
        <v/>
      </c>
      <c r="R178" s="4" t="str">
        <f t="shared" si="170"/>
        <v/>
      </c>
      <c r="S178" s="4" t="str">
        <f t="shared" si="171"/>
        <v/>
      </c>
      <c r="T178" s="4" t="e">
        <f t="shared" si="181"/>
        <v>#VALUE!</v>
      </c>
      <c r="U178" s="4" t="e">
        <f t="shared" si="182"/>
        <v>#VALUE!</v>
      </c>
      <c r="V178" s="4" t="b">
        <f t="shared" si="172"/>
        <v>0</v>
      </c>
      <c r="W178" s="13" t="str">
        <f t="shared" si="173"/>
        <v>Да</v>
      </c>
      <c r="X178" s="4" t="e">
        <f>(IF(COUNTIFS($G$2:G178,"+",$W$2:W178,"Да")&gt;1,"&amp; ","")&amp;D178&amp;J178&amp;E178&amp;SUBSTITUTE(L178,"""",""))</f>
        <v>#VALUE!</v>
      </c>
      <c r="Y178" s="4" t="e">
        <f t="shared" si="174"/>
        <v>#VALUE!</v>
      </c>
    </row>
    <row r="179" spans="1:25" x14ac:dyDescent="0.3">
      <c r="A179" s="11"/>
      <c r="B179" s="5" t="str">
        <f t="shared" si="175"/>
        <v/>
      </c>
      <c r="C179" s="5" t="str">
        <f t="shared" si="176"/>
        <v/>
      </c>
      <c r="D179" s="4" t="s">
        <v>10</v>
      </c>
      <c r="E179" s="4" t="s">
        <v>11</v>
      </c>
      <c r="F179" s="4" t="str">
        <f t="shared" si="199"/>
        <v>!!!</v>
      </c>
      <c r="G179" s="4" t="str">
        <f t="shared" si="177"/>
        <v>+</v>
      </c>
      <c r="H179" s="4"/>
      <c r="I179" s="4" t="str">
        <f t="shared" si="200"/>
        <v>!!!</v>
      </c>
      <c r="J179" s="4" t="e">
        <f t="shared" si="201"/>
        <v>#VALUE!</v>
      </c>
      <c r="K179" s="4" t="e">
        <f t="shared" si="202"/>
        <v>#VALUE!</v>
      </c>
      <c r="L179" s="4" t="e">
        <f t="shared" si="203"/>
        <v>#VALUE!</v>
      </c>
      <c r="M179" s="4">
        <f t="shared" si="178"/>
        <v>1000</v>
      </c>
      <c r="N179" s="4">
        <f t="shared" ref="N179:O179" si="235">MIN(IFERROR(FIND(" ",$C179,M179+1),1000))</f>
        <v>1000</v>
      </c>
      <c r="O179" s="4">
        <f t="shared" si="235"/>
        <v>1000</v>
      </c>
      <c r="P179" s="4">
        <f t="shared" si="180"/>
        <v>0</v>
      </c>
      <c r="Q179" s="4" t="str">
        <f t="shared" si="169"/>
        <v/>
      </c>
      <c r="R179" s="4" t="str">
        <f t="shared" si="170"/>
        <v/>
      </c>
      <c r="S179" s="4" t="str">
        <f t="shared" si="171"/>
        <v/>
      </c>
      <c r="T179" s="4" t="e">
        <f t="shared" si="181"/>
        <v>#VALUE!</v>
      </c>
      <c r="U179" s="4" t="e">
        <f t="shared" si="182"/>
        <v>#VALUE!</v>
      </c>
      <c r="V179" s="4" t="b">
        <f t="shared" si="172"/>
        <v>0</v>
      </c>
      <c r="W179" s="13" t="str">
        <f t="shared" si="173"/>
        <v>Да</v>
      </c>
      <c r="X179" s="4" t="e">
        <f>(IF(COUNTIFS($G$2:G179,"+",$W$2:W179,"Да")&gt;1,"&amp; ","")&amp;D179&amp;J179&amp;E179&amp;SUBSTITUTE(L179,"""",""))</f>
        <v>#VALUE!</v>
      </c>
      <c r="Y179" s="4" t="e">
        <f t="shared" si="174"/>
        <v>#VALUE!</v>
      </c>
    </row>
    <row r="180" spans="1:25" x14ac:dyDescent="0.3">
      <c r="A180" s="11"/>
      <c r="B180" s="5" t="str">
        <f t="shared" si="175"/>
        <v/>
      </c>
      <c r="C180" s="5" t="str">
        <f t="shared" si="176"/>
        <v/>
      </c>
      <c r="D180" s="4" t="s">
        <v>10</v>
      </c>
      <c r="E180" s="4" t="s">
        <v>11</v>
      </c>
      <c r="F180" s="4" t="str">
        <f t="shared" si="199"/>
        <v>!!!</v>
      </c>
      <c r="G180" s="4" t="str">
        <f t="shared" si="177"/>
        <v>+</v>
      </c>
      <c r="H180" s="4"/>
      <c r="I180" s="4" t="str">
        <f t="shared" si="200"/>
        <v>!!!</v>
      </c>
      <c r="J180" s="4" t="e">
        <f t="shared" si="201"/>
        <v>#VALUE!</v>
      </c>
      <c r="K180" s="4" t="e">
        <f t="shared" si="202"/>
        <v>#VALUE!</v>
      </c>
      <c r="L180" s="4" t="e">
        <f t="shared" si="203"/>
        <v>#VALUE!</v>
      </c>
      <c r="M180" s="4">
        <f t="shared" si="178"/>
        <v>1000</v>
      </c>
      <c r="N180" s="4">
        <f t="shared" ref="N180:O180" si="236">MIN(IFERROR(FIND(" ",$C180,M180+1),1000))</f>
        <v>1000</v>
      </c>
      <c r="O180" s="4">
        <f t="shared" si="236"/>
        <v>1000</v>
      </c>
      <c r="P180" s="4">
        <f t="shared" si="180"/>
        <v>0</v>
      </c>
      <c r="Q180" s="4" t="str">
        <f t="shared" si="169"/>
        <v/>
      </c>
      <c r="R180" s="4" t="str">
        <f t="shared" si="170"/>
        <v/>
      </c>
      <c r="S180" s="4" t="str">
        <f t="shared" si="171"/>
        <v/>
      </c>
      <c r="T180" s="4" t="e">
        <f t="shared" si="181"/>
        <v>#VALUE!</v>
      </c>
      <c r="U180" s="4" t="e">
        <f t="shared" si="182"/>
        <v>#VALUE!</v>
      </c>
      <c r="V180" s="4" t="b">
        <f t="shared" si="172"/>
        <v>0</v>
      </c>
      <c r="W180" s="13" t="str">
        <f t="shared" si="173"/>
        <v>Да</v>
      </c>
      <c r="X180" s="4" t="e">
        <f>(IF(COUNTIFS($G$2:G180,"+",$W$2:W180,"Да")&gt;1,"&amp; ","")&amp;D180&amp;J180&amp;E180&amp;SUBSTITUTE(L180,"""",""))</f>
        <v>#VALUE!</v>
      </c>
      <c r="Y180" s="4" t="e">
        <f t="shared" si="174"/>
        <v>#VALUE!</v>
      </c>
    </row>
    <row r="181" spans="1:25" x14ac:dyDescent="0.3">
      <c r="A181" s="11"/>
      <c r="B181" s="5" t="str">
        <f t="shared" si="175"/>
        <v/>
      </c>
      <c r="C181" s="5" t="str">
        <f t="shared" si="176"/>
        <v/>
      </c>
      <c r="D181" s="4" t="s">
        <v>10</v>
      </c>
      <c r="E181" s="4" t="s">
        <v>11</v>
      </c>
      <c r="F181" s="4" t="str">
        <f t="shared" si="199"/>
        <v>!!!</v>
      </c>
      <c r="G181" s="4" t="str">
        <f t="shared" si="177"/>
        <v>+</v>
      </c>
      <c r="H181" s="4"/>
      <c r="I181" s="4" t="str">
        <f t="shared" si="200"/>
        <v>!!!</v>
      </c>
      <c r="J181" s="4" t="e">
        <f t="shared" si="201"/>
        <v>#VALUE!</v>
      </c>
      <c r="K181" s="4" t="e">
        <f t="shared" si="202"/>
        <v>#VALUE!</v>
      </c>
      <c r="L181" s="4" t="e">
        <f t="shared" si="203"/>
        <v>#VALUE!</v>
      </c>
      <c r="M181" s="4">
        <f t="shared" si="178"/>
        <v>1000</v>
      </c>
      <c r="N181" s="4">
        <f t="shared" ref="N181:O181" si="237">MIN(IFERROR(FIND(" ",$C181,M181+1),1000))</f>
        <v>1000</v>
      </c>
      <c r="O181" s="4">
        <f t="shared" si="237"/>
        <v>1000</v>
      </c>
      <c r="P181" s="4">
        <f t="shared" si="180"/>
        <v>0</v>
      </c>
      <c r="Q181" s="4" t="str">
        <f t="shared" si="169"/>
        <v/>
      </c>
      <c r="R181" s="4" t="str">
        <f t="shared" si="170"/>
        <v/>
      </c>
      <c r="S181" s="4" t="str">
        <f t="shared" si="171"/>
        <v/>
      </c>
      <c r="T181" s="4" t="e">
        <f t="shared" si="181"/>
        <v>#VALUE!</v>
      </c>
      <c r="U181" s="4" t="e">
        <f t="shared" si="182"/>
        <v>#VALUE!</v>
      </c>
      <c r="V181" s="4" t="b">
        <f t="shared" si="172"/>
        <v>0</v>
      </c>
      <c r="W181" s="13" t="str">
        <f t="shared" si="173"/>
        <v>Да</v>
      </c>
      <c r="X181" s="4" t="e">
        <f>(IF(COUNTIFS($G$2:G181,"+",$W$2:W181,"Да")&gt;1,"&amp; ","")&amp;D181&amp;J181&amp;E181&amp;SUBSTITUTE(L181,"""",""))</f>
        <v>#VALUE!</v>
      </c>
      <c r="Y181" s="4" t="e">
        <f t="shared" si="174"/>
        <v>#VALUE!</v>
      </c>
    </row>
    <row r="182" spans="1:25" x14ac:dyDescent="0.3">
      <c r="A182" s="11"/>
      <c r="B182" s="5" t="str">
        <f t="shared" si="175"/>
        <v/>
      </c>
      <c r="C182" s="5" t="str">
        <f t="shared" si="176"/>
        <v/>
      </c>
      <c r="D182" s="4" t="s">
        <v>10</v>
      </c>
      <c r="E182" s="4" t="s">
        <v>11</v>
      </c>
      <c r="F182" s="4" t="str">
        <f t="shared" si="199"/>
        <v>!!!</v>
      </c>
      <c r="G182" s="4" t="str">
        <f t="shared" si="177"/>
        <v>+</v>
      </c>
      <c r="H182" s="4"/>
      <c r="I182" s="4" t="str">
        <f t="shared" si="200"/>
        <v>!!!</v>
      </c>
      <c r="J182" s="4" t="e">
        <f t="shared" si="201"/>
        <v>#VALUE!</v>
      </c>
      <c r="K182" s="4" t="e">
        <f t="shared" si="202"/>
        <v>#VALUE!</v>
      </c>
      <c r="L182" s="4" t="e">
        <f t="shared" si="203"/>
        <v>#VALUE!</v>
      </c>
      <c r="M182" s="4">
        <f t="shared" si="178"/>
        <v>1000</v>
      </c>
      <c r="N182" s="4">
        <f t="shared" ref="N182:O182" si="238">MIN(IFERROR(FIND(" ",$C182,M182+1),1000))</f>
        <v>1000</v>
      </c>
      <c r="O182" s="4">
        <f t="shared" si="238"/>
        <v>1000</v>
      </c>
      <c r="P182" s="4">
        <f t="shared" si="180"/>
        <v>0</v>
      </c>
      <c r="Q182" s="4" t="str">
        <f t="shared" si="169"/>
        <v/>
      </c>
      <c r="R182" s="4" t="str">
        <f t="shared" si="170"/>
        <v/>
      </c>
      <c r="S182" s="4" t="str">
        <f t="shared" si="171"/>
        <v/>
      </c>
      <c r="T182" s="4" t="e">
        <f t="shared" si="181"/>
        <v>#VALUE!</v>
      </c>
      <c r="U182" s="4" t="e">
        <f t="shared" si="182"/>
        <v>#VALUE!</v>
      </c>
      <c r="V182" s="4" t="b">
        <f t="shared" si="172"/>
        <v>0</v>
      </c>
      <c r="W182" s="13" t="str">
        <f t="shared" si="173"/>
        <v>Да</v>
      </c>
      <c r="X182" s="4" t="e">
        <f>(IF(COUNTIFS($G$2:G182,"+",$W$2:W182,"Да")&gt;1,"&amp; ","")&amp;D182&amp;J182&amp;E182&amp;SUBSTITUTE(L182,"""",""))</f>
        <v>#VALUE!</v>
      </c>
      <c r="Y182" s="4" t="e">
        <f t="shared" si="174"/>
        <v>#VALUE!</v>
      </c>
    </row>
    <row r="183" spans="1:25" x14ac:dyDescent="0.3">
      <c r="A183" s="11"/>
      <c r="B183" s="5" t="str">
        <f t="shared" si="175"/>
        <v/>
      </c>
      <c r="C183" s="5" t="str">
        <f t="shared" si="176"/>
        <v/>
      </c>
      <c r="D183" s="4" t="s">
        <v>10</v>
      </c>
      <c r="E183" s="4" t="s">
        <v>11</v>
      </c>
      <c r="F183" s="4" t="str">
        <f t="shared" si="199"/>
        <v>!!!</v>
      </c>
      <c r="G183" s="4" t="str">
        <f t="shared" si="177"/>
        <v>+</v>
      </c>
      <c r="H183" s="4"/>
      <c r="I183" s="4" t="str">
        <f t="shared" si="200"/>
        <v>!!!</v>
      </c>
      <c r="J183" s="4" t="e">
        <f t="shared" si="201"/>
        <v>#VALUE!</v>
      </c>
      <c r="K183" s="4" t="e">
        <f t="shared" si="202"/>
        <v>#VALUE!</v>
      </c>
      <c r="L183" s="4" t="e">
        <f t="shared" si="203"/>
        <v>#VALUE!</v>
      </c>
      <c r="M183" s="4">
        <f t="shared" si="178"/>
        <v>1000</v>
      </c>
      <c r="N183" s="4">
        <f t="shared" ref="N183:O183" si="239">MIN(IFERROR(FIND(" ",$C183,M183+1),1000))</f>
        <v>1000</v>
      </c>
      <c r="O183" s="4">
        <f t="shared" si="239"/>
        <v>1000</v>
      </c>
      <c r="P183" s="4">
        <f t="shared" si="180"/>
        <v>0</v>
      </c>
      <c r="Q183" s="4" t="str">
        <f t="shared" si="169"/>
        <v/>
      </c>
      <c r="R183" s="4" t="str">
        <f t="shared" si="170"/>
        <v/>
      </c>
      <c r="S183" s="4" t="str">
        <f t="shared" si="171"/>
        <v/>
      </c>
      <c r="T183" s="4" t="e">
        <f t="shared" si="181"/>
        <v>#VALUE!</v>
      </c>
      <c r="U183" s="4" t="e">
        <f t="shared" si="182"/>
        <v>#VALUE!</v>
      </c>
      <c r="V183" s="4" t="b">
        <f t="shared" si="172"/>
        <v>0</v>
      </c>
      <c r="W183" s="13" t="str">
        <f t="shared" si="173"/>
        <v>Да</v>
      </c>
      <c r="X183" s="4" t="e">
        <f>(IF(COUNTIFS($G$2:G183,"+",$W$2:W183,"Да")&gt;1,"&amp; ","")&amp;D183&amp;J183&amp;E183&amp;SUBSTITUTE(L183,"""",""))</f>
        <v>#VALUE!</v>
      </c>
      <c r="Y183" s="4" t="e">
        <f t="shared" si="174"/>
        <v>#VALUE!</v>
      </c>
    </row>
    <row r="184" spans="1:25" x14ac:dyDescent="0.3">
      <c r="A184" s="11"/>
      <c r="B184" s="5" t="str">
        <f t="shared" si="175"/>
        <v/>
      </c>
      <c r="C184" s="5" t="str">
        <f t="shared" si="176"/>
        <v/>
      </c>
      <c r="D184" s="4" t="s">
        <v>10</v>
      </c>
      <c r="E184" s="4" t="s">
        <v>11</v>
      </c>
      <c r="F184" s="4" t="str">
        <f t="shared" si="199"/>
        <v>!!!</v>
      </c>
      <c r="G184" s="4" t="str">
        <f t="shared" si="177"/>
        <v>+</v>
      </c>
      <c r="H184" s="4"/>
      <c r="I184" s="4" t="str">
        <f t="shared" si="200"/>
        <v>!!!</v>
      </c>
      <c r="J184" s="4" t="e">
        <f t="shared" si="201"/>
        <v>#VALUE!</v>
      </c>
      <c r="K184" s="4" t="e">
        <f t="shared" si="202"/>
        <v>#VALUE!</v>
      </c>
      <c r="L184" s="4" t="e">
        <f t="shared" si="203"/>
        <v>#VALUE!</v>
      </c>
      <c r="M184" s="4">
        <f t="shared" si="178"/>
        <v>1000</v>
      </c>
      <c r="N184" s="4">
        <f t="shared" ref="N184:O184" si="240">MIN(IFERROR(FIND(" ",$C184,M184+1),1000))</f>
        <v>1000</v>
      </c>
      <c r="O184" s="4">
        <f t="shared" si="240"/>
        <v>1000</v>
      </c>
      <c r="P184" s="4">
        <f t="shared" si="180"/>
        <v>0</v>
      </c>
      <c r="Q184" s="4" t="str">
        <f t="shared" si="169"/>
        <v/>
      </c>
      <c r="R184" s="4" t="str">
        <f t="shared" si="170"/>
        <v/>
      </c>
      <c r="S184" s="4" t="str">
        <f t="shared" si="171"/>
        <v/>
      </c>
      <c r="T184" s="4" t="e">
        <f t="shared" si="181"/>
        <v>#VALUE!</v>
      </c>
      <c r="U184" s="4" t="e">
        <f t="shared" si="182"/>
        <v>#VALUE!</v>
      </c>
      <c r="V184" s="4" t="b">
        <f t="shared" si="172"/>
        <v>0</v>
      </c>
      <c r="W184" s="13" t="str">
        <f t="shared" si="173"/>
        <v>Да</v>
      </c>
      <c r="X184" s="4" t="e">
        <f>(IF(COUNTIFS($G$2:G184,"+",$W$2:W184,"Да")&gt;1,"&amp; ","")&amp;D184&amp;J184&amp;E184&amp;SUBSTITUTE(L184,"""",""))</f>
        <v>#VALUE!</v>
      </c>
      <c r="Y184" s="4" t="e">
        <f t="shared" si="174"/>
        <v>#VALUE!</v>
      </c>
    </row>
    <row r="185" spans="1:25" x14ac:dyDescent="0.3">
      <c r="A185" s="11"/>
      <c r="B185" s="5" t="str">
        <f t="shared" si="175"/>
        <v/>
      </c>
      <c r="C185" s="5" t="str">
        <f t="shared" si="176"/>
        <v/>
      </c>
      <c r="D185" s="4" t="s">
        <v>10</v>
      </c>
      <c r="E185" s="4" t="s">
        <v>11</v>
      </c>
      <c r="F185" s="4" t="str">
        <f t="shared" si="199"/>
        <v>!!!</v>
      </c>
      <c r="G185" s="4" t="str">
        <f t="shared" si="177"/>
        <v>+</v>
      </c>
      <c r="H185" s="4"/>
      <c r="I185" s="4" t="str">
        <f t="shared" si="200"/>
        <v>!!!</v>
      </c>
      <c r="J185" s="4" t="e">
        <f t="shared" si="201"/>
        <v>#VALUE!</v>
      </c>
      <c r="K185" s="4" t="e">
        <f t="shared" si="202"/>
        <v>#VALUE!</v>
      </c>
      <c r="L185" s="4" t="e">
        <f t="shared" si="203"/>
        <v>#VALUE!</v>
      </c>
      <c r="M185" s="4">
        <f t="shared" si="178"/>
        <v>1000</v>
      </c>
      <c r="N185" s="4">
        <f t="shared" ref="N185:O185" si="241">MIN(IFERROR(FIND(" ",$C185,M185+1),1000))</f>
        <v>1000</v>
      </c>
      <c r="O185" s="4">
        <f t="shared" si="241"/>
        <v>1000</v>
      </c>
      <c r="P185" s="4">
        <f t="shared" si="180"/>
        <v>0</v>
      </c>
      <c r="Q185" s="4" t="str">
        <f t="shared" si="169"/>
        <v/>
      </c>
      <c r="R185" s="4" t="str">
        <f t="shared" si="170"/>
        <v/>
      </c>
      <c r="S185" s="4" t="str">
        <f t="shared" si="171"/>
        <v/>
      </c>
      <c r="T185" s="4" t="e">
        <f t="shared" si="181"/>
        <v>#VALUE!</v>
      </c>
      <c r="U185" s="4" t="e">
        <f t="shared" si="182"/>
        <v>#VALUE!</v>
      </c>
      <c r="V185" s="4" t="b">
        <f t="shared" si="172"/>
        <v>0</v>
      </c>
      <c r="W185" s="13" t="str">
        <f t="shared" si="173"/>
        <v>Да</v>
      </c>
      <c r="X185" s="4" t="e">
        <f>(IF(COUNTIFS($G$2:G185,"+",$W$2:W185,"Да")&gt;1,"&amp; ","")&amp;D185&amp;J185&amp;E185&amp;SUBSTITUTE(L185,"""",""))</f>
        <v>#VALUE!</v>
      </c>
      <c r="Y185" s="4" t="e">
        <f t="shared" si="174"/>
        <v>#VALUE!</v>
      </c>
    </row>
    <row r="186" spans="1:25" x14ac:dyDescent="0.3">
      <c r="A186" s="11"/>
      <c r="B186" s="5" t="str">
        <f t="shared" si="175"/>
        <v/>
      </c>
      <c r="C186" s="5" t="str">
        <f t="shared" si="176"/>
        <v/>
      </c>
      <c r="D186" s="4" t="s">
        <v>10</v>
      </c>
      <c r="E186" s="4" t="s">
        <v>11</v>
      </c>
      <c r="F186" s="4" t="str">
        <f t="shared" si="199"/>
        <v>!!!</v>
      </c>
      <c r="G186" s="4" t="str">
        <f t="shared" si="177"/>
        <v>+</v>
      </c>
      <c r="H186" s="4"/>
      <c r="I186" s="4" t="str">
        <f t="shared" si="200"/>
        <v>!!!</v>
      </c>
      <c r="J186" s="4" t="e">
        <f t="shared" si="201"/>
        <v>#VALUE!</v>
      </c>
      <c r="K186" s="4" t="e">
        <f t="shared" si="202"/>
        <v>#VALUE!</v>
      </c>
      <c r="L186" s="4" t="e">
        <f t="shared" si="203"/>
        <v>#VALUE!</v>
      </c>
      <c r="M186" s="4">
        <f t="shared" si="178"/>
        <v>1000</v>
      </c>
      <c r="N186" s="4">
        <f t="shared" ref="N186:O186" si="242">MIN(IFERROR(FIND(" ",$C186,M186+1),1000))</f>
        <v>1000</v>
      </c>
      <c r="O186" s="4">
        <f t="shared" si="242"/>
        <v>1000</v>
      </c>
      <c r="P186" s="4">
        <f t="shared" si="180"/>
        <v>0</v>
      </c>
      <c r="Q186" s="4" t="str">
        <f t="shared" si="169"/>
        <v/>
      </c>
      <c r="R186" s="4" t="str">
        <f t="shared" si="170"/>
        <v/>
      </c>
      <c r="S186" s="4" t="str">
        <f t="shared" si="171"/>
        <v/>
      </c>
      <c r="T186" s="4" t="e">
        <f t="shared" si="181"/>
        <v>#VALUE!</v>
      </c>
      <c r="U186" s="4" t="e">
        <f t="shared" si="182"/>
        <v>#VALUE!</v>
      </c>
      <c r="V186" s="4" t="b">
        <f t="shared" si="172"/>
        <v>0</v>
      </c>
      <c r="W186" s="13" t="str">
        <f t="shared" si="173"/>
        <v>Да</v>
      </c>
      <c r="X186" s="4" t="e">
        <f>(IF(COUNTIFS($G$2:G186,"+",$W$2:W186,"Да")&gt;1,"&amp; ","")&amp;D186&amp;J186&amp;E186&amp;SUBSTITUTE(L186,"""",""))</f>
        <v>#VALUE!</v>
      </c>
      <c r="Y186" s="4" t="e">
        <f t="shared" si="174"/>
        <v>#VALUE!</v>
      </c>
    </row>
    <row r="187" spans="1:25" x14ac:dyDescent="0.3">
      <c r="A187" s="11"/>
      <c r="B187" s="5" t="str">
        <f t="shared" si="175"/>
        <v/>
      </c>
      <c r="C187" s="5" t="str">
        <f t="shared" si="176"/>
        <v/>
      </c>
      <c r="D187" s="4" t="s">
        <v>10</v>
      </c>
      <c r="E187" s="4" t="s">
        <v>11</v>
      </c>
      <c r="F187" s="4" t="str">
        <f t="shared" si="199"/>
        <v>!!!</v>
      </c>
      <c r="G187" s="4" t="str">
        <f t="shared" si="177"/>
        <v>+</v>
      </c>
      <c r="H187" s="4"/>
      <c r="I187" s="4" t="str">
        <f t="shared" si="200"/>
        <v>!!!</v>
      </c>
      <c r="J187" s="4" t="e">
        <f t="shared" si="201"/>
        <v>#VALUE!</v>
      </c>
      <c r="K187" s="4" t="e">
        <f t="shared" si="202"/>
        <v>#VALUE!</v>
      </c>
      <c r="L187" s="4" t="e">
        <f t="shared" si="203"/>
        <v>#VALUE!</v>
      </c>
      <c r="M187" s="4">
        <f t="shared" si="178"/>
        <v>1000</v>
      </c>
      <c r="N187" s="4">
        <f t="shared" ref="N187:O187" si="243">MIN(IFERROR(FIND(" ",$C187,M187+1),1000))</f>
        <v>1000</v>
      </c>
      <c r="O187" s="4">
        <f t="shared" si="243"/>
        <v>1000</v>
      </c>
      <c r="P187" s="4">
        <f t="shared" si="180"/>
        <v>0</v>
      </c>
      <c r="Q187" s="4" t="str">
        <f t="shared" si="169"/>
        <v/>
      </c>
      <c r="R187" s="4" t="str">
        <f t="shared" si="170"/>
        <v/>
      </c>
      <c r="S187" s="4" t="str">
        <f t="shared" si="171"/>
        <v/>
      </c>
      <c r="T187" s="4" t="e">
        <f t="shared" si="181"/>
        <v>#VALUE!</v>
      </c>
      <c r="U187" s="4" t="e">
        <f t="shared" si="182"/>
        <v>#VALUE!</v>
      </c>
      <c r="V187" s="4" t="b">
        <f t="shared" si="172"/>
        <v>0</v>
      </c>
      <c r="W187" s="13" t="str">
        <f t="shared" si="173"/>
        <v>Да</v>
      </c>
      <c r="X187" s="4" t="e">
        <f>(IF(COUNTIFS($G$2:G187,"+",$W$2:W187,"Да")&gt;1,"&amp; ","")&amp;D187&amp;J187&amp;E187&amp;SUBSTITUTE(L187,"""",""))</f>
        <v>#VALUE!</v>
      </c>
      <c r="Y187" s="4" t="e">
        <f t="shared" si="174"/>
        <v>#VALUE!</v>
      </c>
    </row>
    <row r="188" spans="1:25" x14ac:dyDescent="0.3">
      <c r="A188" s="11"/>
      <c r="B188" s="5" t="str">
        <f t="shared" si="175"/>
        <v/>
      </c>
      <c r="C188" s="5" t="str">
        <f t="shared" si="176"/>
        <v/>
      </c>
      <c r="D188" s="4" t="s">
        <v>10</v>
      </c>
      <c r="E188" s="4" t="s">
        <v>11</v>
      </c>
      <c r="F188" s="4" t="str">
        <f t="shared" si="199"/>
        <v>!!!</v>
      </c>
      <c r="G188" s="4" t="str">
        <f t="shared" si="177"/>
        <v>+</v>
      </c>
      <c r="H188" s="4"/>
      <c r="I188" s="4" t="str">
        <f t="shared" si="200"/>
        <v>!!!</v>
      </c>
      <c r="J188" s="4" t="e">
        <f t="shared" si="201"/>
        <v>#VALUE!</v>
      </c>
      <c r="K188" s="4" t="e">
        <f t="shared" si="202"/>
        <v>#VALUE!</v>
      </c>
      <c r="L188" s="4" t="e">
        <f t="shared" si="203"/>
        <v>#VALUE!</v>
      </c>
      <c r="M188" s="4">
        <f t="shared" si="178"/>
        <v>1000</v>
      </c>
      <c r="N188" s="4">
        <f t="shared" ref="N188:O188" si="244">MIN(IFERROR(FIND(" ",$C188,M188+1),1000))</f>
        <v>1000</v>
      </c>
      <c r="O188" s="4">
        <f t="shared" si="244"/>
        <v>1000</v>
      </c>
      <c r="P188" s="4">
        <f t="shared" si="180"/>
        <v>0</v>
      </c>
      <c r="Q188" s="4" t="str">
        <f t="shared" si="169"/>
        <v/>
      </c>
      <c r="R188" s="4" t="str">
        <f t="shared" si="170"/>
        <v/>
      </c>
      <c r="S188" s="4" t="str">
        <f t="shared" si="171"/>
        <v/>
      </c>
      <c r="T188" s="4" t="e">
        <f t="shared" si="181"/>
        <v>#VALUE!</v>
      </c>
      <c r="U188" s="4" t="e">
        <f t="shared" si="182"/>
        <v>#VALUE!</v>
      </c>
      <c r="V188" s="4" t="b">
        <f t="shared" si="172"/>
        <v>0</v>
      </c>
      <c r="W188" s="13" t="str">
        <f t="shared" si="173"/>
        <v>Да</v>
      </c>
      <c r="X188" s="4" t="e">
        <f>(IF(COUNTIFS($G$2:G188,"+",$W$2:W188,"Да")&gt;1,"&amp; ","")&amp;D188&amp;J188&amp;E188&amp;SUBSTITUTE(L188,"""",""))</f>
        <v>#VALUE!</v>
      </c>
      <c r="Y188" s="4" t="e">
        <f t="shared" si="174"/>
        <v>#VALUE!</v>
      </c>
    </row>
    <row r="189" spans="1:25" x14ac:dyDescent="0.3">
      <c r="A189" s="11"/>
      <c r="B189" s="5" t="str">
        <f t="shared" si="175"/>
        <v/>
      </c>
      <c r="C189" s="5" t="str">
        <f t="shared" si="176"/>
        <v/>
      </c>
      <c r="D189" s="4" t="s">
        <v>10</v>
      </c>
      <c r="E189" s="4" t="s">
        <v>11</v>
      </c>
      <c r="F189" s="4" t="str">
        <f t="shared" si="199"/>
        <v>!!!</v>
      </c>
      <c r="G189" s="4" t="str">
        <f t="shared" si="177"/>
        <v>+</v>
      </c>
      <c r="H189" s="4"/>
      <c r="I189" s="4" t="str">
        <f t="shared" si="200"/>
        <v>!!!</v>
      </c>
      <c r="J189" s="4" t="e">
        <f t="shared" si="201"/>
        <v>#VALUE!</v>
      </c>
      <c r="K189" s="4" t="e">
        <f t="shared" si="202"/>
        <v>#VALUE!</v>
      </c>
      <c r="L189" s="4" t="e">
        <f t="shared" si="203"/>
        <v>#VALUE!</v>
      </c>
      <c r="M189" s="4">
        <f t="shared" si="178"/>
        <v>1000</v>
      </c>
      <c r="N189" s="4">
        <f t="shared" ref="N189:O189" si="245">MIN(IFERROR(FIND(" ",$C189,M189+1),1000))</f>
        <v>1000</v>
      </c>
      <c r="O189" s="4">
        <f t="shared" si="245"/>
        <v>1000</v>
      </c>
      <c r="P189" s="4">
        <f t="shared" si="180"/>
        <v>0</v>
      </c>
      <c r="Q189" s="4" t="str">
        <f t="shared" si="169"/>
        <v/>
      </c>
      <c r="R189" s="4" t="str">
        <f t="shared" si="170"/>
        <v/>
      </c>
      <c r="S189" s="4" t="str">
        <f t="shared" si="171"/>
        <v/>
      </c>
      <c r="T189" s="4" t="e">
        <f t="shared" si="181"/>
        <v>#VALUE!</v>
      </c>
      <c r="U189" s="4" t="e">
        <f t="shared" si="182"/>
        <v>#VALUE!</v>
      </c>
      <c r="V189" s="4" t="b">
        <f t="shared" si="172"/>
        <v>0</v>
      </c>
      <c r="W189" s="13" t="str">
        <f t="shared" si="173"/>
        <v>Да</v>
      </c>
      <c r="X189" s="4" t="e">
        <f>(IF(COUNTIFS($G$2:G189,"+",$W$2:W189,"Да")&gt;1,"&amp; ","")&amp;D189&amp;J189&amp;E189&amp;SUBSTITUTE(L189,"""",""))</f>
        <v>#VALUE!</v>
      </c>
      <c r="Y189" s="4" t="e">
        <f t="shared" si="174"/>
        <v>#VALUE!</v>
      </c>
    </row>
    <row r="190" spans="1:25" x14ac:dyDescent="0.3">
      <c r="A190" s="11"/>
      <c r="B190" s="5" t="str">
        <f t="shared" si="175"/>
        <v/>
      </c>
      <c r="C190" s="5" t="str">
        <f t="shared" si="176"/>
        <v/>
      </c>
      <c r="D190" s="4" t="s">
        <v>10</v>
      </c>
      <c r="E190" s="4" t="s">
        <v>11</v>
      </c>
      <c r="F190" s="4" t="str">
        <f t="shared" si="199"/>
        <v>!!!</v>
      </c>
      <c r="G190" s="4" t="str">
        <f t="shared" si="177"/>
        <v>+</v>
      </c>
      <c r="H190" s="4"/>
      <c r="I190" s="4" t="str">
        <f t="shared" si="200"/>
        <v>!!!</v>
      </c>
      <c r="J190" s="4" t="e">
        <f t="shared" si="201"/>
        <v>#VALUE!</v>
      </c>
      <c r="K190" s="4" t="e">
        <f t="shared" si="202"/>
        <v>#VALUE!</v>
      </c>
      <c r="L190" s="4" t="e">
        <f t="shared" si="203"/>
        <v>#VALUE!</v>
      </c>
      <c r="M190" s="4">
        <f t="shared" si="178"/>
        <v>1000</v>
      </c>
      <c r="N190" s="4">
        <f t="shared" ref="N190:O190" si="246">MIN(IFERROR(FIND(" ",$C190,M190+1),1000))</f>
        <v>1000</v>
      </c>
      <c r="O190" s="4">
        <f t="shared" si="246"/>
        <v>1000</v>
      </c>
      <c r="P190" s="4">
        <f t="shared" si="180"/>
        <v>0</v>
      </c>
      <c r="Q190" s="4" t="str">
        <f t="shared" si="169"/>
        <v/>
      </c>
      <c r="R190" s="4" t="str">
        <f t="shared" si="170"/>
        <v/>
      </c>
      <c r="S190" s="4" t="str">
        <f t="shared" si="171"/>
        <v/>
      </c>
      <c r="T190" s="4" t="e">
        <f t="shared" si="181"/>
        <v>#VALUE!</v>
      </c>
      <c r="U190" s="4" t="e">
        <f t="shared" si="182"/>
        <v>#VALUE!</v>
      </c>
      <c r="V190" s="4" t="b">
        <f t="shared" si="172"/>
        <v>0</v>
      </c>
      <c r="W190" s="13" t="str">
        <f t="shared" si="173"/>
        <v>Да</v>
      </c>
      <c r="X190" s="4" t="e">
        <f>(IF(COUNTIFS($G$2:G190,"+",$W$2:W190,"Да")&gt;1,"&amp; ","")&amp;D190&amp;J190&amp;E190&amp;SUBSTITUTE(L190,"""",""))</f>
        <v>#VALUE!</v>
      </c>
      <c r="Y190" s="4" t="e">
        <f t="shared" si="174"/>
        <v>#VALUE!</v>
      </c>
    </row>
    <row r="191" spans="1:25" x14ac:dyDescent="0.3">
      <c r="A191" s="11"/>
      <c r="B191" s="5" t="str">
        <f t="shared" si="175"/>
        <v/>
      </c>
      <c r="C191" s="5" t="str">
        <f t="shared" si="176"/>
        <v/>
      </c>
      <c r="D191" s="4" t="s">
        <v>10</v>
      </c>
      <c r="E191" s="4" t="s">
        <v>11</v>
      </c>
      <c r="F191" s="4" t="str">
        <f t="shared" si="199"/>
        <v>!!!</v>
      </c>
      <c r="G191" s="4" t="str">
        <f t="shared" si="177"/>
        <v>+</v>
      </c>
      <c r="H191" s="4"/>
      <c r="I191" s="4" t="str">
        <f t="shared" si="200"/>
        <v>!!!</v>
      </c>
      <c r="J191" s="4" t="e">
        <f t="shared" si="201"/>
        <v>#VALUE!</v>
      </c>
      <c r="K191" s="4" t="e">
        <f t="shared" si="202"/>
        <v>#VALUE!</v>
      </c>
      <c r="L191" s="4" t="e">
        <f t="shared" si="203"/>
        <v>#VALUE!</v>
      </c>
      <c r="M191" s="4">
        <f t="shared" si="178"/>
        <v>1000</v>
      </c>
      <c r="N191" s="4">
        <f t="shared" ref="N191:O191" si="247">MIN(IFERROR(FIND(" ",$C191,M191+1),1000))</f>
        <v>1000</v>
      </c>
      <c r="O191" s="4">
        <f t="shared" si="247"/>
        <v>1000</v>
      </c>
      <c r="P191" s="4">
        <f t="shared" si="180"/>
        <v>0</v>
      </c>
      <c r="Q191" s="4" t="str">
        <f t="shared" si="169"/>
        <v/>
      </c>
      <c r="R191" s="4" t="str">
        <f t="shared" si="170"/>
        <v/>
      </c>
      <c r="S191" s="4" t="str">
        <f t="shared" si="171"/>
        <v/>
      </c>
      <c r="T191" s="4" t="e">
        <f t="shared" si="181"/>
        <v>#VALUE!</v>
      </c>
      <c r="U191" s="4" t="e">
        <f t="shared" si="182"/>
        <v>#VALUE!</v>
      </c>
      <c r="V191" s="4" t="b">
        <f t="shared" si="172"/>
        <v>0</v>
      </c>
      <c r="W191" s="13" t="str">
        <f t="shared" si="173"/>
        <v>Да</v>
      </c>
      <c r="X191" s="4" t="e">
        <f>(IF(COUNTIFS($G$2:G191,"+",$W$2:W191,"Да")&gt;1,"&amp; ","")&amp;D191&amp;J191&amp;E191&amp;SUBSTITUTE(L191,"""",""))</f>
        <v>#VALUE!</v>
      </c>
      <c r="Y191" s="4" t="e">
        <f t="shared" si="174"/>
        <v>#VALUE!</v>
      </c>
    </row>
    <row r="192" spans="1:25" x14ac:dyDescent="0.3">
      <c r="A192" s="11"/>
      <c r="B192" s="5" t="str">
        <f t="shared" si="175"/>
        <v/>
      </c>
      <c r="C192" s="5" t="str">
        <f t="shared" si="176"/>
        <v/>
      </c>
      <c r="D192" s="4" t="s">
        <v>10</v>
      </c>
      <c r="E192" s="4" t="s">
        <v>11</v>
      </c>
      <c r="F192" s="4" t="str">
        <f t="shared" si="199"/>
        <v>!!!</v>
      </c>
      <c r="G192" s="4" t="str">
        <f t="shared" si="177"/>
        <v>+</v>
      </c>
      <c r="H192" s="4"/>
      <c r="I192" s="4" t="str">
        <f t="shared" si="200"/>
        <v>!!!</v>
      </c>
      <c r="J192" s="4" t="e">
        <f t="shared" si="201"/>
        <v>#VALUE!</v>
      </c>
      <c r="K192" s="4" t="e">
        <f t="shared" si="202"/>
        <v>#VALUE!</v>
      </c>
      <c r="L192" s="4" t="e">
        <f t="shared" si="203"/>
        <v>#VALUE!</v>
      </c>
      <c r="M192" s="4">
        <f t="shared" si="178"/>
        <v>1000</v>
      </c>
      <c r="N192" s="4">
        <f t="shared" ref="N192:O192" si="248">MIN(IFERROR(FIND(" ",$C192,M192+1),1000))</f>
        <v>1000</v>
      </c>
      <c r="O192" s="4">
        <f t="shared" si="248"/>
        <v>1000</v>
      </c>
      <c r="P192" s="4">
        <f t="shared" si="180"/>
        <v>0</v>
      </c>
      <c r="Q192" s="4" t="str">
        <f t="shared" si="169"/>
        <v/>
      </c>
      <c r="R192" s="4" t="str">
        <f t="shared" si="170"/>
        <v/>
      </c>
      <c r="S192" s="4" t="str">
        <f t="shared" si="171"/>
        <v/>
      </c>
      <c r="T192" s="4" t="e">
        <f t="shared" si="181"/>
        <v>#VALUE!</v>
      </c>
      <c r="U192" s="4" t="e">
        <f t="shared" si="182"/>
        <v>#VALUE!</v>
      </c>
      <c r="V192" s="4" t="b">
        <f t="shared" si="172"/>
        <v>0</v>
      </c>
      <c r="W192" s="13" t="str">
        <f t="shared" si="173"/>
        <v>Да</v>
      </c>
      <c r="X192" s="4" t="e">
        <f>(IF(COUNTIFS($G$2:G192,"+",$W$2:W192,"Да")&gt;1,"&amp; ","")&amp;D192&amp;J192&amp;E192&amp;SUBSTITUTE(L192,"""",""))</f>
        <v>#VALUE!</v>
      </c>
      <c r="Y192" s="4" t="e">
        <f t="shared" si="174"/>
        <v>#VALUE!</v>
      </c>
    </row>
    <row r="193" spans="1:25" x14ac:dyDescent="0.3">
      <c r="A193" s="11"/>
      <c r="B193" s="5" t="str">
        <f t="shared" si="175"/>
        <v/>
      </c>
      <c r="C193" s="5" t="str">
        <f t="shared" si="176"/>
        <v/>
      </c>
      <c r="D193" s="4" t="s">
        <v>10</v>
      </c>
      <c r="E193" s="4" t="s">
        <v>11</v>
      </c>
      <c r="F193" s="4" t="str">
        <f t="shared" si="199"/>
        <v>!!!</v>
      </c>
      <c r="G193" s="4" t="str">
        <f t="shared" si="177"/>
        <v>+</v>
      </c>
      <c r="H193" s="4"/>
      <c r="I193" s="4" t="str">
        <f t="shared" si="200"/>
        <v>!!!</v>
      </c>
      <c r="J193" s="4" t="e">
        <f t="shared" si="201"/>
        <v>#VALUE!</v>
      </c>
      <c r="K193" s="4" t="e">
        <f t="shared" si="202"/>
        <v>#VALUE!</v>
      </c>
      <c r="L193" s="4" t="e">
        <f t="shared" si="203"/>
        <v>#VALUE!</v>
      </c>
      <c r="M193" s="4">
        <f t="shared" si="178"/>
        <v>1000</v>
      </c>
      <c r="N193" s="4">
        <f t="shared" ref="N193:O193" si="249">MIN(IFERROR(FIND(" ",$C193,M193+1),1000))</f>
        <v>1000</v>
      </c>
      <c r="O193" s="4">
        <f t="shared" si="249"/>
        <v>1000</v>
      </c>
      <c r="P193" s="4">
        <f t="shared" si="180"/>
        <v>0</v>
      </c>
      <c r="Q193" s="4" t="str">
        <f t="shared" si="169"/>
        <v/>
      </c>
      <c r="R193" s="4" t="str">
        <f t="shared" si="170"/>
        <v/>
      </c>
      <c r="S193" s="4" t="str">
        <f t="shared" si="171"/>
        <v/>
      </c>
      <c r="T193" s="4" t="e">
        <f t="shared" si="181"/>
        <v>#VALUE!</v>
      </c>
      <c r="U193" s="4" t="e">
        <f t="shared" si="182"/>
        <v>#VALUE!</v>
      </c>
      <c r="V193" s="4" t="b">
        <f t="shared" si="172"/>
        <v>0</v>
      </c>
      <c r="W193" s="13" t="str">
        <f t="shared" si="173"/>
        <v>Да</v>
      </c>
      <c r="X193" s="4" t="e">
        <f>(IF(COUNTIFS($G$2:G193,"+",$W$2:W193,"Да")&gt;1,"&amp; ","")&amp;D193&amp;J193&amp;E193&amp;SUBSTITUTE(L193,"""",""))</f>
        <v>#VALUE!</v>
      </c>
      <c r="Y193" s="4" t="e">
        <f t="shared" si="174"/>
        <v>#VALUE!</v>
      </c>
    </row>
    <row r="194" spans="1:25" x14ac:dyDescent="0.3">
      <c r="A194" s="11"/>
      <c r="B194" s="5" t="str">
        <f t="shared" si="175"/>
        <v/>
      </c>
      <c r="C194" s="5" t="str">
        <f t="shared" si="176"/>
        <v/>
      </c>
      <c r="D194" s="4" t="s">
        <v>10</v>
      </c>
      <c r="E194" s="4" t="s">
        <v>11</v>
      </c>
      <c r="F194" s="4" t="str">
        <f t="shared" si="199"/>
        <v>!!!</v>
      </c>
      <c r="G194" s="4" t="str">
        <f t="shared" si="177"/>
        <v>+</v>
      </c>
      <c r="H194" s="4"/>
      <c r="I194" s="4" t="str">
        <f t="shared" si="200"/>
        <v>!!!</v>
      </c>
      <c r="J194" s="4" t="e">
        <f t="shared" si="201"/>
        <v>#VALUE!</v>
      </c>
      <c r="K194" s="4" t="e">
        <f t="shared" si="202"/>
        <v>#VALUE!</v>
      </c>
      <c r="L194" s="4" t="e">
        <f t="shared" si="203"/>
        <v>#VALUE!</v>
      </c>
      <c r="M194" s="4">
        <f t="shared" si="178"/>
        <v>1000</v>
      </c>
      <c r="N194" s="4">
        <f t="shared" ref="N194:O194" si="250">MIN(IFERROR(FIND(" ",$C194,M194+1),1000))</f>
        <v>1000</v>
      </c>
      <c r="O194" s="4">
        <f t="shared" si="250"/>
        <v>1000</v>
      </c>
      <c r="P194" s="4">
        <f t="shared" si="180"/>
        <v>0</v>
      </c>
      <c r="Q194" s="4" t="str">
        <f t="shared" ref="Q194:Q214" si="251">LEFT(C194,M194-1)</f>
        <v/>
      </c>
      <c r="R194" s="4" t="str">
        <f t="shared" ref="R194:R227" si="252">IFERROR(MID(C194,N194+1,O194-N194-1),"")</f>
        <v/>
      </c>
      <c r="S194" s="4" t="str">
        <f t="shared" ref="S194:S218" si="253">IFERROR(IF(LEFT(A193,1)="'",SUBSTITUTE(A193,"'",""),""),"")</f>
        <v/>
      </c>
      <c r="T194" s="4" t="e">
        <f t="shared" si="181"/>
        <v>#VALUE!</v>
      </c>
      <c r="U194" s="4" t="e">
        <f t="shared" si="182"/>
        <v>#VALUE!</v>
      </c>
      <c r="V194" s="4" t="b">
        <f t="shared" ref="V194:V257" si="254">OR(IFERROR(MATCH(U194,Q:Q,0),0)&lt;&gt;0,IFERROR(MATCH(U194,R:R,0),0)&lt;&gt;0)</f>
        <v>0</v>
      </c>
      <c r="W194" s="13" t="str">
        <f t="shared" ref="W194:W257" si="255">IF(A194="","Да",IF(OR(F194="!!!",NOT(V194)),"Нет","Да"))</f>
        <v>Да</v>
      </c>
      <c r="X194" s="4" t="e">
        <f>(IF(COUNTIFS($G$2:G194,"+",$W$2:W194,"Да")&gt;1,"&amp; ","")&amp;D194&amp;J194&amp;E194&amp;SUBSTITUTE(L194,"""",""))</f>
        <v>#VALUE!</v>
      </c>
      <c r="Y194" s="4" t="e">
        <f t="shared" ref="Y194:Y216" si="256">IF(S194="",X194,LEFT(X194,FIND(":",X194))&amp;" "&amp;S194)</f>
        <v>#VALUE!</v>
      </c>
    </row>
    <row r="195" spans="1:25" x14ac:dyDescent="0.3">
      <c r="A195" s="11"/>
      <c r="B195" s="5" t="str">
        <f t="shared" ref="B195:B258" si="257">TRIM(LEFT(A195,IFERROR(FIND("'",A195)-1,1000)))</f>
        <v/>
      </c>
      <c r="C195" s="5" t="str">
        <f t="shared" ref="C195:C258" si="258">SUBSTITUTE(SUBSTITUTE(SUBSTITUTE(SUBSTITUTE(TRIM(LEFT(A195,IFERROR(FIND("'",A195)-1,1000))),"&lt;&lt;","&lt;"),"--","-"),"&gt;&gt;","&gt;"),"&amp;","")</f>
        <v/>
      </c>
      <c r="D195" s="4" t="s">
        <v>10</v>
      </c>
      <c r="E195" s="4" t="s">
        <v>11</v>
      </c>
      <c r="F195" s="4" t="str">
        <f t="shared" si="199"/>
        <v>!!!</v>
      </c>
      <c r="G195" s="4" t="str">
        <f t="shared" ref="G195:G258" si="259">IF(AND($A$2="",$A$3="",$A$4="",$A$5=""),"+",IF(F195="!!!","X","+"))</f>
        <v>+</v>
      </c>
      <c r="H195" s="4"/>
      <c r="I195" s="4" t="str">
        <f t="shared" si="200"/>
        <v>!!!</v>
      </c>
      <c r="J195" s="4" t="e">
        <f t="shared" si="201"/>
        <v>#VALUE!</v>
      </c>
      <c r="K195" s="4" t="e">
        <f t="shared" si="202"/>
        <v>#VALUE!</v>
      </c>
      <c r="L195" s="4" t="e">
        <f t="shared" si="203"/>
        <v>#VALUE!</v>
      </c>
      <c r="M195" s="4">
        <f t="shared" ref="M195:M258" si="260">MIN(IFERROR(FIND(" ",$C195),1000))</f>
        <v>1000</v>
      </c>
      <c r="N195" s="4">
        <f t="shared" ref="N195:O195" si="261">MIN(IFERROR(FIND(" ",$C195,M195+1),1000))</f>
        <v>1000</v>
      </c>
      <c r="O195" s="4">
        <f t="shared" si="261"/>
        <v>1000</v>
      </c>
      <c r="P195" s="4">
        <f t="shared" ref="P195:P258" si="262">MIN(IFERROR(FIND(" ",C195,O195+1),0),IFERROR(FIND("&lt;",C195,O195+1),0),IFERROR(FIND(":",C195,O195+1),0))</f>
        <v>0</v>
      </c>
      <c r="Q195" s="4" t="str">
        <f t="shared" si="251"/>
        <v/>
      </c>
      <c r="R195" s="4" t="str">
        <f t="shared" si="252"/>
        <v/>
      </c>
      <c r="S195" s="4" t="str">
        <f t="shared" si="253"/>
        <v/>
      </c>
      <c r="T195" s="4" t="e">
        <f t="shared" ref="T195:T258" si="263">FIND(" ",C195,FIND("as",C195))+1</f>
        <v>#VALUE!</v>
      </c>
      <c r="U195" s="4" t="e">
        <f t="shared" ref="U195:U258" si="264">MID(C195,T195,MIN(FIND(" ",C195,T195),FIND("&lt;",C195,T195))-T195)</f>
        <v>#VALUE!</v>
      </c>
      <c r="V195" s="4" t="b">
        <f t="shared" si="254"/>
        <v>0</v>
      </c>
      <c r="W195" s="13" t="str">
        <f t="shared" si="255"/>
        <v>Да</v>
      </c>
      <c r="X195" s="4" t="e">
        <f>(IF(COUNTIFS($G$2:G195,"+",$W$2:W195,"Да")&gt;1,"&amp; ","")&amp;D195&amp;J195&amp;E195&amp;SUBSTITUTE(L195,"""",""))</f>
        <v>#VALUE!</v>
      </c>
      <c r="Y195" s="4" t="e">
        <f t="shared" si="256"/>
        <v>#VALUE!</v>
      </c>
    </row>
    <row r="196" spans="1:25" x14ac:dyDescent="0.3">
      <c r="A196" s="11"/>
      <c r="B196" s="5" t="str">
        <f t="shared" si="257"/>
        <v/>
      </c>
      <c r="C196" s="5" t="str">
        <f t="shared" si="258"/>
        <v/>
      </c>
      <c r="D196" s="4" t="s">
        <v>10</v>
      </c>
      <c r="E196" s="4" t="s">
        <v>11</v>
      </c>
      <c r="F196" s="4" t="str">
        <f t="shared" si="199"/>
        <v>!!!</v>
      </c>
      <c r="G196" s="4" t="str">
        <f t="shared" si="259"/>
        <v>+</v>
      </c>
      <c r="H196" s="4"/>
      <c r="I196" s="4" t="str">
        <f t="shared" si="200"/>
        <v>!!!</v>
      </c>
      <c r="J196" s="4" t="e">
        <f t="shared" si="201"/>
        <v>#VALUE!</v>
      </c>
      <c r="K196" s="4" t="e">
        <f t="shared" si="202"/>
        <v>#VALUE!</v>
      </c>
      <c r="L196" s="4" t="e">
        <f t="shared" si="203"/>
        <v>#VALUE!</v>
      </c>
      <c r="M196" s="4">
        <f t="shared" si="260"/>
        <v>1000</v>
      </c>
      <c r="N196" s="4">
        <f t="shared" ref="N196:O196" si="265">MIN(IFERROR(FIND(" ",$C196,M196+1),1000))</f>
        <v>1000</v>
      </c>
      <c r="O196" s="4">
        <f t="shared" si="265"/>
        <v>1000</v>
      </c>
      <c r="P196" s="4">
        <f t="shared" si="262"/>
        <v>0</v>
      </c>
      <c r="Q196" s="4" t="str">
        <f t="shared" si="251"/>
        <v/>
      </c>
      <c r="R196" s="4" t="str">
        <f t="shared" si="252"/>
        <v/>
      </c>
      <c r="S196" s="4" t="str">
        <f t="shared" si="253"/>
        <v/>
      </c>
      <c r="T196" s="4" t="e">
        <f t="shared" si="263"/>
        <v>#VALUE!</v>
      </c>
      <c r="U196" s="4" t="e">
        <f t="shared" si="264"/>
        <v>#VALUE!</v>
      </c>
      <c r="V196" s="4" t="b">
        <f t="shared" si="254"/>
        <v>0</v>
      </c>
      <c r="W196" s="13" t="str">
        <f t="shared" si="255"/>
        <v>Да</v>
      </c>
      <c r="X196" s="4" t="e">
        <f>(IF(COUNTIFS($G$2:G196,"+",$W$2:W196,"Да")&gt;1,"&amp; ","")&amp;D196&amp;J196&amp;E196&amp;SUBSTITUTE(L196,"""",""))</f>
        <v>#VALUE!</v>
      </c>
      <c r="Y196" s="4" t="e">
        <f t="shared" si="256"/>
        <v>#VALUE!</v>
      </c>
    </row>
    <row r="197" spans="1:25" x14ac:dyDescent="0.3">
      <c r="A197" s="11"/>
      <c r="B197" s="5" t="str">
        <f t="shared" si="257"/>
        <v/>
      </c>
      <c r="C197" s="5" t="str">
        <f t="shared" si="258"/>
        <v/>
      </c>
      <c r="D197" s="4" t="s">
        <v>10</v>
      </c>
      <c r="E197" s="4" t="s">
        <v>11</v>
      </c>
      <c r="F197" s="4" t="str">
        <f t="shared" si="199"/>
        <v>!!!</v>
      </c>
      <c r="G197" s="4" t="str">
        <f t="shared" si="259"/>
        <v>+</v>
      </c>
      <c r="H197" s="4"/>
      <c r="I197" s="4" t="str">
        <f t="shared" si="200"/>
        <v>!!!</v>
      </c>
      <c r="J197" s="4" t="e">
        <f t="shared" si="201"/>
        <v>#VALUE!</v>
      </c>
      <c r="K197" s="4" t="e">
        <f t="shared" si="202"/>
        <v>#VALUE!</v>
      </c>
      <c r="L197" s="4" t="e">
        <f t="shared" si="203"/>
        <v>#VALUE!</v>
      </c>
      <c r="M197" s="4">
        <f t="shared" si="260"/>
        <v>1000</v>
      </c>
      <c r="N197" s="4">
        <f t="shared" ref="N197:O197" si="266">MIN(IFERROR(FIND(" ",$C197,M197+1),1000))</f>
        <v>1000</v>
      </c>
      <c r="O197" s="4">
        <f t="shared" si="266"/>
        <v>1000</v>
      </c>
      <c r="P197" s="4">
        <f t="shared" si="262"/>
        <v>0</v>
      </c>
      <c r="Q197" s="4" t="str">
        <f t="shared" si="251"/>
        <v/>
      </c>
      <c r="R197" s="4" t="str">
        <f t="shared" si="252"/>
        <v/>
      </c>
      <c r="S197" s="4" t="str">
        <f t="shared" si="253"/>
        <v/>
      </c>
      <c r="T197" s="4" t="e">
        <f t="shared" si="263"/>
        <v>#VALUE!</v>
      </c>
      <c r="U197" s="4" t="e">
        <f t="shared" si="264"/>
        <v>#VALUE!</v>
      </c>
      <c r="V197" s="4" t="b">
        <f t="shared" si="254"/>
        <v>0</v>
      </c>
      <c r="W197" s="13" t="str">
        <f t="shared" si="255"/>
        <v>Да</v>
      </c>
      <c r="X197" s="4" t="e">
        <f>(IF(COUNTIFS($G$2:G197,"+",$W$2:W197,"Да")&gt;1,"&amp; ","")&amp;D197&amp;J197&amp;E197&amp;SUBSTITUTE(L197,"""",""))</f>
        <v>#VALUE!</v>
      </c>
      <c r="Y197" s="4" t="e">
        <f t="shared" si="256"/>
        <v>#VALUE!</v>
      </c>
    </row>
    <row r="198" spans="1:25" x14ac:dyDescent="0.3">
      <c r="A198" s="11"/>
      <c r="B198" s="5" t="str">
        <f t="shared" si="257"/>
        <v/>
      </c>
      <c r="C198" s="5" t="str">
        <f t="shared" si="258"/>
        <v/>
      </c>
      <c r="D198" s="4" t="s">
        <v>10</v>
      </c>
      <c r="E198" s="4" t="s">
        <v>11</v>
      </c>
      <c r="F198" s="4" t="str">
        <f t="shared" si="199"/>
        <v>!!!</v>
      </c>
      <c r="G198" s="4" t="str">
        <f t="shared" si="259"/>
        <v>+</v>
      </c>
      <c r="H198" s="4"/>
      <c r="I198" s="4" t="str">
        <f t="shared" si="200"/>
        <v>!!!</v>
      </c>
      <c r="J198" s="4" t="e">
        <f t="shared" si="201"/>
        <v>#VALUE!</v>
      </c>
      <c r="K198" s="4" t="e">
        <f t="shared" si="202"/>
        <v>#VALUE!</v>
      </c>
      <c r="L198" s="4" t="e">
        <f t="shared" si="203"/>
        <v>#VALUE!</v>
      </c>
      <c r="M198" s="4">
        <f t="shared" si="260"/>
        <v>1000</v>
      </c>
      <c r="N198" s="4">
        <f t="shared" ref="N198:O198" si="267">MIN(IFERROR(FIND(" ",$C198,M198+1),1000))</f>
        <v>1000</v>
      </c>
      <c r="O198" s="4">
        <f t="shared" si="267"/>
        <v>1000</v>
      </c>
      <c r="P198" s="4">
        <f t="shared" si="262"/>
        <v>0</v>
      </c>
      <c r="Q198" s="4" t="str">
        <f t="shared" si="251"/>
        <v/>
      </c>
      <c r="R198" s="4" t="str">
        <f t="shared" si="252"/>
        <v/>
      </c>
      <c r="S198" s="4" t="str">
        <f t="shared" si="253"/>
        <v/>
      </c>
      <c r="T198" s="4" t="e">
        <f t="shared" si="263"/>
        <v>#VALUE!</v>
      </c>
      <c r="U198" s="4" t="e">
        <f t="shared" si="264"/>
        <v>#VALUE!</v>
      </c>
      <c r="V198" s="4" t="b">
        <f t="shared" si="254"/>
        <v>0</v>
      </c>
      <c r="W198" s="13" t="str">
        <f t="shared" si="255"/>
        <v>Да</v>
      </c>
      <c r="X198" s="4" t="e">
        <f>(IF(COUNTIFS($G$2:G198,"+",$W$2:W198,"Да")&gt;1,"&amp; ","")&amp;D198&amp;J198&amp;E198&amp;SUBSTITUTE(L198,"""",""))</f>
        <v>#VALUE!</v>
      </c>
      <c r="Y198" s="4" t="e">
        <f t="shared" si="256"/>
        <v>#VALUE!</v>
      </c>
    </row>
    <row r="199" spans="1:25" x14ac:dyDescent="0.3">
      <c r="A199" s="11"/>
      <c r="B199" s="5" t="str">
        <f t="shared" si="257"/>
        <v/>
      </c>
      <c r="C199" s="5" t="str">
        <f t="shared" si="258"/>
        <v/>
      </c>
      <c r="D199" s="4" t="s">
        <v>10</v>
      </c>
      <c r="E199" s="4" t="s">
        <v>11</v>
      </c>
      <c r="F199" s="4" t="str">
        <f t="shared" si="199"/>
        <v>!!!</v>
      </c>
      <c r="G199" s="4" t="str">
        <f t="shared" si="259"/>
        <v>+</v>
      </c>
      <c r="H199" s="4"/>
      <c r="I199" s="4" t="str">
        <f t="shared" si="200"/>
        <v>!!!</v>
      </c>
      <c r="J199" s="4" t="e">
        <f t="shared" si="201"/>
        <v>#VALUE!</v>
      </c>
      <c r="K199" s="4" t="e">
        <f t="shared" si="202"/>
        <v>#VALUE!</v>
      </c>
      <c r="L199" s="4" t="e">
        <f t="shared" si="203"/>
        <v>#VALUE!</v>
      </c>
      <c r="M199" s="4">
        <f t="shared" si="260"/>
        <v>1000</v>
      </c>
      <c r="N199" s="4">
        <f t="shared" ref="N199:O199" si="268">MIN(IFERROR(FIND(" ",$C199,M199+1),1000))</f>
        <v>1000</v>
      </c>
      <c r="O199" s="4">
        <f t="shared" si="268"/>
        <v>1000</v>
      </c>
      <c r="P199" s="4">
        <f t="shared" si="262"/>
        <v>0</v>
      </c>
      <c r="Q199" s="4" t="str">
        <f t="shared" si="251"/>
        <v/>
      </c>
      <c r="R199" s="4" t="str">
        <f t="shared" si="252"/>
        <v/>
      </c>
      <c r="S199" s="4" t="str">
        <f t="shared" si="253"/>
        <v/>
      </c>
      <c r="T199" s="4" t="e">
        <f t="shared" si="263"/>
        <v>#VALUE!</v>
      </c>
      <c r="U199" s="4" t="e">
        <f t="shared" si="264"/>
        <v>#VALUE!</v>
      </c>
      <c r="V199" s="4" t="b">
        <f t="shared" si="254"/>
        <v>0</v>
      </c>
      <c r="W199" s="13" t="str">
        <f t="shared" si="255"/>
        <v>Да</v>
      </c>
      <c r="X199" s="4" t="e">
        <f>(IF(COUNTIFS($G$2:G199,"+",$W$2:W199,"Да")&gt;1,"&amp; ","")&amp;D199&amp;J199&amp;E199&amp;SUBSTITUTE(L199,"""",""))</f>
        <v>#VALUE!</v>
      </c>
      <c r="Y199" s="4" t="e">
        <f t="shared" si="256"/>
        <v>#VALUE!</v>
      </c>
    </row>
    <row r="200" spans="1:25" x14ac:dyDescent="0.3">
      <c r="A200" s="11"/>
      <c r="B200" s="5" t="str">
        <f t="shared" si="257"/>
        <v/>
      </c>
      <c r="C200" s="5" t="str">
        <f t="shared" si="258"/>
        <v/>
      </c>
      <c r="D200" s="4" t="s">
        <v>10</v>
      </c>
      <c r="E200" s="4" t="s">
        <v>11</v>
      </c>
      <c r="F200" s="4" t="str">
        <f t="shared" si="199"/>
        <v>!!!</v>
      </c>
      <c r="G200" s="4" t="str">
        <f t="shared" si="259"/>
        <v>+</v>
      </c>
      <c r="H200" s="4"/>
      <c r="I200" s="4" t="str">
        <f t="shared" si="200"/>
        <v>!!!</v>
      </c>
      <c r="J200" s="4" t="e">
        <f t="shared" si="201"/>
        <v>#VALUE!</v>
      </c>
      <c r="K200" s="4" t="e">
        <f t="shared" si="202"/>
        <v>#VALUE!</v>
      </c>
      <c r="L200" s="4" t="e">
        <f t="shared" si="203"/>
        <v>#VALUE!</v>
      </c>
      <c r="M200" s="4">
        <f t="shared" si="260"/>
        <v>1000</v>
      </c>
      <c r="N200" s="4">
        <f t="shared" ref="N200:O200" si="269">MIN(IFERROR(FIND(" ",$C200,M200+1),1000))</f>
        <v>1000</v>
      </c>
      <c r="O200" s="4">
        <f t="shared" si="269"/>
        <v>1000</v>
      </c>
      <c r="P200" s="4">
        <f t="shared" si="262"/>
        <v>0</v>
      </c>
      <c r="Q200" s="4" t="str">
        <f t="shared" si="251"/>
        <v/>
      </c>
      <c r="R200" s="4" t="str">
        <f t="shared" si="252"/>
        <v/>
      </c>
      <c r="S200" s="4" t="str">
        <f t="shared" si="253"/>
        <v/>
      </c>
      <c r="T200" s="4" t="e">
        <f t="shared" si="263"/>
        <v>#VALUE!</v>
      </c>
      <c r="U200" s="4" t="e">
        <f t="shared" si="264"/>
        <v>#VALUE!</v>
      </c>
      <c r="V200" s="4" t="b">
        <f t="shared" si="254"/>
        <v>0</v>
      </c>
      <c r="W200" s="13" t="str">
        <f t="shared" si="255"/>
        <v>Да</v>
      </c>
      <c r="X200" s="4" t="e">
        <f>(IF(COUNTIFS($G$2:G200,"+",$W$2:W200,"Да")&gt;1,"&amp; ","")&amp;D200&amp;J200&amp;E200&amp;SUBSTITUTE(L200,"""",""))</f>
        <v>#VALUE!</v>
      </c>
      <c r="Y200" s="4" t="e">
        <f t="shared" si="256"/>
        <v>#VALUE!</v>
      </c>
    </row>
    <row r="201" spans="1:25" x14ac:dyDescent="0.3">
      <c r="A201" s="11"/>
      <c r="B201" s="5" t="str">
        <f t="shared" si="257"/>
        <v/>
      </c>
      <c r="C201" s="5" t="str">
        <f t="shared" si="258"/>
        <v/>
      </c>
      <c r="D201" s="4" t="s">
        <v>10</v>
      </c>
      <c r="E201" s="4" t="s">
        <v>11</v>
      </c>
      <c r="F201" s="4" t="str">
        <f t="shared" si="199"/>
        <v>!!!</v>
      </c>
      <c r="G201" s="4" t="str">
        <f t="shared" si="259"/>
        <v>+</v>
      </c>
      <c r="H201" s="4"/>
      <c r="I201" s="4" t="str">
        <f t="shared" si="200"/>
        <v>!!!</v>
      </c>
      <c r="J201" s="4" t="e">
        <f t="shared" si="201"/>
        <v>#VALUE!</v>
      </c>
      <c r="K201" s="4" t="e">
        <f t="shared" si="202"/>
        <v>#VALUE!</v>
      </c>
      <c r="L201" s="4" t="e">
        <f t="shared" si="203"/>
        <v>#VALUE!</v>
      </c>
      <c r="M201" s="4">
        <f t="shared" si="260"/>
        <v>1000</v>
      </c>
      <c r="N201" s="4">
        <f t="shared" ref="N201:O201" si="270">MIN(IFERROR(FIND(" ",$C201,M201+1),1000))</f>
        <v>1000</v>
      </c>
      <c r="O201" s="4">
        <f t="shared" si="270"/>
        <v>1000</v>
      </c>
      <c r="P201" s="4">
        <f t="shared" si="262"/>
        <v>0</v>
      </c>
      <c r="Q201" s="4" t="str">
        <f t="shared" si="251"/>
        <v/>
      </c>
      <c r="R201" s="4" t="str">
        <f t="shared" si="252"/>
        <v/>
      </c>
      <c r="S201" s="4" t="str">
        <f t="shared" si="253"/>
        <v/>
      </c>
      <c r="T201" s="4" t="e">
        <f t="shared" si="263"/>
        <v>#VALUE!</v>
      </c>
      <c r="U201" s="4" t="e">
        <f t="shared" si="264"/>
        <v>#VALUE!</v>
      </c>
      <c r="V201" s="4" t="b">
        <f t="shared" si="254"/>
        <v>0</v>
      </c>
      <c r="W201" s="13" t="str">
        <f t="shared" si="255"/>
        <v>Да</v>
      </c>
      <c r="X201" s="4" t="e">
        <f>(IF(COUNTIFS($G$2:G201,"+",$W$2:W201,"Да")&gt;1,"&amp; ","")&amp;D201&amp;J201&amp;E201&amp;SUBSTITUTE(L201,"""",""))</f>
        <v>#VALUE!</v>
      </c>
      <c r="Y201" s="4" t="e">
        <f t="shared" si="256"/>
        <v>#VALUE!</v>
      </c>
    </row>
    <row r="202" spans="1:25" x14ac:dyDescent="0.3">
      <c r="A202" s="11"/>
      <c r="B202" s="5" t="str">
        <f t="shared" si="257"/>
        <v/>
      </c>
      <c r="C202" s="5" t="str">
        <f t="shared" si="258"/>
        <v/>
      </c>
      <c r="D202" s="4" t="s">
        <v>10</v>
      </c>
      <c r="E202" s="4" t="s">
        <v>11</v>
      </c>
      <c r="F202" s="4" t="str">
        <f t="shared" si="199"/>
        <v>!!!</v>
      </c>
      <c r="G202" s="4" t="str">
        <f t="shared" si="259"/>
        <v>+</v>
      </c>
      <c r="H202" s="4"/>
      <c r="I202" s="4" t="str">
        <f t="shared" si="200"/>
        <v>!!!</v>
      </c>
      <c r="J202" s="4" t="e">
        <f t="shared" si="201"/>
        <v>#VALUE!</v>
      </c>
      <c r="K202" s="4" t="e">
        <f t="shared" si="202"/>
        <v>#VALUE!</v>
      </c>
      <c r="L202" s="4" t="e">
        <f t="shared" si="203"/>
        <v>#VALUE!</v>
      </c>
      <c r="M202" s="4">
        <f t="shared" si="260"/>
        <v>1000</v>
      </c>
      <c r="N202" s="4">
        <f t="shared" ref="N202:O202" si="271">MIN(IFERROR(FIND(" ",$C202,M202+1),1000))</f>
        <v>1000</v>
      </c>
      <c r="O202" s="4">
        <f t="shared" si="271"/>
        <v>1000</v>
      </c>
      <c r="P202" s="4">
        <f t="shared" si="262"/>
        <v>0</v>
      </c>
      <c r="Q202" s="4" t="str">
        <f t="shared" si="251"/>
        <v/>
      </c>
      <c r="R202" s="4" t="str">
        <f t="shared" si="252"/>
        <v/>
      </c>
      <c r="S202" s="4" t="str">
        <f t="shared" si="253"/>
        <v/>
      </c>
      <c r="T202" s="4" t="e">
        <f t="shared" si="263"/>
        <v>#VALUE!</v>
      </c>
      <c r="U202" s="4" t="e">
        <f t="shared" si="264"/>
        <v>#VALUE!</v>
      </c>
      <c r="V202" s="4" t="b">
        <f t="shared" si="254"/>
        <v>0</v>
      </c>
      <c r="W202" s="13" t="str">
        <f t="shared" si="255"/>
        <v>Да</v>
      </c>
      <c r="X202" s="4" t="e">
        <f>(IF(COUNTIFS($G$2:G202,"+",$W$2:W202,"Да")&gt;1,"&amp; ","")&amp;D202&amp;J202&amp;E202&amp;SUBSTITUTE(L202,"""",""))</f>
        <v>#VALUE!</v>
      </c>
      <c r="Y202" s="4" t="e">
        <f t="shared" si="256"/>
        <v>#VALUE!</v>
      </c>
    </row>
    <row r="203" spans="1:25" x14ac:dyDescent="0.3">
      <c r="A203" s="11"/>
      <c r="B203" s="5" t="str">
        <f t="shared" si="257"/>
        <v/>
      </c>
      <c r="C203" s="5" t="str">
        <f t="shared" si="258"/>
        <v/>
      </c>
      <c r="D203" s="4" t="s">
        <v>10</v>
      </c>
      <c r="E203" s="4" t="s">
        <v>11</v>
      </c>
      <c r="F203" s="4" t="str">
        <f t="shared" si="199"/>
        <v>!!!</v>
      </c>
      <c r="G203" s="4" t="str">
        <f t="shared" si="259"/>
        <v>+</v>
      </c>
      <c r="H203" s="4"/>
      <c r="I203" s="4" t="str">
        <f t="shared" si="200"/>
        <v>!!!</v>
      </c>
      <c r="J203" s="4" t="e">
        <f t="shared" si="201"/>
        <v>#VALUE!</v>
      </c>
      <c r="K203" s="4" t="e">
        <f t="shared" si="202"/>
        <v>#VALUE!</v>
      </c>
      <c r="L203" s="4" t="e">
        <f t="shared" si="203"/>
        <v>#VALUE!</v>
      </c>
      <c r="M203" s="4">
        <f t="shared" si="260"/>
        <v>1000</v>
      </c>
      <c r="N203" s="4">
        <f t="shared" ref="N203:O203" si="272">MIN(IFERROR(FIND(" ",$C203,M203+1),1000))</f>
        <v>1000</v>
      </c>
      <c r="O203" s="4">
        <f t="shared" si="272"/>
        <v>1000</v>
      </c>
      <c r="P203" s="4">
        <f t="shared" si="262"/>
        <v>0</v>
      </c>
      <c r="Q203" s="4" t="str">
        <f t="shared" si="251"/>
        <v/>
      </c>
      <c r="R203" s="4" t="str">
        <f t="shared" si="252"/>
        <v/>
      </c>
      <c r="S203" s="4" t="str">
        <f t="shared" si="253"/>
        <v/>
      </c>
      <c r="T203" s="4" t="e">
        <f t="shared" si="263"/>
        <v>#VALUE!</v>
      </c>
      <c r="U203" s="4" t="e">
        <f t="shared" si="264"/>
        <v>#VALUE!</v>
      </c>
      <c r="V203" s="4" t="b">
        <f t="shared" si="254"/>
        <v>0</v>
      </c>
      <c r="W203" s="13" t="str">
        <f t="shared" si="255"/>
        <v>Да</v>
      </c>
      <c r="X203" s="4" t="e">
        <f>(IF(COUNTIFS($G$2:G203,"+",$W$2:W203,"Да")&gt;1,"&amp; ","")&amp;D203&amp;J203&amp;E203&amp;SUBSTITUTE(L203,"""",""))</f>
        <v>#VALUE!</v>
      </c>
      <c r="Y203" s="4" t="e">
        <f t="shared" si="256"/>
        <v>#VALUE!</v>
      </c>
    </row>
    <row r="204" spans="1:25" x14ac:dyDescent="0.3">
      <c r="A204" s="11"/>
      <c r="B204" s="5" t="str">
        <f t="shared" si="257"/>
        <v/>
      </c>
      <c r="C204" s="5" t="str">
        <f t="shared" si="258"/>
        <v/>
      </c>
      <c r="D204" s="4" t="s">
        <v>10</v>
      </c>
      <c r="E204" s="4" t="s">
        <v>11</v>
      </c>
      <c r="F204" s="4" t="str">
        <f t="shared" si="199"/>
        <v>!!!</v>
      </c>
      <c r="G204" s="4" t="str">
        <f t="shared" si="259"/>
        <v>+</v>
      </c>
      <c r="H204" s="4"/>
      <c r="I204" s="4" t="str">
        <f t="shared" si="200"/>
        <v>!!!</v>
      </c>
      <c r="J204" s="4" t="e">
        <f t="shared" si="201"/>
        <v>#VALUE!</v>
      </c>
      <c r="K204" s="4" t="e">
        <f t="shared" si="202"/>
        <v>#VALUE!</v>
      </c>
      <c r="L204" s="4" t="e">
        <f t="shared" si="203"/>
        <v>#VALUE!</v>
      </c>
      <c r="M204" s="4">
        <f t="shared" si="260"/>
        <v>1000</v>
      </c>
      <c r="N204" s="4">
        <f t="shared" ref="N204:O204" si="273">MIN(IFERROR(FIND(" ",$C204,M204+1),1000))</f>
        <v>1000</v>
      </c>
      <c r="O204" s="4">
        <f t="shared" si="273"/>
        <v>1000</v>
      </c>
      <c r="P204" s="4">
        <f t="shared" si="262"/>
        <v>0</v>
      </c>
      <c r="Q204" s="4" t="str">
        <f t="shared" si="251"/>
        <v/>
      </c>
      <c r="R204" s="4" t="str">
        <f t="shared" si="252"/>
        <v/>
      </c>
      <c r="S204" s="4" t="str">
        <f t="shared" si="253"/>
        <v/>
      </c>
      <c r="T204" s="4" t="e">
        <f t="shared" si="263"/>
        <v>#VALUE!</v>
      </c>
      <c r="U204" s="4" t="e">
        <f t="shared" si="264"/>
        <v>#VALUE!</v>
      </c>
      <c r="V204" s="4" t="b">
        <f t="shared" si="254"/>
        <v>0</v>
      </c>
      <c r="W204" s="13" t="str">
        <f t="shared" si="255"/>
        <v>Да</v>
      </c>
      <c r="X204" s="4" t="e">
        <f>(IF(COUNTIFS($G$2:G204,"+",$W$2:W204,"Да")&gt;1,"&amp; ","")&amp;D204&amp;J204&amp;E204&amp;SUBSTITUTE(L204,"""",""))</f>
        <v>#VALUE!</v>
      </c>
      <c r="Y204" s="4" t="e">
        <f t="shared" si="256"/>
        <v>#VALUE!</v>
      </c>
    </row>
    <row r="205" spans="1:25" x14ac:dyDescent="0.3">
      <c r="A205" s="11"/>
      <c r="B205" s="5" t="str">
        <f t="shared" si="257"/>
        <v/>
      </c>
      <c r="C205" s="5" t="str">
        <f t="shared" si="258"/>
        <v/>
      </c>
      <c r="D205" s="4" t="s">
        <v>10</v>
      </c>
      <c r="E205" s="4" t="s">
        <v>11</v>
      </c>
      <c r="F205" s="4" t="str">
        <f t="shared" si="199"/>
        <v>!!!</v>
      </c>
      <c r="G205" s="4" t="str">
        <f t="shared" si="259"/>
        <v>+</v>
      </c>
      <c r="H205" s="4"/>
      <c r="I205" s="4" t="str">
        <f t="shared" si="200"/>
        <v>!!!</v>
      </c>
      <c r="J205" s="4" t="e">
        <f t="shared" si="201"/>
        <v>#VALUE!</v>
      </c>
      <c r="K205" s="4" t="e">
        <f t="shared" si="202"/>
        <v>#VALUE!</v>
      </c>
      <c r="L205" s="4" t="e">
        <f t="shared" si="203"/>
        <v>#VALUE!</v>
      </c>
      <c r="M205" s="4">
        <f t="shared" si="260"/>
        <v>1000</v>
      </c>
      <c r="N205" s="4">
        <f t="shared" ref="N205:O205" si="274">MIN(IFERROR(FIND(" ",$C205,M205+1),1000))</f>
        <v>1000</v>
      </c>
      <c r="O205" s="4">
        <f t="shared" si="274"/>
        <v>1000</v>
      </c>
      <c r="P205" s="4">
        <f t="shared" si="262"/>
        <v>0</v>
      </c>
      <c r="Q205" s="4" t="str">
        <f t="shared" si="251"/>
        <v/>
      </c>
      <c r="R205" s="4" t="str">
        <f t="shared" si="252"/>
        <v/>
      </c>
      <c r="S205" s="4" t="str">
        <f t="shared" si="253"/>
        <v/>
      </c>
      <c r="T205" s="4" t="e">
        <f t="shared" si="263"/>
        <v>#VALUE!</v>
      </c>
      <c r="U205" s="4" t="e">
        <f t="shared" si="264"/>
        <v>#VALUE!</v>
      </c>
      <c r="V205" s="4" t="b">
        <f t="shared" si="254"/>
        <v>0</v>
      </c>
      <c r="W205" s="13" t="str">
        <f t="shared" si="255"/>
        <v>Да</v>
      </c>
      <c r="X205" s="4" t="e">
        <f>(IF(COUNTIFS($G$2:G205,"+",$W$2:W205,"Да")&gt;1,"&amp; ","")&amp;D205&amp;J205&amp;E205&amp;SUBSTITUTE(L205,"""",""))</f>
        <v>#VALUE!</v>
      </c>
      <c r="Y205" s="4" t="e">
        <f t="shared" si="256"/>
        <v>#VALUE!</v>
      </c>
    </row>
    <row r="206" spans="1:25" x14ac:dyDescent="0.3">
      <c r="A206" s="11"/>
      <c r="B206" s="5" t="str">
        <f t="shared" si="257"/>
        <v/>
      </c>
      <c r="C206" s="5" t="str">
        <f t="shared" si="258"/>
        <v/>
      </c>
      <c r="D206" s="4" t="s">
        <v>10</v>
      </c>
      <c r="E206" s="4" t="s">
        <v>11</v>
      </c>
      <c r="F206" s="4" t="str">
        <f t="shared" si="199"/>
        <v>!!!</v>
      </c>
      <c r="G206" s="4" t="str">
        <f t="shared" si="259"/>
        <v>+</v>
      </c>
      <c r="H206" s="4"/>
      <c r="I206" s="4" t="str">
        <f t="shared" si="200"/>
        <v>!!!</v>
      </c>
      <c r="J206" s="4" t="e">
        <f t="shared" si="201"/>
        <v>#VALUE!</v>
      </c>
      <c r="K206" s="4" t="e">
        <f t="shared" si="202"/>
        <v>#VALUE!</v>
      </c>
      <c r="L206" s="4" t="e">
        <f t="shared" si="203"/>
        <v>#VALUE!</v>
      </c>
      <c r="M206" s="4">
        <f t="shared" si="260"/>
        <v>1000</v>
      </c>
      <c r="N206" s="4">
        <f t="shared" ref="N206:O206" si="275">MIN(IFERROR(FIND(" ",$C206,M206+1),1000))</f>
        <v>1000</v>
      </c>
      <c r="O206" s="4">
        <f t="shared" si="275"/>
        <v>1000</v>
      </c>
      <c r="P206" s="4">
        <f t="shared" si="262"/>
        <v>0</v>
      </c>
      <c r="Q206" s="4" t="str">
        <f t="shared" si="251"/>
        <v/>
      </c>
      <c r="R206" s="4" t="str">
        <f t="shared" si="252"/>
        <v/>
      </c>
      <c r="S206" s="4" t="str">
        <f t="shared" si="253"/>
        <v/>
      </c>
      <c r="T206" s="4" t="e">
        <f t="shared" si="263"/>
        <v>#VALUE!</v>
      </c>
      <c r="U206" s="4" t="e">
        <f t="shared" si="264"/>
        <v>#VALUE!</v>
      </c>
      <c r="V206" s="4" t="b">
        <f t="shared" si="254"/>
        <v>0</v>
      </c>
      <c r="W206" s="13" t="str">
        <f t="shared" si="255"/>
        <v>Да</v>
      </c>
      <c r="X206" s="4" t="e">
        <f>(IF(COUNTIFS($G$2:G206,"+",$W$2:W206,"Да")&gt;1,"&amp; ","")&amp;D206&amp;J206&amp;E206&amp;SUBSTITUTE(L206,"""",""))</f>
        <v>#VALUE!</v>
      </c>
      <c r="Y206" s="4" t="e">
        <f t="shared" si="256"/>
        <v>#VALUE!</v>
      </c>
    </row>
    <row r="207" spans="1:25" x14ac:dyDescent="0.3">
      <c r="A207" s="11"/>
      <c r="B207" s="5" t="str">
        <f t="shared" si="257"/>
        <v/>
      </c>
      <c r="C207" s="5" t="str">
        <f t="shared" si="258"/>
        <v/>
      </c>
      <c r="D207" s="4" t="s">
        <v>10</v>
      </c>
      <c r="E207" s="4" t="s">
        <v>11</v>
      </c>
      <c r="F207" s="4" t="str">
        <f t="shared" si="199"/>
        <v>!!!</v>
      </c>
      <c r="G207" s="4" t="str">
        <f t="shared" si="259"/>
        <v>+</v>
      </c>
      <c r="H207" s="4"/>
      <c r="I207" s="4" t="str">
        <f t="shared" si="200"/>
        <v>!!!</v>
      </c>
      <c r="J207" s="4" t="e">
        <f t="shared" si="201"/>
        <v>#VALUE!</v>
      </c>
      <c r="K207" s="4" t="e">
        <f t="shared" si="202"/>
        <v>#VALUE!</v>
      </c>
      <c r="L207" s="4" t="e">
        <f t="shared" si="203"/>
        <v>#VALUE!</v>
      </c>
      <c r="M207" s="4">
        <f t="shared" si="260"/>
        <v>1000</v>
      </c>
      <c r="N207" s="4">
        <f t="shared" ref="N207:O207" si="276">MIN(IFERROR(FIND(" ",$C207,M207+1),1000))</f>
        <v>1000</v>
      </c>
      <c r="O207" s="4">
        <f t="shared" si="276"/>
        <v>1000</v>
      </c>
      <c r="P207" s="4">
        <f t="shared" si="262"/>
        <v>0</v>
      </c>
      <c r="Q207" s="4" t="str">
        <f t="shared" si="251"/>
        <v/>
      </c>
      <c r="R207" s="4" t="str">
        <f t="shared" si="252"/>
        <v/>
      </c>
      <c r="S207" s="4" t="str">
        <f t="shared" si="253"/>
        <v/>
      </c>
      <c r="T207" s="4" t="e">
        <f t="shared" si="263"/>
        <v>#VALUE!</v>
      </c>
      <c r="U207" s="4" t="e">
        <f t="shared" si="264"/>
        <v>#VALUE!</v>
      </c>
      <c r="V207" s="4" t="b">
        <f t="shared" si="254"/>
        <v>0</v>
      </c>
      <c r="W207" s="13" t="str">
        <f t="shared" si="255"/>
        <v>Да</v>
      </c>
      <c r="X207" s="4" t="e">
        <f>(IF(COUNTIFS($G$2:G207,"+",$W$2:W207,"Да")&gt;1,"&amp; ","")&amp;D207&amp;J207&amp;E207&amp;SUBSTITUTE(L207,"""",""))</f>
        <v>#VALUE!</v>
      </c>
      <c r="Y207" s="4" t="e">
        <f t="shared" si="256"/>
        <v>#VALUE!</v>
      </c>
    </row>
    <row r="208" spans="1:25" x14ac:dyDescent="0.3">
      <c r="A208" s="11"/>
      <c r="B208" s="5" t="str">
        <f t="shared" si="257"/>
        <v/>
      </c>
      <c r="C208" s="5" t="str">
        <f t="shared" si="258"/>
        <v/>
      </c>
      <c r="D208" s="4" t="s">
        <v>10</v>
      </c>
      <c r="E208" s="4" t="s">
        <v>11</v>
      </c>
      <c r="F208" s="4" t="str">
        <f t="shared" si="199"/>
        <v>!!!</v>
      </c>
      <c r="G208" s="4" t="str">
        <f t="shared" si="259"/>
        <v>+</v>
      </c>
      <c r="H208" s="4"/>
      <c r="I208" s="4" t="str">
        <f t="shared" si="200"/>
        <v>!!!</v>
      </c>
      <c r="J208" s="4" t="e">
        <f t="shared" si="201"/>
        <v>#VALUE!</v>
      </c>
      <c r="K208" s="4" t="e">
        <f t="shared" si="202"/>
        <v>#VALUE!</v>
      </c>
      <c r="L208" s="4" t="e">
        <f t="shared" si="203"/>
        <v>#VALUE!</v>
      </c>
      <c r="M208" s="4">
        <f t="shared" si="260"/>
        <v>1000</v>
      </c>
      <c r="N208" s="4">
        <f t="shared" ref="N208:O208" si="277">MIN(IFERROR(FIND(" ",$C208,M208+1),1000))</f>
        <v>1000</v>
      </c>
      <c r="O208" s="4">
        <f t="shared" si="277"/>
        <v>1000</v>
      </c>
      <c r="P208" s="4">
        <f t="shared" si="262"/>
        <v>0</v>
      </c>
      <c r="Q208" s="4" t="str">
        <f t="shared" si="251"/>
        <v/>
      </c>
      <c r="R208" s="4" t="str">
        <f t="shared" si="252"/>
        <v/>
      </c>
      <c r="S208" s="4" t="str">
        <f t="shared" si="253"/>
        <v/>
      </c>
      <c r="T208" s="4" t="e">
        <f t="shared" si="263"/>
        <v>#VALUE!</v>
      </c>
      <c r="U208" s="4" t="e">
        <f t="shared" si="264"/>
        <v>#VALUE!</v>
      </c>
      <c r="V208" s="4" t="b">
        <f t="shared" si="254"/>
        <v>0</v>
      </c>
      <c r="W208" s="13" t="str">
        <f t="shared" si="255"/>
        <v>Да</v>
      </c>
      <c r="X208" s="4" t="e">
        <f>(IF(COUNTIFS($G$2:G208,"+",$W$2:W208,"Да")&gt;1,"&amp; ","")&amp;D208&amp;J208&amp;E208&amp;SUBSTITUTE(L208,"""",""))</f>
        <v>#VALUE!</v>
      </c>
      <c r="Y208" s="4" t="e">
        <f t="shared" si="256"/>
        <v>#VALUE!</v>
      </c>
    </row>
    <row r="209" spans="1:25" x14ac:dyDescent="0.3">
      <c r="A209" s="11"/>
      <c r="B209" s="5" t="str">
        <f t="shared" si="257"/>
        <v/>
      </c>
      <c r="C209" s="5" t="str">
        <f t="shared" si="258"/>
        <v/>
      </c>
      <c r="D209" s="4" t="s">
        <v>10</v>
      </c>
      <c r="E209" s="4" t="s">
        <v>11</v>
      </c>
      <c r="F209" s="4" t="str">
        <f t="shared" si="199"/>
        <v>!!!</v>
      </c>
      <c r="G209" s="4" t="str">
        <f t="shared" si="259"/>
        <v>+</v>
      </c>
      <c r="H209" s="4"/>
      <c r="I209" s="4" t="str">
        <f t="shared" si="200"/>
        <v>!!!</v>
      </c>
      <c r="J209" s="4" t="e">
        <f t="shared" si="201"/>
        <v>#VALUE!</v>
      </c>
      <c r="K209" s="4" t="e">
        <f t="shared" si="202"/>
        <v>#VALUE!</v>
      </c>
      <c r="L209" s="4" t="e">
        <f t="shared" si="203"/>
        <v>#VALUE!</v>
      </c>
      <c r="M209" s="4">
        <f t="shared" si="260"/>
        <v>1000</v>
      </c>
      <c r="N209" s="4">
        <f t="shared" ref="N209:O209" si="278">MIN(IFERROR(FIND(" ",$C209,M209+1),1000))</f>
        <v>1000</v>
      </c>
      <c r="O209" s="4">
        <f t="shared" si="278"/>
        <v>1000</v>
      </c>
      <c r="P209" s="4">
        <f t="shared" si="262"/>
        <v>0</v>
      </c>
      <c r="Q209" s="4" t="str">
        <f t="shared" si="251"/>
        <v/>
      </c>
      <c r="R209" s="4" t="str">
        <f t="shared" si="252"/>
        <v/>
      </c>
      <c r="S209" s="4" t="str">
        <f t="shared" si="253"/>
        <v/>
      </c>
      <c r="T209" s="4" t="e">
        <f t="shared" si="263"/>
        <v>#VALUE!</v>
      </c>
      <c r="U209" s="4" t="e">
        <f t="shared" si="264"/>
        <v>#VALUE!</v>
      </c>
      <c r="V209" s="4" t="b">
        <f t="shared" si="254"/>
        <v>0</v>
      </c>
      <c r="W209" s="13" t="str">
        <f t="shared" si="255"/>
        <v>Да</v>
      </c>
      <c r="X209" s="4" t="e">
        <f>(IF(COUNTIFS($G$2:G209,"+",$W$2:W209,"Да")&gt;1,"&amp; ","")&amp;D209&amp;J209&amp;E209&amp;SUBSTITUTE(L209,"""",""))</f>
        <v>#VALUE!</v>
      </c>
      <c r="Y209" s="4" t="e">
        <f t="shared" si="256"/>
        <v>#VALUE!</v>
      </c>
    </row>
    <row r="210" spans="1:25" x14ac:dyDescent="0.3">
      <c r="A210" s="11"/>
      <c r="B210" s="5" t="str">
        <f t="shared" si="257"/>
        <v/>
      </c>
      <c r="C210" s="5" t="str">
        <f t="shared" si="258"/>
        <v/>
      </c>
      <c r="D210" s="4" t="s">
        <v>10</v>
      </c>
      <c r="E210" s="4" t="s">
        <v>11</v>
      </c>
      <c r="F210" s="4" t="str">
        <f t="shared" si="199"/>
        <v>!!!</v>
      </c>
      <c r="G210" s="4" t="str">
        <f t="shared" si="259"/>
        <v>+</v>
      </c>
      <c r="H210" s="4"/>
      <c r="I210" s="4" t="str">
        <f t="shared" si="200"/>
        <v>!!!</v>
      </c>
      <c r="J210" s="4" t="e">
        <f t="shared" si="201"/>
        <v>#VALUE!</v>
      </c>
      <c r="K210" s="4" t="e">
        <f t="shared" si="202"/>
        <v>#VALUE!</v>
      </c>
      <c r="L210" s="4" t="e">
        <f t="shared" si="203"/>
        <v>#VALUE!</v>
      </c>
      <c r="M210" s="4">
        <f t="shared" si="260"/>
        <v>1000</v>
      </c>
      <c r="N210" s="4">
        <f t="shared" ref="N210:O210" si="279">MIN(IFERROR(FIND(" ",$C210,M210+1),1000))</f>
        <v>1000</v>
      </c>
      <c r="O210" s="4">
        <f t="shared" si="279"/>
        <v>1000</v>
      </c>
      <c r="P210" s="4">
        <f t="shared" si="262"/>
        <v>0</v>
      </c>
      <c r="Q210" s="4" t="str">
        <f t="shared" si="251"/>
        <v/>
      </c>
      <c r="R210" s="4" t="str">
        <f t="shared" si="252"/>
        <v/>
      </c>
      <c r="S210" s="4" t="str">
        <f t="shared" si="253"/>
        <v/>
      </c>
      <c r="T210" s="4" t="e">
        <f t="shared" si="263"/>
        <v>#VALUE!</v>
      </c>
      <c r="U210" s="4" t="e">
        <f t="shared" si="264"/>
        <v>#VALUE!</v>
      </c>
      <c r="V210" s="4" t="b">
        <f t="shared" si="254"/>
        <v>0</v>
      </c>
      <c r="W210" s="13" t="str">
        <f t="shared" si="255"/>
        <v>Да</v>
      </c>
      <c r="X210" s="4" t="e">
        <f>(IF(COUNTIFS($G$2:G210,"+",$W$2:W210,"Да")&gt;1,"&amp; ","")&amp;D210&amp;J210&amp;E210&amp;SUBSTITUTE(L210,"""",""))</f>
        <v>#VALUE!</v>
      </c>
      <c r="Y210" s="4" t="e">
        <f t="shared" si="256"/>
        <v>#VALUE!</v>
      </c>
    </row>
    <row r="211" spans="1:25" x14ac:dyDescent="0.3">
      <c r="A211" s="11"/>
      <c r="B211" s="5" t="str">
        <f t="shared" si="257"/>
        <v/>
      </c>
      <c r="C211" s="5" t="str">
        <f t="shared" si="258"/>
        <v/>
      </c>
      <c r="D211" s="4" t="s">
        <v>10</v>
      </c>
      <c r="E211" s="4" t="s">
        <v>11</v>
      </c>
      <c r="F211" s="4" t="str">
        <f t="shared" si="199"/>
        <v>!!!</v>
      </c>
      <c r="G211" s="4" t="str">
        <f t="shared" si="259"/>
        <v>+</v>
      </c>
      <c r="H211" s="4"/>
      <c r="I211" s="4" t="str">
        <f t="shared" si="200"/>
        <v>!!!</v>
      </c>
      <c r="J211" s="4" t="e">
        <f t="shared" si="201"/>
        <v>#VALUE!</v>
      </c>
      <c r="K211" s="4" t="e">
        <f t="shared" si="202"/>
        <v>#VALUE!</v>
      </c>
      <c r="L211" s="4" t="e">
        <f t="shared" si="203"/>
        <v>#VALUE!</v>
      </c>
      <c r="M211" s="4">
        <f t="shared" si="260"/>
        <v>1000</v>
      </c>
      <c r="N211" s="4">
        <f t="shared" ref="N211:O211" si="280">MIN(IFERROR(FIND(" ",$C211,M211+1),1000))</f>
        <v>1000</v>
      </c>
      <c r="O211" s="4">
        <f t="shared" si="280"/>
        <v>1000</v>
      </c>
      <c r="P211" s="4">
        <f t="shared" si="262"/>
        <v>0</v>
      </c>
      <c r="Q211" s="4" t="str">
        <f t="shared" si="251"/>
        <v/>
      </c>
      <c r="R211" s="4" t="str">
        <f t="shared" si="252"/>
        <v/>
      </c>
      <c r="S211" s="4" t="str">
        <f t="shared" si="253"/>
        <v/>
      </c>
      <c r="T211" s="4" t="e">
        <f t="shared" si="263"/>
        <v>#VALUE!</v>
      </c>
      <c r="U211" s="4" t="e">
        <f t="shared" si="264"/>
        <v>#VALUE!</v>
      </c>
      <c r="V211" s="4" t="b">
        <f t="shared" si="254"/>
        <v>0</v>
      </c>
      <c r="W211" s="13" t="str">
        <f t="shared" si="255"/>
        <v>Да</v>
      </c>
      <c r="X211" s="4" t="e">
        <f>(IF(COUNTIFS($G$2:G211,"+",$W$2:W211,"Да")&gt;1,"&amp; ","")&amp;D211&amp;J211&amp;E211&amp;SUBSTITUTE(L211,"""",""))</f>
        <v>#VALUE!</v>
      </c>
      <c r="Y211" s="4" t="e">
        <f t="shared" si="256"/>
        <v>#VALUE!</v>
      </c>
    </row>
    <row r="212" spans="1:25" x14ac:dyDescent="0.3">
      <c r="A212" s="11"/>
      <c r="B212" s="5" t="str">
        <f t="shared" si="257"/>
        <v/>
      </c>
      <c r="C212" s="5" t="str">
        <f t="shared" si="258"/>
        <v/>
      </c>
      <c r="D212" s="4" t="s">
        <v>10</v>
      </c>
      <c r="E212" s="4" t="s">
        <v>11</v>
      </c>
      <c r="F212" s="4" t="str">
        <f t="shared" ref="F212:F275" si="281">IFERROR(SEARCH(" as ",B212),"!!!")</f>
        <v>!!!</v>
      </c>
      <c r="G212" s="4" t="str">
        <f t="shared" si="259"/>
        <v>+</v>
      </c>
      <c r="H212" s="4"/>
      <c r="I212" s="4" t="str">
        <f t="shared" ref="I212:I275" si="282">IFERROR(SEARCH(" ",B212),"!!!")</f>
        <v>!!!</v>
      </c>
      <c r="J212" s="4" t="e">
        <f t="shared" ref="J212:J275" si="283">RIGHT(B212,LEN(B212)-F212-3)</f>
        <v>#VALUE!</v>
      </c>
      <c r="K212" s="4" t="e">
        <f t="shared" ref="K212:K275" si="284">MID(B212,I212+1,F212-I212)</f>
        <v>#VALUE!</v>
      </c>
      <c r="L212" s="4" t="e">
        <f t="shared" ref="L212:L275" si="285">MID(B212,I212+1,F212-I212)</f>
        <v>#VALUE!</v>
      </c>
      <c r="M212" s="4">
        <f t="shared" si="260"/>
        <v>1000</v>
      </c>
      <c r="N212" s="4">
        <f t="shared" ref="N212:O212" si="286">MIN(IFERROR(FIND(" ",$C212,M212+1),1000))</f>
        <v>1000</v>
      </c>
      <c r="O212" s="4">
        <f t="shared" si="286"/>
        <v>1000</v>
      </c>
      <c r="P212" s="4">
        <f t="shared" si="262"/>
        <v>0</v>
      </c>
      <c r="Q212" s="4" t="str">
        <f t="shared" si="251"/>
        <v/>
      </c>
      <c r="R212" s="4" t="str">
        <f t="shared" si="252"/>
        <v/>
      </c>
      <c r="S212" s="4" t="str">
        <f t="shared" si="253"/>
        <v/>
      </c>
      <c r="T212" s="4" t="e">
        <f t="shared" si="263"/>
        <v>#VALUE!</v>
      </c>
      <c r="U212" s="4" t="e">
        <f t="shared" si="264"/>
        <v>#VALUE!</v>
      </c>
      <c r="V212" s="4" t="b">
        <f t="shared" si="254"/>
        <v>0</v>
      </c>
      <c r="W212" s="13" t="str">
        <f t="shared" si="255"/>
        <v>Да</v>
      </c>
      <c r="X212" s="4" t="e">
        <f>(IF(COUNTIFS($G$2:G212,"+",$W$2:W212,"Да")&gt;1,"&amp; ","")&amp;D212&amp;J212&amp;E212&amp;SUBSTITUTE(L212,"""",""))</f>
        <v>#VALUE!</v>
      </c>
      <c r="Y212" s="4" t="e">
        <f t="shared" si="256"/>
        <v>#VALUE!</v>
      </c>
    </row>
    <row r="213" spans="1:25" x14ac:dyDescent="0.3">
      <c r="A213" s="11"/>
      <c r="B213" s="5" t="str">
        <f t="shared" si="257"/>
        <v/>
      </c>
      <c r="C213" s="5" t="str">
        <f t="shared" si="258"/>
        <v/>
      </c>
      <c r="D213" s="4" t="s">
        <v>10</v>
      </c>
      <c r="E213" s="4" t="s">
        <v>11</v>
      </c>
      <c r="F213" s="4" t="str">
        <f t="shared" si="281"/>
        <v>!!!</v>
      </c>
      <c r="G213" s="4" t="str">
        <f t="shared" si="259"/>
        <v>+</v>
      </c>
      <c r="H213" s="4"/>
      <c r="I213" s="4" t="str">
        <f t="shared" si="282"/>
        <v>!!!</v>
      </c>
      <c r="J213" s="4" t="e">
        <f t="shared" si="283"/>
        <v>#VALUE!</v>
      </c>
      <c r="K213" s="4" t="e">
        <f t="shared" si="284"/>
        <v>#VALUE!</v>
      </c>
      <c r="L213" s="4" t="e">
        <f t="shared" si="285"/>
        <v>#VALUE!</v>
      </c>
      <c r="M213" s="4">
        <f t="shared" si="260"/>
        <v>1000</v>
      </c>
      <c r="N213" s="4">
        <f t="shared" ref="N213:O213" si="287">MIN(IFERROR(FIND(" ",$C213,M213+1),1000))</f>
        <v>1000</v>
      </c>
      <c r="O213" s="4">
        <f t="shared" si="287"/>
        <v>1000</v>
      </c>
      <c r="P213" s="4">
        <f t="shared" si="262"/>
        <v>0</v>
      </c>
      <c r="Q213" s="4" t="str">
        <f t="shared" si="251"/>
        <v/>
      </c>
      <c r="R213" s="4" t="str">
        <f t="shared" si="252"/>
        <v/>
      </c>
      <c r="S213" s="4" t="str">
        <f t="shared" si="253"/>
        <v/>
      </c>
      <c r="T213" s="4" t="e">
        <f t="shared" si="263"/>
        <v>#VALUE!</v>
      </c>
      <c r="U213" s="4" t="e">
        <f t="shared" si="264"/>
        <v>#VALUE!</v>
      </c>
      <c r="V213" s="4" t="b">
        <f t="shared" si="254"/>
        <v>0</v>
      </c>
      <c r="W213" s="13" t="str">
        <f t="shared" si="255"/>
        <v>Да</v>
      </c>
      <c r="X213" s="4" t="e">
        <f>(IF(COUNTIFS($G$2:G213,"+",$W$2:W213,"Да")&gt;1,"&amp; ","")&amp;D213&amp;J213&amp;E213&amp;SUBSTITUTE(L213,"""",""))</f>
        <v>#VALUE!</v>
      </c>
      <c r="Y213" s="4" t="e">
        <f t="shared" si="256"/>
        <v>#VALUE!</v>
      </c>
    </row>
    <row r="214" spans="1:25" x14ac:dyDescent="0.3">
      <c r="A214" s="11"/>
      <c r="B214" s="5" t="str">
        <f t="shared" si="257"/>
        <v/>
      </c>
      <c r="C214" s="5" t="str">
        <f t="shared" si="258"/>
        <v/>
      </c>
      <c r="D214" s="4" t="s">
        <v>10</v>
      </c>
      <c r="E214" s="4" t="s">
        <v>11</v>
      </c>
      <c r="F214" s="4" t="str">
        <f t="shared" si="281"/>
        <v>!!!</v>
      </c>
      <c r="G214" s="4" t="str">
        <f t="shared" si="259"/>
        <v>+</v>
      </c>
      <c r="H214" s="4"/>
      <c r="I214" s="4" t="str">
        <f t="shared" si="282"/>
        <v>!!!</v>
      </c>
      <c r="J214" s="4" t="e">
        <f t="shared" si="283"/>
        <v>#VALUE!</v>
      </c>
      <c r="K214" s="4" t="e">
        <f t="shared" si="284"/>
        <v>#VALUE!</v>
      </c>
      <c r="L214" s="4" t="e">
        <f t="shared" si="285"/>
        <v>#VALUE!</v>
      </c>
      <c r="M214" s="4">
        <f t="shared" si="260"/>
        <v>1000</v>
      </c>
      <c r="N214" s="4">
        <f t="shared" ref="N214:O214" si="288">MIN(IFERROR(FIND(" ",$C214,M214+1),1000))</f>
        <v>1000</v>
      </c>
      <c r="O214" s="4">
        <f t="shared" si="288"/>
        <v>1000</v>
      </c>
      <c r="P214" s="4">
        <f t="shared" si="262"/>
        <v>0</v>
      </c>
      <c r="Q214" s="4" t="str">
        <f t="shared" si="251"/>
        <v/>
      </c>
      <c r="R214" s="4" t="str">
        <f t="shared" si="252"/>
        <v/>
      </c>
      <c r="S214" s="4" t="str">
        <f t="shared" si="253"/>
        <v/>
      </c>
      <c r="T214" s="4" t="e">
        <f t="shared" si="263"/>
        <v>#VALUE!</v>
      </c>
      <c r="U214" s="4" t="e">
        <f t="shared" si="264"/>
        <v>#VALUE!</v>
      </c>
      <c r="V214" s="4" t="b">
        <f t="shared" si="254"/>
        <v>0</v>
      </c>
      <c r="W214" s="13" t="str">
        <f t="shared" si="255"/>
        <v>Да</v>
      </c>
      <c r="X214" s="4" t="e">
        <f>(IF(COUNTIFS($G$2:G214,"+",$W$2:W214,"Да")&gt;1,"&amp; ","")&amp;D214&amp;J214&amp;E214&amp;SUBSTITUTE(L214,"""",""))</f>
        <v>#VALUE!</v>
      </c>
      <c r="Y214" s="4" t="e">
        <f t="shared" si="256"/>
        <v>#VALUE!</v>
      </c>
    </row>
    <row r="215" spans="1:25" x14ac:dyDescent="0.3">
      <c r="A215" s="11"/>
      <c r="B215" s="5" t="str">
        <f t="shared" si="257"/>
        <v/>
      </c>
      <c r="C215" s="5" t="str">
        <f t="shared" si="258"/>
        <v/>
      </c>
      <c r="D215" s="4" t="s">
        <v>10</v>
      </c>
      <c r="E215" s="4" t="s">
        <v>11</v>
      </c>
      <c r="F215" s="4" t="str">
        <f t="shared" si="281"/>
        <v>!!!</v>
      </c>
      <c r="G215" s="4" t="str">
        <f t="shared" si="259"/>
        <v>+</v>
      </c>
      <c r="H215" s="4"/>
      <c r="I215" s="4" t="str">
        <f t="shared" si="282"/>
        <v>!!!</v>
      </c>
      <c r="J215" s="4" t="e">
        <f t="shared" si="283"/>
        <v>#VALUE!</v>
      </c>
      <c r="K215" s="4" t="e">
        <f t="shared" si="284"/>
        <v>#VALUE!</v>
      </c>
      <c r="L215" s="4" t="e">
        <f t="shared" si="285"/>
        <v>#VALUE!</v>
      </c>
      <c r="M215" s="4">
        <f t="shared" si="260"/>
        <v>1000</v>
      </c>
      <c r="N215" s="4">
        <f t="shared" ref="N215:O215" si="289">MIN(IFERROR(FIND(" ",$C215,M215+1),1000))</f>
        <v>1000</v>
      </c>
      <c r="O215" s="4">
        <f t="shared" si="289"/>
        <v>1000</v>
      </c>
      <c r="P215" s="4">
        <f t="shared" si="262"/>
        <v>0</v>
      </c>
      <c r="Q215" s="4" t="str">
        <f>LEFT(C215,M215-1)</f>
        <v/>
      </c>
      <c r="R215" s="4" t="str">
        <f t="shared" si="252"/>
        <v/>
      </c>
      <c r="S215" s="4" t="str">
        <f t="shared" si="253"/>
        <v/>
      </c>
      <c r="T215" s="4" t="e">
        <f t="shared" si="263"/>
        <v>#VALUE!</v>
      </c>
      <c r="U215" s="4" t="e">
        <f t="shared" si="264"/>
        <v>#VALUE!</v>
      </c>
      <c r="V215" s="4" t="b">
        <f t="shared" si="254"/>
        <v>0</v>
      </c>
      <c r="W215" s="13" t="str">
        <f t="shared" si="255"/>
        <v>Да</v>
      </c>
      <c r="X215" s="4" t="e">
        <f>(IF(COUNTIFS($G$2:G215,"+",$W$2:W215,"Да")&gt;1,"&amp; ","")&amp;D215&amp;J215&amp;E215&amp;SUBSTITUTE(L215,"""",""))</f>
        <v>#VALUE!</v>
      </c>
      <c r="Y215" s="4" t="e">
        <f t="shared" si="256"/>
        <v>#VALUE!</v>
      </c>
    </row>
    <row r="216" spans="1:25" x14ac:dyDescent="0.3">
      <c r="A216" s="11"/>
      <c r="B216" s="5" t="str">
        <f t="shared" si="257"/>
        <v/>
      </c>
      <c r="C216" s="5" t="str">
        <f t="shared" si="258"/>
        <v/>
      </c>
      <c r="D216" s="4" t="s">
        <v>10</v>
      </c>
      <c r="E216" s="4" t="s">
        <v>11</v>
      </c>
      <c r="F216" s="4" t="str">
        <f t="shared" si="281"/>
        <v>!!!</v>
      </c>
      <c r="G216" s="4" t="str">
        <f t="shared" si="259"/>
        <v>+</v>
      </c>
      <c r="H216" s="4"/>
      <c r="I216" s="4" t="str">
        <f t="shared" si="282"/>
        <v>!!!</v>
      </c>
      <c r="J216" s="4" t="e">
        <f t="shared" si="283"/>
        <v>#VALUE!</v>
      </c>
      <c r="K216" s="4" t="e">
        <f t="shared" si="284"/>
        <v>#VALUE!</v>
      </c>
      <c r="L216" s="4" t="e">
        <f t="shared" si="285"/>
        <v>#VALUE!</v>
      </c>
      <c r="M216" s="4">
        <f t="shared" si="260"/>
        <v>1000</v>
      </c>
      <c r="N216" s="4">
        <f t="shared" ref="N216:O216" si="290">MIN(IFERROR(FIND(" ",$C216,M216+1),1000))</f>
        <v>1000</v>
      </c>
      <c r="O216" s="4">
        <f t="shared" si="290"/>
        <v>1000</v>
      </c>
      <c r="P216" s="4">
        <f t="shared" si="262"/>
        <v>0</v>
      </c>
      <c r="Q216" s="4" t="str">
        <f t="shared" ref="Q216:Q279" si="291">LEFT(C216,M216-1)</f>
        <v/>
      </c>
      <c r="R216" s="4" t="str">
        <f t="shared" si="252"/>
        <v/>
      </c>
      <c r="S216" s="4" t="str">
        <f t="shared" si="253"/>
        <v/>
      </c>
      <c r="T216" s="4" t="e">
        <f t="shared" si="263"/>
        <v>#VALUE!</v>
      </c>
      <c r="U216" s="4" t="e">
        <f t="shared" si="264"/>
        <v>#VALUE!</v>
      </c>
      <c r="V216" s="4" t="b">
        <f t="shared" si="254"/>
        <v>0</v>
      </c>
      <c r="W216" s="13" t="str">
        <f t="shared" si="255"/>
        <v>Да</v>
      </c>
      <c r="X216" s="4" t="e">
        <f>(IF(COUNTIFS($G$2:G216,"+",$W$2:W216,"Да")&gt;1,"&amp; ","")&amp;D216&amp;J216&amp;E216&amp;SUBSTITUTE(L216,"""",""))</f>
        <v>#VALUE!</v>
      </c>
      <c r="Y216" s="4" t="e">
        <f t="shared" si="256"/>
        <v>#VALUE!</v>
      </c>
    </row>
    <row r="217" spans="1:25" x14ac:dyDescent="0.3">
      <c r="A217" s="11"/>
      <c r="B217" s="5" t="str">
        <f t="shared" si="257"/>
        <v/>
      </c>
      <c r="C217" s="5" t="str">
        <f t="shared" si="258"/>
        <v/>
      </c>
      <c r="D217" s="4" t="s">
        <v>10</v>
      </c>
      <c r="E217" s="4" t="s">
        <v>11</v>
      </c>
      <c r="F217" s="4" t="str">
        <f t="shared" si="281"/>
        <v>!!!</v>
      </c>
      <c r="G217" s="4" t="str">
        <f t="shared" si="259"/>
        <v>+</v>
      </c>
      <c r="H217" s="4"/>
      <c r="I217" s="4" t="str">
        <f t="shared" si="282"/>
        <v>!!!</v>
      </c>
      <c r="J217" s="4" t="e">
        <f t="shared" si="283"/>
        <v>#VALUE!</v>
      </c>
      <c r="K217" s="4" t="e">
        <f t="shared" si="284"/>
        <v>#VALUE!</v>
      </c>
      <c r="L217" s="4" t="e">
        <f t="shared" si="285"/>
        <v>#VALUE!</v>
      </c>
      <c r="M217" s="4">
        <f t="shared" si="260"/>
        <v>1000</v>
      </c>
      <c r="N217" s="4">
        <f t="shared" ref="N217:O217" si="292">MIN(IFERROR(FIND(" ",$C217,M217+1),1000))</f>
        <v>1000</v>
      </c>
      <c r="O217" s="4">
        <f t="shared" si="292"/>
        <v>1000</v>
      </c>
      <c r="P217" s="4">
        <f t="shared" si="262"/>
        <v>0</v>
      </c>
      <c r="Q217" s="4" t="str">
        <f t="shared" si="291"/>
        <v/>
      </c>
      <c r="R217" s="4" t="str">
        <f t="shared" si="252"/>
        <v/>
      </c>
      <c r="S217" s="4" t="str">
        <f t="shared" si="253"/>
        <v/>
      </c>
      <c r="T217" s="4" t="e">
        <f t="shared" si="263"/>
        <v>#VALUE!</v>
      </c>
      <c r="U217" s="4" t="e">
        <f t="shared" si="264"/>
        <v>#VALUE!</v>
      </c>
      <c r="V217" s="4" t="b">
        <f t="shared" si="254"/>
        <v>0</v>
      </c>
      <c r="W217" s="13" t="str">
        <f t="shared" si="255"/>
        <v>Да</v>
      </c>
      <c r="X217" s="4" t="e">
        <f>(IF(COUNTIFS($G$2:G217,"+",$W$2:W217,"Да")&gt;1,"&amp; ","")&amp;D217&amp;J217&amp;E217&amp;SUBSTITUTE(L217,"""",""))</f>
        <v>#VALUE!</v>
      </c>
      <c r="Y217" s="4" t="e">
        <f>IF(S217="",X217,LEFT(X217,FIND(":",X217))&amp;" "&amp;S217)</f>
        <v>#VALUE!</v>
      </c>
    </row>
    <row r="218" spans="1:25" x14ac:dyDescent="0.3">
      <c r="A218" s="11"/>
      <c r="B218" s="5" t="str">
        <f t="shared" si="257"/>
        <v/>
      </c>
      <c r="C218" s="5" t="str">
        <f t="shared" si="258"/>
        <v/>
      </c>
      <c r="D218" s="4" t="s">
        <v>10</v>
      </c>
      <c r="E218" s="4" t="s">
        <v>11</v>
      </c>
      <c r="F218" s="4" t="str">
        <f t="shared" si="281"/>
        <v>!!!</v>
      </c>
      <c r="G218" s="4" t="str">
        <f t="shared" si="259"/>
        <v>+</v>
      </c>
      <c r="H218" s="4"/>
      <c r="I218" s="4" t="str">
        <f t="shared" si="282"/>
        <v>!!!</v>
      </c>
      <c r="J218" s="4" t="e">
        <f t="shared" si="283"/>
        <v>#VALUE!</v>
      </c>
      <c r="K218" s="4" t="e">
        <f t="shared" si="284"/>
        <v>#VALUE!</v>
      </c>
      <c r="L218" s="4" t="e">
        <f t="shared" si="285"/>
        <v>#VALUE!</v>
      </c>
      <c r="M218" s="4">
        <f t="shared" si="260"/>
        <v>1000</v>
      </c>
      <c r="N218" s="4">
        <f t="shared" ref="N218:O218" si="293">MIN(IFERROR(FIND(" ",$C218,M218+1),1000))</f>
        <v>1000</v>
      </c>
      <c r="O218" s="4">
        <f t="shared" si="293"/>
        <v>1000</v>
      </c>
      <c r="P218" s="4">
        <f t="shared" si="262"/>
        <v>0</v>
      </c>
      <c r="Q218" s="4" t="str">
        <f t="shared" si="291"/>
        <v/>
      </c>
      <c r="R218" s="4" t="str">
        <f t="shared" si="252"/>
        <v/>
      </c>
      <c r="S218" s="4" t="str">
        <f t="shared" si="253"/>
        <v/>
      </c>
      <c r="T218" s="4" t="e">
        <f t="shared" si="263"/>
        <v>#VALUE!</v>
      </c>
      <c r="U218" s="4" t="e">
        <f t="shared" si="264"/>
        <v>#VALUE!</v>
      </c>
      <c r="V218" s="4" t="b">
        <f t="shared" si="254"/>
        <v>0</v>
      </c>
      <c r="W218" s="13" t="str">
        <f t="shared" si="255"/>
        <v>Да</v>
      </c>
      <c r="X218" s="4" t="e">
        <f>(IF(COUNTIFS($G$2:G218,"+",$W$2:W218,"Да")&gt;1,"&amp; ","")&amp;D218&amp;J218&amp;E218&amp;SUBSTITUTE(L218,"""",""))</f>
        <v>#VALUE!</v>
      </c>
      <c r="Y218" s="4" t="e">
        <f t="shared" ref="Y218:Y281" si="294">IF(S218="",X218,LEFT(X218,FIND(":",X218))&amp;" "&amp;S218)</f>
        <v>#VALUE!</v>
      </c>
    </row>
    <row r="219" spans="1:25" x14ac:dyDescent="0.3">
      <c r="A219" s="11"/>
      <c r="B219" s="5" t="str">
        <f t="shared" si="257"/>
        <v/>
      </c>
      <c r="C219" s="5" t="str">
        <f t="shared" si="258"/>
        <v/>
      </c>
      <c r="D219" s="4" t="s">
        <v>10</v>
      </c>
      <c r="E219" s="4" t="s">
        <v>11</v>
      </c>
      <c r="F219" s="4" t="str">
        <f t="shared" si="281"/>
        <v>!!!</v>
      </c>
      <c r="G219" s="4" t="str">
        <f t="shared" si="259"/>
        <v>+</v>
      </c>
      <c r="H219" s="4"/>
      <c r="I219" s="4" t="str">
        <f t="shared" si="282"/>
        <v>!!!</v>
      </c>
      <c r="J219" s="4" t="e">
        <f t="shared" si="283"/>
        <v>#VALUE!</v>
      </c>
      <c r="K219" s="4" t="e">
        <f t="shared" si="284"/>
        <v>#VALUE!</v>
      </c>
      <c r="L219" s="4" t="e">
        <f t="shared" si="285"/>
        <v>#VALUE!</v>
      </c>
      <c r="M219" s="4">
        <f t="shared" si="260"/>
        <v>1000</v>
      </c>
      <c r="N219" s="4">
        <f t="shared" ref="N219:O219" si="295">MIN(IFERROR(FIND(" ",$C219,M219+1),1000))</f>
        <v>1000</v>
      </c>
      <c r="O219" s="4">
        <f t="shared" si="295"/>
        <v>1000</v>
      </c>
      <c r="P219" s="4">
        <f t="shared" si="262"/>
        <v>0</v>
      </c>
      <c r="Q219" s="4" t="str">
        <f t="shared" si="291"/>
        <v/>
      </c>
      <c r="R219" s="14" t="str">
        <f t="shared" si="252"/>
        <v/>
      </c>
      <c r="S219" s="4" t="str">
        <f>IFERROR(IF(LEFT(A218,1)="'",SUBSTITUTE(A218,"'",""),""),"")</f>
        <v/>
      </c>
      <c r="T219" s="4" t="e">
        <f t="shared" si="263"/>
        <v>#VALUE!</v>
      </c>
      <c r="U219" s="4" t="e">
        <f t="shared" si="264"/>
        <v>#VALUE!</v>
      </c>
      <c r="V219" s="4" t="b">
        <f t="shared" si="254"/>
        <v>0</v>
      </c>
      <c r="W219" s="13" t="str">
        <f t="shared" si="255"/>
        <v>Да</v>
      </c>
      <c r="X219" s="4" t="e">
        <f>(IF(COUNTIFS($G$2:G219,"+",$W$2:W219,"Да")&gt;1,"&amp; ","")&amp;D219&amp;J219&amp;E219&amp;SUBSTITUTE(L219,"""",""))</f>
        <v>#VALUE!</v>
      </c>
      <c r="Y219" s="4" t="e">
        <f t="shared" si="294"/>
        <v>#VALUE!</v>
      </c>
    </row>
    <row r="220" spans="1:25" x14ac:dyDescent="0.3">
      <c r="A220" s="11"/>
      <c r="B220" s="5" t="str">
        <f t="shared" si="257"/>
        <v/>
      </c>
      <c r="C220" s="5" t="str">
        <f t="shared" si="258"/>
        <v/>
      </c>
      <c r="D220" s="4" t="s">
        <v>10</v>
      </c>
      <c r="E220" s="4" t="s">
        <v>11</v>
      </c>
      <c r="F220" s="4" t="str">
        <f t="shared" si="281"/>
        <v>!!!</v>
      </c>
      <c r="G220" s="4" t="str">
        <f t="shared" si="259"/>
        <v>+</v>
      </c>
      <c r="H220" s="4"/>
      <c r="I220" s="4" t="str">
        <f t="shared" si="282"/>
        <v>!!!</v>
      </c>
      <c r="J220" s="4" t="e">
        <f t="shared" si="283"/>
        <v>#VALUE!</v>
      </c>
      <c r="K220" s="4" t="e">
        <f t="shared" si="284"/>
        <v>#VALUE!</v>
      </c>
      <c r="L220" s="4" t="e">
        <f t="shared" si="285"/>
        <v>#VALUE!</v>
      </c>
      <c r="M220" s="4">
        <f t="shared" si="260"/>
        <v>1000</v>
      </c>
      <c r="N220" s="4">
        <f t="shared" ref="N220:O220" si="296">MIN(IFERROR(FIND(" ",$C220,M220+1),1000))</f>
        <v>1000</v>
      </c>
      <c r="O220" s="4">
        <f t="shared" si="296"/>
        <v>1000</v>
      </c>
      <c r="P220" s="4">
        <f t="shared" si="262"/>
        <v>0</v>
      </c>
      <c r="Q220" s="4" t="str">
        <f t="shared" si="291"/>
        <v/>
      </c>
      <c r="R220" s="4" t="str">
        <f t="shared" si="252"/>
        <v/>
      </c>
      <c r="S220" s="4" t="str">
        <f t="shared" ref="S220:S283" si="297">IFERROR(IF(LEFT(A219,1)="'",SUBSTITUTE(A219,"'",""),""),"")</f>
        <v/>
      </c>
      <c r="T220" s="4" t="e">
        <f t="shared" si="263"/>
        <v>#VALUE!</v>
      </c>
      <c r="U220" s="4" t="e">
        <f t="shared" si="264"/>
        <v>#VALUE!</v>
      </c>
      <c r="V220" s="4" t="b">
        <f t="shared" si="254"/>
        <v>0</v>
      </c>
      <c r="W220" s="13" t="str">
        <f t="shared" si="255"/>
        <v>Да</v>
      </c>
      <c r="X220" s="4" t="e">
        <f>(IF(COUNTIFS($G$2:G220,"+",$W$2:W220,"Да")&gt;1,"&amp; ","")&amp;D220&amp;J220&amp;E220&amp;SUBSTITUTE(L220,"""",""))</f>
        <v>#VALUE!</v>
      </c>
      <c r="Y220" s="4" t="e">
        <f t="shared" si="294"/>
        <v>#VALUE!</v>
      </c>
    </row>
    <row r="221" spans="1:25" x14ac:dyDescent="0.3">
      <c r="A221" s="11"/>
      <c r="B221" s="5" t="str">
        <f t="shared" si="257"/>
        <v/>
      </c>
      <c r="C221" s="5" t="str">
        <f t="shared" si="258"/>
        <v/>
      </c>
      <c r="D221" s="4" t="s">
        <v>10</v>
      </c>
      <c r="E221" s="4" t="s">
        <v>11</v>
      </c>
      <c r="F221" s="4" t="str">
        <f t="shared" si="281"/>
        <v>!!!</v>
      </c>
      <c r="G221" s="4" t="str">
        <f t="shared" si="259"/>
        <v>+</v>
      </c>
      <c r="H221" s="4"/>
      <c r="I221" s="4" t="str">
        <f t="shared" si="282"/>
        <v>!!!</v>
      </c>
      <c r="J221" s="4" t="e">
        <f t="shared" si="283"/>
        <v>#VALUE!</v>
      </c>
      <c r="K221" s="4" t="e">
        <f t="shared" si="284"/>
        <v>#VALUE!</v>
      </c>
      <c r="L221" s="4" t="e">
        <f t="shared" si="285"/>
        <v>#VALUE!</v>
      </c>
      <c r="M221" s="4">
        <f t="shared" si="260"/>
        <v>1000</v>
      </c>
      <c r="N221" s="4">
        <f t="shared" ref="N221:O221" si="298">MIN(IFERROR(FIND(" ",$C221,M221+1),1000))</f>
        <v>1000</v>
      </c>
      <c r="O221" s="4">
        <f t="shared" si="298"/>
        <v>1000</v>
      </c>
      <c r="P221" s="4">
        <f t="shared" si="262"/>
        <v>0</v>
      </c>
      <c r="Q221" s="4" t="str">
        <f t="shared" si="291"/>
        <v/>
      </c>
      <c r="R221" s="4" t="str">
        <f t="shared" si="252"/>
        <v/>
      </c>
      <c r="S221" s="4" t="str">
        <f t="shared" si="297"/>
        <v/>
      </c>
      <c r="T221" s="4" t="e">
        <f t="shared" si="263"/>
        <v>#VALUE!</v>
      </c>
      <c r="U221" s="4" t="e">
        <f t="shared" si="264"/>
        <v>#VALUE!</v>
      </c>
      <c r="V221" s="4" t="b">
        <f t="shared" si="254"/>
        <v>0</v>
      </c>
      <c r="W221" s="13" t="str">
        <f t="shared" si="255"/>
        <v>Да</v>
      </c>
      <c r="X221" s="4" t="e">
        <f>(IF(COUNTIFS($G$2:G221,"+",$W$2:W221,"Да")&gt;1,"&amp; ","")&amp;D221&amp;J221&amp;E221&amp;SUBSTITUTE(L221,"""",""))</f>
        <v>#VALUE!</v>
      </c>
      <c r="Y221" s="4" t="e">
        <f t="shared" si="294"/>
        <v>#VALUE!</v>
      </c>
    </row>
    <row r="222" spans="1:25" x14ac:dyDescent="0.3">
      <c r="A222" s="11"/>
      <c r="B222" s="5" t="str">
        <f t="shared" si="257"/>
        <v/>
      </c>
      <c r="C222" s="5" t="str">
        <f t="shared" si="258"/>
        <v/>
      </c>
      <c r="D222" s="4" t="s">
        <v>10</v>
      </c>
      <c r="E222" s="4" t="s">
        <v>11</v>
      </c>
      <c r="F222" s="4" t="str">
        <f t="shared" si="281"/>
        <v>!!!</v>
      </c>
      <c r="G222" s="4" t="str">
        <f t="shared" si="259"/>
        <v>+</v>
      </c>
      <c r="H222" s="4"/>
      <c r="I222" s="4" t="str">
        <f t="shared" si="282"/>
        <v>!!!</v>
      </c>
      <c r="J222" s="4" t="e">
        <f t="shared" si="283"/>
        <v>#VALUE!</v>
      </c>
      <c r="K222" s="4" t="e">
        <f t="shared" si="284"/>
        <v>#VALUE!</v>
      </c>
      <c r="L222" s="4" t="e">
        <f t="shared" si="285"/>
        <v>#VALUE!</v>
      </c>
      <c r="M222" s="4">
        <f t="shared" si="260"/>
        <v>1000</v>
      </c>
      <c r="N222" s="4">
        <f t="shared" ref="N222:O222" si="299">MIN(IFERROR(FIND(" ",$C222,M222+1),1000))</f>
        <v>1000</v>
      </c>
      <c r="O222" s="4">
        <f t="shared" si="299"/>
        <v>1000</v>
      </c>
      <c r="P222" s="4">
        <f t="shared" si="262"/>
        <v>0</v>
      </c>
      <c r="Q222" s="4" t="str">
        <f t="shared" si="291"/>
        <v/>
      </c>
      <c r="R222" s="4" t="str">
        <f t="shared" si="252"/>
        <v/>
      </c>
      <c r="S222" s="4" t="str">
        <f t="shared" si="297"/>
        <v/>
      </c>
      <c r="T222" s="4" t="e">
        <f t="shared" si="263"/>
        <v>#VALUE!</v>
      </c>
      <c r="U222" s="4" t="e">
        <f t="shared" si="264"/>
        <v>#VALUE!</v>
      </c>
      <c r="V222" s="4" t="b">
        <f t="shared" si="254"/>
        <v>0</v>
      </c>
      <c r="W222" s="13" t="str">
        <f t="shared" si="255"/>
        <v>Да</v>
      </c>
      <c r="X222" s="4" t="e">
        <f>(IF(COUNTIFS($G$2:G222,"+",$W$2:W222,"Да")&gt;1,"&amp; ","")&amp;D222&amp;J222&amp;E222&amp;SUBSTITUTE(L222,"""",""))</f>
        <v>#VALUE!</v>
      </c>
      <c r="Y222" s="4" t="e">
        <f t="shared" si="294"/>
        <v>#VALUE!</v>
      </c>
    </row>
    <row r="223" spans="1:25" x14ac:dyDescent="0.3">
      <c r="A223" s="11"/>
      <c r="B223" s="5" t="str">
        <f t="shared" si="257"/>
        <v/>
      </c>
      <c r="C223" s="5" t="str">
        <f t="shared" si="258"/>
        <v/>
      </c>
      <c r="D223" s="4" t="s">
        <v>10</v>
      </c>
      <c r="E223" s="4" t="s">
        <v>11</v>
      </c>
      <c r="F223" s="4" t="str">
        <f t="shared" si="281"/>
        <v>!!!</v>
      </c>
      <c r="G223" s="4" t="str">
        <f t="shared" si="259"/>
        <v>+</v>
      </c>
      <c r="H223" s="4"/>
      <c r="I223" s="4" t="str">
        <f t="shared" si="282"/>
        <v>!!!</v>
      </c>
      <c r="J223" s="4" t="e">
        <f t="shared" si="283"/>
        <v>#VALUE!</v>
      </c>
      <c r="K223" s="4" t="e">
        <f t="shared" si="284"/>
        <v>#VALUE!</v>
      </c>
      <c r="L223" s="4" t="e">
        <f t="shared" si="285"/>
        <v>#VALUE!</v>
      </c>
      <c r="M223" s="4">
        <f t="shared" si="260"/>
        <v>1000</v>
      </c>
      <c r="N223" s="4">
        <f t="shared" ref="N223:O223" si="300">MIN(IFERROR(FIND(" ",$C223,M223+1),1000))</f>
        <v>1000</v>
      </c>
      <c r="O223" s="4">
        <f t="shared" si="300"/>
        <v>1000</v>
      </c>
      <c r="P223" s="4">
        <f t="shared" si="262"/>
        <v>0</v>
      </c>
      <c r="Q223" s="4" t="str">
        <f t="shared" si="291"/>
        <v/>
      </c>
      <c r="R223" s="4" t="str">
        <f t="shared" si="252"/>
        <v/>
      </c>
      <c r="S223" s="4" t="str">
        <f t="shared" si="297"/>
        <v/>
      </c>
      <c r="T223" s="4" t="e">
        <f t="shared" si="263"/>
        <v>#VALUE!</v>
      </c>
      <c r="U223" s="4" t="e">
        <f t="shared" si="264"/>
        <v>#VALUE!</v>
      </c>
      <c r="V223" s="4" t="b">
        <f t="shared" si="254"/>
        <v>0</v>
      </c>
      <c r="W223" s="13" t="str">
        <f t="shared" si="255"/>
        <v>Да</v>
      </c>
      <c r="X223" s="4" t="e">
        <f>(IF(COUNTIFS($G$2:G223,"+",$W$2:W223,"Да")&gt;1,"&amp; ","")&amp;D223&amp;J223&amp;E223&amp;SUBSTITUTE(L223,"""",""))</f>
        <v>#VALUE!</v>
      </c>
      <c r="Y223" s="4" t="e">
        <f t="shared" si="294"/>
        <v>#VALUE!</v>
      </c>
    </row>
    <row r="224" spans="1:25" x14ac:dyDescent="0.3">
      <c r="A224" s="11"/>
      <c r="B224" s="5" t="str">
        <f t="shared" si="257"/>
        <v/>
      </c>
      <c r="C224" s="5" t="str">
        <f t="shared" si="258"/>
        <v/>
      </c>
      <c r="D224" s="4" t="s">
        <v>10</v>
      </c>
      <c r="E224" s="4" t="s">
        <v>11</v>
      </c>
      <c r="F224" s="4" t="str">
        <f t="shared" si="281"/>
        <v>!!!</v>
      </c>
      <c r="G224" s="4" t="str">
        <f t="shared" si="259"/>
        <v>+</v>
      </c>
      <c r="H224" s="4"/>
      <c r="I224" s="4" t="str">
        <f t="shared" si="282"/>
        <v>!!!</v>
      </c>
      <c r="J224" s="4" t="e">
        <f t="shared" si="283"/>
        <v>#VALUE!</v>
      </c>
      <c r="K224" s="4" t="e">
        <f t="shared" si="284"/>
        <v>#VALUE!</v>
      </c>
      <c r="L224" s="4" t="e">
        <f t="shared" si="285"/>
        <v>#VALUE!</v>
      </c>
      <c r="M224" s="4">
        <f t="shared" si="260"/>
        <v>1000</v>
      </c>
      <c r="N224" s="4">
        <f t="shared" ref="N224:O224" si="301">MIN(IFERROR(FIND(" ",$C224,M224+1),1000))</f>
        <v>1000</v>
      </c>
      <c r="O224" s="4">
        <f t="shared" si="301"/>
        <v>1000</v>
      </c>
      <c r="P224" s="4">
        <f t="shared" si="262"/>
        <v>0</v>
      </c>
      <c r="Q224" s="4" t="str">
        <f t="shared" si="291"/>
        <v/>
      </c>
      <c r="R224" s="4" t="str">
        <f t="shared" si="252"/>
        <v/>
      </c>
      <c r="S224" s="4" t="str">
        <f t="shared" si="297"/>
        <v/>
      </c>
      <c r="T224" s="4" t="e">
        <f t="shared" si="263"/>
        <v>#VALUE!</v>
      </c>
      <c r="U224" s="4" t="e">
        <f t="shared" si="264"/>
        <v>#VALUE!</v>
      </c>
      <c r="V224" s="4" t="b">
        <f t="shared" si="254"/>
        <v>0</v>
      </c>
      <c r="W224" s="13" t="str">
        <f t="shared" si="255"/>
        <v>Да</v>
      </c>
      <c r="X224" s="4" t="e">
        <f>(IF(COUNTIFS($G$2:G224,"+",$W$2:W224,"Да")&gt;1,"&amp; ","")&amp;D224&amp;J224&amp;E224&amp;SUBSTITUTE(L224,"""",""))</f>
        <v>#VALUE!</v>
      </c>
      <c r="Y224" s="4" t="e">
        <f t="shared" si="294"/>
        <v>#VALUE!</v>
      </c>
    </row>
    <row r="225" spans="1:25" x14ac:dyDescent="0.3">
      <c r="A225" s="11"/>
      <c r="B225" s="5" t="str">
        <f t="shared" si="257"/>
        <v/>
      </c>
      <c r="C225" s="5" t="str">
        <f t="shared" si="258"/>
        <v/>
      </c>
      <c r="D225" s="4" t="s">
        <v>10</v>
      </c>
      <c r="E225" s="4" t="s">
        <v>11</v>
      </c>
      <c r="F225" s="4" t="str">
        <f t="shared" si="281"/>
        <v>!!!</v>
      </c>
      <c r="G225" s="4" t="str">
        <f t="shared" si="259"/>
        <v>+</v>
      </c>
      <c r="H225" s="4"/>
      <c r="I225" s="4" t="str">
        <f t="shared" si="282"/>
        <v>!!!</v>
      </c>
      <c r="J225" s="4" t="e">
        <f t="shared" si="283"/>
        <v>#VALUE!</v>
      </c>
      <c r="K225" s="4" t="e">
        <f t="shared" si="284"/>
        <v>#VALUE!</v>
      </c>
      <c r="L225" s="4" t="e">
        <f t="shared" si="285"/>
        <v>#VALUE!</v>
      </c>
      <c r="M225" s="4">
        <f t="shared" si="260"/>
        <v>1000</v>
      </c>
      <c r="N225" s="4">
        <f t="shared" ref="N225:O225" si="302">MIN(IFERROR(FIND(" ",$C225,M225+1),1000))</f>
        <v>1000</v>
      </c>
      <c r="O225" s="4">
        <f t="shared" si="302"/>
        <v>1000</v>
      </c>
      <c r="P225" s="4">
        <f t="shared" si="262"/>
        <v>0</v>
      </c>
      <c r="Q225" s="4" t="str">
        <f t="shared" si="291"/>
        <v/>
      </c>
      <c r="R225" s="4" t="str">
        <f t="shared" si="252"/>
        <v/>
      </c>
      <c r="S225" s="4" t="str">
        <f t="shared" si="297"/>
        <v/>
      </c>
      <c r="T225" s="4" t="e">
        <f t="shared" si="263"/>
        <v>#VALUE!</v>
      </c>
      <c r="U225" s="4" t="e">
        <f t="shared" si="264"/>
        <v>#VALUE!</v>
      </c>
      <c r="V225" s="4" t="b">
        <f t="shared" si="254"/>
        <v>0</v>
      </c>
      <c r="W225" s="13" t="str">
        <f t="shared" si="255"/>
        <v>Да</v>
      </c>
      <c r="X225" s="4" t="e">
        <f>(IF(COUNTIFS($G$2:G225,"+",$W$2:W225,"Да")&gt;1,"&amp; ","")&amp;D225&amp;J225&amp;E225&amp;SUBSTITUTE(L225,"""",""))</f>
        <v>#VALUE!</v>
      </c>
      <c r="Y225" s="4" t="e">
        <f t="shared" si="294"/>
        <v>#VALUE!</v>
      </c>
    </row>
    <row r="226" spans="1:25" x14ac:dyDescent="0.3">
      <c r="A226" s="11"/>
      <c r="B226" s="5" t="str">
        <f t="shared" si="257"/>
        <v/>
      </c>
      <c r="C226" s="5" t="str">
        <f t="shared" si="258"/>
        <v/>
      </c>
      <c r="D226" s="4" t="s">
        <v>10</v>
      </c>
      <c r="E226" s="4" t="s">
        <v>11</v>
      </c>
      <c r="F226" s="4" t="str">
        <f t="shared" si="281"/>
        <v>!!!</v>
      </c>
      <c r="G226" s="4" t="str">
        <f t="shared" si="259"/>
        <v>+</v>
      </c>
      <c r="H226" s="4"/>
      <c r="I226" s="4" t="str">
        <f t="shared" si="282"/>
        <v>!!!</v>
      </c>
      <c r="J226" s="4" t="e">
        <f t="shared" si="283"/>
        <v>#VALUE!</v>
      </c>
      <c r="K226" s="4" t="e">
        <f t="shared" si="284"/>
        <v>#VALUE!</v>
      </c>
      <c r="L226" s="4" t="e">
        <f t="shared" si="285"/>
        <v>#VALUE!</v>
      </c>
      <c r="M226" s="4">
        <f t="shared" si="260"/>
        <v>1000</v>
      </c>
      <c r="N226" s="4">
        <f t="shared" ref="N226:O226" si="303">MIN(IFERROR(FIND(" ",$C226,M226+1),1000))</f>
        <v>1000</v>
      </c>
      <c r="O226" s="4">
        <f t="shared" si="303"/>
        <v>1000</v>
      </c>
      <c r="P226" s="4">
        <f t="shared" si="262"/>
        <v>0</v>
      </c>
      <c r="Q226" s="4" t="str">
        <f t="shared" si="291"/>
        <v/>
      </c>
      <c r="R226" s="4" t="str">
        <f t="shared" si="252"/>
        <v/>
      </c>
      <c r="S226" s="4" t="str">
        <f t="shared" si="297"/>
        <v/>
      </c>
      <c r="T226" s="4" t="e">
        <f t="shared" si="263"/>
        <v>#VALUE!</v>
      </c>
      <c r="U226" s="4" t="e">
        <f t="shared" si="264"/>
        <v>#VALUE!</v>
      </c>
      <c r="V226" s="4" t="b">
        <f t="shared" si="254"/>
        <v>0</v>
      </c>
      <c r="W226" s="13" t="str">
        <f t="shared" si="255"/>
        <v>Да</v>
      </c>
      <c r="X226" s="4" t="e">
        <f>(IF(COUNTIFS($G$2:G226,"+",$W$2:W226,"Да")&gt;1,"&amp; ","")&amp;D226&amp;J226&amp;E226&amp;SUBSTITUTE(L226,"""",""))</f>
        <v>#VALUE!</v>
      </c>
      <c r="Y226" s="4" t="e">
        <f t="shared" si="294"/>
        <v>#VALUE!</v>
      </c>
    </row>
    <row r="227" spans="1:25" x14ac:dyDescent="0.3">
      <c r="A227" s="11"/>
      <c r="B227" s="5" t="str">
        <f t="shared" si="257"/>
        <v/>
      </c>
      <c r="C227" s="5" t="str">
        <f t="shared" si="258"/>
        <v/>
      </c>
      <c r="D227" s="4" t="s">
        <v>10</v>
      </c>
      <c r="E227" s="4" t="s">
        <v>11</v>
      </c>
      <c r="F227" s="4" t="str">
        <f t="shared" si="281"/>
        <v>!!!</v>
      </c>
      <c r="G227" s="4" t="str">
        <f t="shared" si="259"/>
        <v>+</v>
      </c>
      <c r="H227" s="4"/>
      <c r="I227" s="4" t="str">
        <f t="shared" si="282"/>
        <v>!!!</v>
      </c>
      <c r="J227" s="4" t="e">
        <f t="shared" si="283"/>
        <v>#VALUE!</v>
      </c>
      <c r="K227" s="4" t="e">
        <f t="shared" si="284"/>
        <v>#VALUE!</v>
      </c>
      <c r="L227" s="4" t="e">
        <f t="shared" si="285"/>
        <v>#VALUE!</v>
      </c>
      <c r="M227" s="4">
        <f t="shared" si="260"/>
        <v>1000</v>
      </c>
      <c r="N227" s="4">
        <f t="shared" ref="N227:O227" si="304">MIN(IFERROR(FIND(" ",$C227,M227+1),1000))</f>
        <v>1000</v>
      </c>
      <c r="O227" s="4">
        <f t="shared" si="304"/>
        <v>1000</v>
      </c>
      <c r="P227" s="4">
        <f t="shared" si="262"/>
        <v>0</v>
      </c>
      <c r="Q227" s="4" t="str">
        <f t="shared" si="291"/>
        <v/>
      </c>
      <c r="R227" s="4" t="str">
        <f t="shared" si="252"/>
        <v/>
      </c>
      <c r="S227" s="4" t="str">
        <f t="shared" si="297"/>
        <v/>
      </c>
      <c r="T227" s="4" t="e">
        <f t="shared" si="263"/>
        <v>#VALUE!</v>
      </c>
      <c r="U227" s="4" t="e">
        <f t="shared" si="264"/>
        <v>#VALUE!</v>
      </c>
      <c r="V227" s="4" t="b">
        <f t="shared" si="254"/>
        <v>0</v>
      </c>
      <c r="W227" s="13" t="str">
        <f t="shared" si="255"/>
        <v>Да</v>
      </c>
      <c r="X227" s="4" t="e">
        <f>(IF(COUNTIFS($G$2:G227,"+",$W$2:W227,"Да")&gt;1,"&amp; ","")&amp;D227&amp;J227&amp;E227&amp;SUBSTITUTE(L227,"""",""))</f>
        <v>#VALUE!</v>
      </c>
      <c r="Y227" s="4" t="e">
        <f t="shared" si="294"/>
        <v>#VALUE!</v>
      </c>
    </row>
    <row r="228" spans="1:25" x14ac:dyDescent="0.3">
      <c r="A228" s="11"/>
      <c r="B228" s="5" t="str">
        <f t="shared" si="257"/>
        <v/>
      </c>
      <c r="C228" s="5" t="str">
        <f t="shared" si="258"/>
        <v/>
      </c>
      <c r="D228" s="4" t="s">
        <v>10</v>
      </c>
      <c r="E228" s="4" t="s">
        <v>11</v>
      </c>
      <c r="F228" s="4" t="str">
        <f t="shared" si="281"/>
        <v>!!!</v>
      </c>
      <c r="G228" s="4" t="str">
        <f t="shared" si="259"/>
        <v>+</v>
      </c>
      <c r="H228" s="4"/>
      <c r="I228" s="4" t="str">
        <f t="shared" si="282"/>
        <v>!!!</v>
      </c>
      <c r="J228" s="4" t="e">
        <f t="shared" si="283"/>
        <v>#VALUE!</v>
      </c>
      <c r="K228" s="4" t="e">
        <f t="shared" si="284"/>
        <v>#VALUE!</v>
      </c>
      <c r="L228" s="4" t="e">
        <f t="shared" si="285"/>
        <v>#VALUE!</v>
      </c>
      <c r="M228" s="4">
        <f t="shared" si="260"/>
        <v>1000</v>
      </c>
      <c r="N228" s="4">
        <f t="shared" ref="N228:O228" si="305">MIN(IFERROR(FIND(" ",$C228,M228+1),1000))</f>
        <v>1000</v>
      </c>
      <c r="O228" s="4">
        <f t="shared" si="305"/>
        <v>1000</v>
      </c>
      <c r="P228" s="4">
        <f t="shared" si="262"/>
        <v>0</v>
      </c>
      <c r="Q228" s="4" t="str">
        <f t="shared" si="291"/>
        <v/>
      </c>
      <c r="R228" s="4" t="str">
        <f>IFERROR(MID(C228,N228+1,O228-N228-1),"")</f>
        <v/>
      </c>
      <c r="S228" s="4" t="str">
        <f t="shared" si="297"/>
        <v/>
      </c>
      <c r="T228" s="4" t="e">
        <f t="shared" si="263"/>
        <v>#VALUE!</v>
      </c>
      <c r="U228" s="4" t="e">
        <f t="shared" si="264"/>
        <v>#VALUE!</v>
      </c>
      <c r="V228" s="4" t="b">
        <f t="shared" si="254"/>
        <v>0</v>
      </c>
      <c r="W228" s="13" t="str">
        <f t="shared" si="255"/>
        <v>Да</v>
      </c>
      <c r="X228" s="4" t="e">
        <f>(IF(COUNTIFS($G$2:G228,"+",$W$2:W228,"Да")&gt;1,"&amp; ","")&amp;D228&amp;J228&amp;E228&amp;SUBSTITUTE(L228,"""",""))</f>
        <v>#VALUE!</v>
      </c>
      <c r="Y228" s="4" t="e">
        <f t="shared" si="294"/>
        <v>#VALUE!</v>
      </c>
    </row>
    <row r="229" spans="1:25" x14ac:dyDescent="0.3">
      <c r="A229" s="11"/>
      <c r="B229" s="5" t="str">
        <f t="shared" si="257"/>
        <v/>
      </c>
      <c r="C229" s="5" t="str">
        <f t="shared" si="258"/>
        <v/>
      </c>
      <c r="D229" s="4" t="s">
        <v>10</v>
      </c>
      <c r="E229" s="4" t="s">
        <v>11</v>
      </c>
      <c r="F229" s="4" t="str">
        <f t="shared" si="281"/>
        <v>!!!</v>
      </c>
      <c r="G229" s="4" t="str">
        <f t="shared" si="259"/>
        <v>+</v>
      </c>
      <c r="H229" s="4"/>
      <c r="I229" s="4" t="str">
        <f t="shared" si="282"/>
        <v>!!!</v>
      </c>
      <c r="J229" s="4" t="e">
        <f t="shared" si="283"/>
        <v>#VALUE!</v>
      </c>
      <c r="K229" s="4" t="e">
        <f t="shared" si="284"/>
        <v>#VALUE!</v>
      </c>
      <c r="L229" s="4" t="e">
        <f t="shared" si="285"/>
        <v>#VALUE!</v>
      </c>
      <c r="M229" s="4">
        <f t="shared" si="260"/>
        <v>1000</v>
      </c>
      <c r="N229" s="4">
        <f t="shared" ref="N229:O229" si="306">MIN(IFERROR(FIND(" ",$C229,M229+1),1000))</f>
        <v>1000</v>
      </c>
      <c r="O229" s="4">
        <f t="shared" si="306"/>
        <v>1000</v>
      </c>
      <c r="P229" s="4">
        <f t="shared" si="262"/>
        <v>0</v>
      </c>
      <c r="Q229" s="4" t="str">
        <f t="shared" si="291"/>
        <v/>
      </c>
      <c r="R229" s="4" t="str">
        <f t="shared" ref="R229:R292" si="307">IFERROR(MID(C229,N229+1,O229-N229-1),"")</f>
        <v/>
      </c>
      <c r="S229" s="4" t="str">
        <f t="shared" si="297"/>
        <v/>
      </c>
      <c r="T229" s="4" t="e">
        <f t="shared" si="263"/>
        <v>#VALUE!</v>
      </c>
      <c r="U229" s="4" t="e">
        <f t="shared" si="264"/>
        <v>#VALUE!</v>
      </c>
      <c r="V229" s="4" t="b">
        <f t="shared" si="254"/>
        <v>0</v>
      </c>
      <c r="W229" s="13" t="str">
        <f t="shared" si="255"/>
        <v>Да</v>
      </c>
      <c r="X229" s="4" t="e">
        <f>(IF(COUNTIFS($G$2:G229,"+",$W$2:W229,"Да")&gt;1,"&amp; ","")&amp;D229&amp;J229&amp;E229&amp;SUBSTITUTE(L229,"""",""))</f>
        <v>#VALUE!</v>
      </c>
      <c r="Y229" s="4" t="e">
        <f t="shared" si="294"/>
        <v>#VALUE!</v>
      </c>
    </row>
    <row r="230" spans="1:25" x14ac:dyDescent="0.3">
      <c r="A230" s="11"/>
      <c r="B230" s="5" t="str">
        <f t="shared" si="257"/>
        <v/>
      </c>
      <c r="C230" s="5" t="str">
        <f t="shared" si="258"/>
        <v/>
      </c>
      <c r="D230" s="4" t="s">
        <v>10</v>
      </c>
      <c r="E230" s="4" t="s">
        <v>11</v>
      </c>
      <c r="F230" s="4" t="str">
        <f t="shared" si="281"/>
        <v>!!!</v>
      </c>
      <c r="G230" s="4" t="str">
        <f t="shared" si="259"/>
        <v>+</v>
      </c>
      <c r="H230" s="4"/>
      <c r="I230" s="4" t="str">
        <f t="shared" si="282"/>
        <v>!!!</v>
      </c>
      <c r="J230" s="4" t="e">
        <f t="shared" si="283"/>
        <v>#VALUE!</v>
      </c>
      <c r="K230" s="4" t="e">
        <f t="shared" si="284"/>
        <v>#VALUE!</v>
      </c>
      <c r="L230" s="4" t="e">
        <f t="shared" si="285"/>
        <v>#VALUE!</v>
      </c>
      <c r="M230" s="4">
        <f t="shared" si="260"/>
        <v>1000</v>
      </c>
      <c r="N230" s="4">
        <f t="shared" ref="N230:O230" si="308">MIN(IFERROR(FIND(" ",$C230,M230+1),1000))</f>
        <v>1000</v>
      </c>
      <c r="O230" s="4">
        <f t="shared" si="308"/>
        <v>1000</v>
      </c>
      <c r="P230" s="4">
        <f t="shared" si="262"/>
        <v>0</v>
      </c>
      <c r="Q230" s="4" t="str">
        <f t="shared" si="291"/>
        <v/>
      </c>
      <c r="R230" s="4" t="str">
        <f t="shared" si="307"/>
        <v/>
      </c>
      <c r="S230" s="4" t="str">
        <f t="shared" si="297"/>
        <v/>
      </c>
      <c r="T230" s="4" t="e">
        <f t="shared" si="263"/>
        <v>#VALUE!</v>
      </c>
      <c r="U230" s="4" t="e">
        <f t="shared" si="264"/>
        <v>#VALUE!</v>
      </c>
      <c r="V230" s="4" t="b">
        <f t="shared" si="254"/>
        <v>0</v>
      </c>
      <c r="W230" s="13" t="str">
        <f t="shared" si="255"/>
        <v>Да</v>
      </c>
      <c r="X230" s="4" t="e">
        <f>(IF(COUNTIFS($G$2:G230,"+",$W$2:W230,"Да")&gt;1,"&amp; ","")&amp;D230&amp;J230&amp;E230&amp;SUBSTITUTE(L230,"""",""))</f>
        <v>#VALUE!</v>
      </c>
      <c r="Y230" s="4" t="e">
        <f t="shared" si="294"/>
        <v>#VALUE!</v>
      </c>
    </row>
    <row r="231" spans="1:25" x14ac:dyDescent="0.3">
      <c r="A231" s="11"/>
      <c r="B231" s="5" t="str">
        <f t="shared" si="257"/>
        <v/>
      </c>
      <c r="C231" s="5" t="str">
        <f t="shared" si="258"/>
        <v/>
      </c>
      <c r="D231" s="4" t="s">
        <v>10</v>
      </c>
      <c r="E231" s="4" t="s">
        <v>11</v>
      </c>
      <c r="F231" s="4" t="str">
        <f t="shared" si="281"/>
        <v>!!!</v>
      </c>
      <c r="G231" s="4" t="str">
        <f t="shared" si="259"/>
        <v>+</v>
      </c>
      <c r="H231" s="4"/>
      <c r="I231" s="4" t="str">
        <f t="shared" si="282"/>
        <v>!!!</v>
      </c>
      <c r="J231" s="4" t="e">
        <f t="shared" si="283"/>
        <v>#VALUE!</v>
      </c>
      <c r="K231" s="4" t="e">
        <f t="shared" si="284"/>
        <v>#VALUE!</v>
      </c>
      <c r="L231" s="4" t="e">
        <f t="shared" si="285"/>
        <v>#VALUE!</v>
      </c>
      <c r="M231" s="4">
        <f t="shared" si="260"/>
        <v>1000</v>
      </c>
      <c r="N231" s="4">
        <f t="shared" ref="N231:O231" si="309">MIN(IFERROR(FIND(" ",$C231,M231+1),1000))</f>
        <v>1000</v>
      </c>
      <c r="O231" s="4">
        <f t="shared" si="309"/>
        <v>1000</v>
      </c>
      <c r="P231" s="4">
        <f t="shared" si="262"/>
        <v>0</v>
      </c>
      <c r="Q231" s="4" t="str">
        <f t="shared" si="291"/>
        <v/>
      </c>
      <c r="R231" s="4" t="str">
        <f t="shared" si="307"/>
        <v/>
      </c>
      <c r="S231" s="4" t="str">
        <f t="shared" si="297"/>
        <v/>
      </c>
      <c r="T231" s="4" t="e">
        <f t="shared" si="263"/>
        <v>#VALUE!</v>
      </c>
      <c r="U231" s="4" t="e">
        <f t="shared" si="264"/>
        <v>#VALUE!</v>
      </c>
      <c r="V231" s="4" t="b">
        <f t="shared" si="254"/>
        <v>0</v>
      </c>
      <c r="W231" s="13" t="str">
        <f t="shared" si="255"/>
        <v>Да</v>
      </c>
      <c r="X231" s="4" t="e">
        <f>(IF(COUNTIFS($G$2:G231,"+",$W$2:W231,"Да")&gt;1,"&amp; ","")&amp;D231&amp;J231&amp;E231&amp;SUBSTITUTE(L231,"""",""))</f>
        <v>#VALUE!</v>
      </c>
      <c r="Y231" s="4" t="e">
        <f t="shared" si="294"/>
        <v>#VALUE!</v>
      </c>
    </row>
    <row r="232" spans="1:25" x14ac:dyDescent="0.3">
      <c r="A232" s="11"/>
      <c r="B232" s="5" t="str">
        <f t="shared" si="257"/>
        <v/>
      </c>
      <c r="C232" s="5" t="str">
        <f t="shared" si="258"/>
        <v/>
      </c>
      <c r="D232" s="4" t="s">
        <v>10</v>
      </c>
      <c r="E232" s="4" t="s">
        <v>11</v>
      </c>
      <c r="F232" s="4" t="str">
        <f t="shared" si="281"/>
        <v>!!!</v>
      </c>
      <c r="G232" s="4" t="str">
        <f t="shared" si="259"/>
        <v>+</v>
      </c>
      <c r="H232" s="4"/>
      <c r="I232" s="4" t="str">
        <f t="shared" si="282"/>
        <v>!!!</v>
      </c>
      <c r="J232" s="4" t="e">
        <f t="shared" si="283"/>
        <v>#VALUE!</v>
      </c>
      <c r="K232" s="4" t="e">
        <f t="shared" si="284"/>
        <v>#VALUE!</v>
      </c>
      <c r="L232" s="4" t="e">
        <f t="shared" si="285"/>
        <v>#VALUE!</v>
      </c>
      <c r="M232" s="4">
        <f t="shared" si="260"/>
        <v>1000</v>
      </c>
      <c r="N232" s="4">
        <f t="shared" ref="N232:O232" si="310">MIN(IFERROR(FIND(" ",$C232,M232+1),1000))</f>
        <v>1000</v>
      </c>
      <c r="O232" s="4">
        <f t="shared" si="310"/>
        <v>1000</v>
      </c>
      <c r="P232" s="4">
        <f t="shared" si="262"/>
        <v>0</v>
      </c>
      <c r="Q232" s="4" t="str">
        <f t="shared" si="291"/>
        <v/>
      </c>
      <c r="R232" s="4" t="str">
        <f t="shared" si="307"/>
        <v/>
      </c>
      <c r="S232" s="4" t="str">
        <f t="shared" si="297"/>
        <v/>
      </c>
      <c r="T232" s="4" t="e">
        <f t="shared" si="263"/>
        <v>#VALUE!</v>
      </c>
      <c r="U232" s="4" t="e">
        <f t="shared" si="264"/>
        <v>#VALUE!</v>
      </c>
      <c r="V232" s="4" t="b">
        <f t="shared" si="254"/>
        <v>0</v>
      </c>
      <c r="W232" s="13" t="str">
        <f t="shared" si="255"/>
        <v>Да</v>
      </c>
      <c r="X232" s="4" t="e">
        <f>(IF(COUNTIFS($G$2:G232,"+",$W$2:W232,"Да")&gt;1,"&amp; ","")&amp;D232&amp;J232&amp;E232&amp;SUBSTITUTE(L232,"""",""))</f>
        <v>#VALUE!</v>
      </c>
      <c r="Y232" s="4" t="e">
        <f t="shared" si="294"/>
        <v>#VALUE!</v>
      </c>
    </row>
    <row r="233" spans="1:25" x14ac:dyDescent="0.3">
      <c r="A233" s="11"/>
      <c r="B233" s="5" t="str">
        <f t="shared" si="257"/>
        <v/>
      </c>
      <c r="C233" s="5" t="str">
        <f t="shared" si="258"/>
        <v/>
      </c>
      <c r="D233" s="4" t="s">
        <v>10</v>
      </c>
      <c r="E233" s="4" t="s">
        <v>11</v>
      </c>
      <c r="F233" s="4" t="str">
        <f t="shared" si="281"/>
        <v>!!!</v>
      </c>
      <c r="G233" s="4" t="str">
        <f t="shared" si="259"/>
        <v>+</v>
      </c>
      <c r="H233" s="4"/>
      <c r="I233" s="4" t="str">
        <f t="shared" si="282"/>
        <v>!!!</v>
      </c>
      <c r="J233" s="4" t="e">
        <f t="shared" si="283"/>
        <v>#VALUE!</v>
      </c>
      <c r="K233" s="4" t="e">
        <f t="shared" si="284"/>
        <v>#VALUE!</v>
      </c>
      <c r="L233" s="4" t="e">
        <f t="shared" si="285"/>
        <v>#VALUE!</v>
      </c>
      <c r="M233" s="4">
        <f t="shared" si="260"/>
        <v>1000</v>
      </c>
      <c r="N233" s="4">
        <f t="shared" ref="N233:O233" si="311">MIN(IFERROR(FIND(" ",$C233,M233+1),1000))</f>
        <v>1000</v>
      </c>
      <c r="O233" s="4">
        <f t="shared" si="311"/>
        <v>1000</v>
      </c>
      <c r="P233" s="4">
        <f t="shared" si="262"/>
        <v>0</v>
      </c>
      <c r="Q233" s="4" t="str">
        <f t="shared" si="291"/>
        <v/>
      </c>
      <c r="R233" s="4" t="str">
        <f t="shared" si="307"/>
        <v/>
      </c>
      <c r="S233" s="4" t="str">
        <f t="shared" si="297"/>
        <v/>
      </c>
      <c r="T233" s="4" t="e">
        <f t="shared" si="263"/>
        <v>#VALUE!</v>
      </c>
      <c r="U233" s="4" t="e">
        <f t="shared" si="264"/>
        <v>#VALUE!</v>
      </c>
      <c r="V233" s="4" t="b">
        <f t="shared" si="254"/>
        <v>0</v>
      </c>
      <c r="W233" s="13" t="str">
        <f t="shared" si="255"/>
        <v>Да</v>
      </c>
      <c r="X233" s="4" t="e">
        <f>(IF(COUNTIFS($G$2:G233,"+",$W$2:W233,"Да")&gt;1,"&amp; ","")&amp;D233&amp;J233&amp;E233&amp;SUBSTITUTE(L233,"""",""))</f>
        <v>#VALUE!</v>
      </c>
      <c r="Y233" s="4" t="e">
        <f t="shared" si="294"/>
        <v>#VALUE!</v>
      </c>
    </row>
    <row r="234" spans="1:25" x14ac:dyDescent="0.3">
      <c r="A234" s="11"/>
      <c r="B234" s="5" t="str">
        <f t="shared" si="257"/>
        <v/>
      </c>
      <c r="C234" s="5" t="str">
        <f t="shared" si="258"/>
        <v/>
      </c>
      <c r="D234" s="4" t="s">
        <v>10</v>
      </c>
      <c r="E234" s="4" t="s">
        <v>11</v>
      </c>
      <c r="F234" s="4" t="str">
        <f t="shared" si="281"/>
        <v>!!!</v>
      </c>
      <c r="G234" s="4" t="str">
        <f t="shared" si="259"/>
        <v>+</v>
      </c>
      <c r="H234" s="4"/>
      <c r="I234" s="4" t="str">
        <f t="shared" si="282"/>
        <v>!!!</v>
      </c>
      <c r="J234" s="4" t="e">
        <f t="shared" si="283"/>
        <v>#VALUE!</v>
      </c>
      <c r="K234" s="4" t="e">
        <f t="shared" si="284"/>
        <v>#VALUE!</v>
      </c>
      <c r="L234" s="4" t="e">
        <f t="shared" si="285"/>
        <v>#VALUE!</v>
      </c>
      <c r="M234" s="4">
        <f t="shared" si="260"/>
        <v>1000</v>
      </c>
      <c r="N234" s="4">
        <f t="shared" ref="N234:O234" si="312">MIN(IFERROR(FIND(" ",$C234,M234+1),1000))</f>
        <v>1000</v>
      </c>
      <c r="O234" s="4">
        <f t="shared" si="312"/>
        <v>1000</v>
      </c>
      <c r="P234" s="4">
        <f t="shared" si="262"/>
        <v>0</v>
      </c>
      <c r="Q234" s="4" t="str">
        <f t="shared" si="291"/>
        <v/>
      </c>
      <c r="R234" s="4" t="str">
        <f t="shared" si="307"/>
        <v/>
      </c>
      <c r="S234" s="4" t="str">
        <f t="shared" si="297"/>
        <v/>
      </c>
      <c r="T234" s="4" t="e">
        <f t="shared" si="263"/>
        <v>#VALUE!</v>
      </c>
      <c r="U234" s="4" t="e">
        <f t="shared" si="264"/>
        <v>#VALUE!</v>
      </c>
      <c r="V234" s="4" t="b">
        <f t="shared" si="254"/>
        <v>0</v>
      </c>
      <c r="W234" s="13" t="str">
        <f t="shared" si="255"/>
        <v>Да</v>
      </c>
      <c r="X234" s="4" t="e">
        <f>(IF(COUNTIFS($G$2:G234,"+",$W$2:W234,"Да")&gt;1,"&amp; ","")&amp;D234&amp;J234&amp;E234&amp;SUBSTITUTE(L234,"""",""))</f>
        <v>#VALUE!</v>
      </c>
      <c r="Y234" s="4" t="e">
        <f t="shared" si="294"/>
        <v>#VALUE!</v>
      </c>
    </row>
    <row r="235" spans="1:25" x14ac:dyDescent="0.3">
      <c r="A235" s="11"/>
      <c r="B235" s="5" t="str">
        <f t="shared" si="257"/>
        <v/>
      </c>
      <c r="C235" s="5" t="str">
        <f t="shared" si="258"/>
        <v/>
      </c>
      <c r="D235" s="4" t="s">
        <v>10</v>
      </c>
      <c r="E235" s="4" t="s">
        <v>11</v>
      </c>
      <c r="F235" s="4" t="str">
        <f t="shared" si="281"/>
        <v>!!!</v>
      </c>
      <c r="G235" s="4" t="str">
        <f t="shared" si="259"/>
        <v>+</v>
      </c>
      <c r="H235" s="4"/>
      <c r="I235" s="4" t="str">
        <f t="shared" si="282"/>
        <v>!!!</v>
      </c>
      <c r="J235" s="4" t="e">
        <f t="shared" si="283"/>
        <v>#VALUE!</v>
      </c>
      <c r="K235" s="4" t="e">
        <f t="shared" si="284"/>
        <v>#VALUE!</v>
      </c>
      <c r="L235" s="4" t="e">
        <f t="shared" si="285"/>
        <v>#VALUE!</v>
      </c>
      <c r="M235" s="4">
        <f t="shared" si="260"/>
        <v>1000</v>
      </c>
      <c r="N235" s="4">
        <f t="shared" ref="N235:O235" si="313">MIN(IFERROR(FIND(" ",$C235,M235+1),1000))</f>
        <v>1000</v>
      </c>
      <c r="O235" s="4">
        <f t="shared" si="313"/>
        <v>1000</v>
      </c>
      <c r="P235" s="4">
        <f t="shared" si="262"/>
        <v>0</v>
      </c>
      <c r="Q235" s="4" t="str">
        <f t="shared" si="291"/>
        <v/>
      </c>
      <c r="R235" s="4" t="str">
        <f t="shared" si="307"/>
        <v/>
      </c>
      <c r="S235" s="4" t="str">
        <f t="shared" si="297"/>
        <v/>
      </c>
      <c r="T235" s="4" t="e">
        <f t="shared" si="263"/>
        <v>#VALUE!</v>
      </c>
      <c r="U235" s="4" t="e">
        <f t="shared" si="264"/>
        <v>#VALUE!</v>
      </c>
      <c r="V235" s="4" t="b">
        <f t="shared" si="254"/>
        <v>0</v>
      </c>
      <c r="W235" s="13" t="str">
        <f t="shared" si="255"/>
        <v>Да</v>
      </c>
      <c r="X235" s="4" t="e">
        <f>(IF(COUNTIFS($G$2:G235,"+",$W$2:W235,"Да")&gt;1,"&amp; ","")&amp;D235&amp;J235&amp;E235&amp;SUBSTITUTE(L235,"""",""))</f>
        <v>#VALUE!</v>
      </c>
      <c r="Y235" s="4" t="e">
        <f t="shared" si="294"/>
        <v>#VALUE!</v>
      </c>
    </row>
    <row r="236" spans="1:25" x14ac:dyDescent="0.3">
      <c r="A236" s="11"/>
      <c r="B236" s="5" t="str">
        <f t="shared" si="257"/>
        <v/>
      </c>
      <c r="C236" s="5" t="str">
        <f t="shared" si="258"/>
        <v/>
      </c>
      <c r="D236" s="4" t="s">
        <v>10</v>
      </c>
      <c r="E236" s="4" t="s">
        <v>11</v>
      </c>
      <c r="F236" s="4" t="str">
        <f t="shared" si="281"/>
        <v>!!!</v>
      </c>
      <c r="G236" s="4" t="str">
        <f t="shared" si="259"/>
        <v>+</v>
      </c>
      <c r="H236" s="4"/>
      <c r="I236" s="4" t="str">
        <f t="shared" si="282"/>
        <v>!!!</v>
      </c>
      <c r="J236" s="4" t="e">
        <f t="shared" si="283"/>
        <v>#VALUE!</v>
      </c>
      <c r="K236" s="4" t="e">
        <f t="shared" si="284"/>
        <v>#VALUE!</v>
      </c>
      <c r="L236" s="4" t="e">
        <f t="shared" si="285"/>
        <v>#VALUE!</v>
      </c>
      <c r="M236" s="4">
        <f t="shared" si="260"/>
        <v>1000</v>
      </c>
      <c r="N236" s="4">
        <f t="shared" ref="N236:O236" si="314">MIN(IFERROR(FIND(" ",$C236,M236+1),1000))</f>
        <v>1000</v>
      </c>
      <c r="O236" s="4">
        <f t="shared" si="314"/>
        <v>1000</v>
      </c>
      <c r="P236" s="4">
        <f t="shared" si="262"/>
        <v>0</v>
      </c>
      <c r="Q236" s="4" t="str">
        <f t="shared" si="291"/>
        <v/>
      </c>
      <c r="R236" s="4" t="str">
        <f t="shared" si="307"/>
        <v/>
      </c>
      <c r="S236" s="4" t="str">
        <f t="shared" si="297"/>
        <v/>
      </c>
      <c r="T236" s="4" t="e">
        <f t="shared" si="263"/>
        <v>#VALUE!</v>
      </c>
      <c r="U236" s="4" t="e">
        <f t="shared" si="264"/>
        <v>#VALUE!</v>
      </c>
      <c r="V236" s="4" t="b">
        <f t="shared" si="254"/>
        <v>0</v>
      </c>
      <c r="W236" s="13" t="str">
        <f t="shared" si="255"/>
        <v>Да</v>
      </c>
      <c r="X236" s="4" t="e">
        <f>(IF(COUNTIFS($G$2:G236,"+",$W$2:W236,"Да")&gt;1,"&amp; ","")&amp;D236&amp;J236&amp;E236&amp;SUBSTITUTE(L236,"""",""))</f>
        <v>#VALUE!</v>
      </c>
      <c r="Y236" s="4" t="e">
        <f t="shared" si="294"/>
        <v>#VALUE!</v>
      </c>
    </row>
    <row r="237" spans="1:25" x14ac:dyDescent="0.3">
      <c r="A237" s="11"/>
      <c r="B237" s="5" t="str">
        <f t="shared" si="257"/>
        <v/>
      </c>
      <c r="C237" s="5" t="str">
        <f t="shared" si="258"/>
        <v/>
      </c>
      <c r="D237" s="4" t="s">
        <v>10</v>
      </c>
      <c r="E237" s="4" t="s">
        <v>11</v>
      </c>
      <c r="F237" s="4" t="str">
        <f t="shared" si="281"/>
        <v>!!!</v>
      </c>
      <c r="G237" s="4" t="str">
        <f t="shared" si="259"/>
        <v>+</v>
      </c>
      <c r="H237" s="4"/>
      <c r="I237" s="4" t="str">
        <f t="shared" si="282"/>
        <v>!!!</v>
      </c>
      <c r="J237" s="4" t="e">
        <f t="shared" si="283"/>
        <v>#VALUE!</v>
      </c>
      <c r="K237" s="4" t="e">
        <f t="shared" si="284"/>
        <v>#VALUE!</v>
      </c>
      <c r="L237" s="4" t="e">
        <f t="shared" si="285"/>
        <v>#VALUE!</v>
      </c>
      <c r="M237" s="4">
        <f t="shared" si="260"/>
        <v>1000</v>
      </c>
      <c r="N237" s="4">
        <f t="shared" ref="N237:O237" si="315">MIN(IFERROR(FIND(" ",$C237,M237+1),1000))</f>
        <v>1000</v>
      </c>
      <c r="O237" s="4">
        <f t="shared" si="315"/>
        <v>1000</v>
      </c>
      <c r="P237" s="4">
        <f t="shared" si="262"/>
        <v>0</v>
      </c>
      <c r="Q237" s="4" t="str">
        <f t="shared" si="291"/>
        <v/>
      </c>
      <c r="R237" s="4" t="str">
        <f t="shared" si="307"/>
        <v/>
      </c>
      <c r="S237" s="4" t="str">
        <f t="shared" si="297"/>
        <v/>
      </c>
      <c r="T237" s="4" t="e">
        <f t="shared" si="263"/>
        <v>#VALUE!</v>
      </c>
      <c r="U237" s="4" t="e">
        <f t="shared" si="264"/>
        <v>#VALUE!</v>
      </c>
      <c r="V237" s="4" t="b">
        <f t="shared" si="254"/>
        <v>0</v>
      </c>
      <c r="W237" s="13" t="str">
        <f t="shared" si="255"/>
        <v>Да</v>
      </c>
      <c r="X237" s="4" t="e">
        <f>(IF(COUNTIFS($G$2:G237,"+",$W$2:W237,"Да")&gt;1,"&amp; ","")&amp;D237&amp;J237&amp;E237&amp;SUBSTITUTE(L237,"""",""))</f>
        <v>#VALUE!</v>
      </c>
      <c r="Y237" s="4" t="e">
        <f t="shared" si="294"/>
        <v>#VALUE!</v>
      </c>
    </row>
    <row r="238" spans="1:25" x14ac:dyDescent="0.3">
      <c r="A238" s="11"/>
      <c r="B238" s="5" t="str">
        <f t="shared" si="257"/>
        <v/>
      </c>
      <c r="C238" s="5" t="str">
        <f t="shared" si="258"/>
        <v/>
      </c>
      <c r="D238" s="4" t="s">
        <v>10</v>
      </c>
      <c r="E238" s="4" t="s">
        <v>11</v>
      </c>
      <c r="F238" s="4" t="str">
        <f t="shared" si="281"/>
        <v>!!!</v>
      </c>
      <c r="G238" s="4" t="str">
        <f t="shared" si="259"/>
        <v>+</v>
      </c>
      <c r="H238" s="4"/>
      <c r="I238" s="4" t="str">
        <f t="shared" si="282"/>
        <v>!!!</v>
      </c>
      <c r="J238" s="4" t="e">
        <f t="shared" si="283"/>
        <v>#VALUE!</v>
      </c>
      <c r="K238" s="4" t="e">
        <f t="shared" si="284"/>
        <v>#VALUE!</v>
      </c>
      <c r="L238" s="4" t="e">
        <f t="shared" si="285"/>
        <v>#VALUE!</v>
      </c>
      <c r="M238" s="4">
        <f t="shared" si="260"/>
        <v>1000</v>
      </c>
      <c r="N238" s="4">
        <f t="shared" ref="N238:O238" si="316">MIN(IFERROR(FIND(" ",$C238,M238+1),1000))</f>
        <v>1000</v>
      </c>
      <c r="O238" s="4">
        <f t="shared" si="316"/>
        <v>1000</v>
      </c>
      <c r="P238" s="4">
        <f t="shared" si="262"/>
        <v>0</v>
      </c>
      <c r="Q238" s="4" t="str">
        <f t="shared" si="291"/>
        <v/>
      </c>
      <c r="R238" s="4" t="str">
        <f t="shared" si="307"/>
        <v/>
      </c>
      <c r="S238" s="4" t="str">
        <f t="shared" si="297"/>
        <v/>
      </c>
      <c r="T238" s="4" t="e">
        <f t="shared" si="263"/>
        <v>#VALUE!</v>
      </c>
      <c r="U238" s="4" t="e">
        <f t="shared" si="264"/>
        <v>#VALUE!</v>
      </c>
      <c r="V238" s="4" t="b">
        <f t="shared" si="254"/>
        <v>0</v>
      </c>
      <c r="W238" s="13" t="str">
        <f t="shared" si="255"/>
        <v>Да</v>
      </c>
      <c r="X238" s="4" t="e">
        <f>(IF(COUNTIFS($G$2:G238,"+",$W$2:W238,"Да")&gt;1,"&amp; ","")&amp;D238&amp;J238&amp;E238&amp;SUBSTITUTE(L238,"""",""))</f>
        <v>#VALUE!</v>
      </c>
      <c r="Y238" s="4" t="e">
        <f t="shared" si="294"/>
        <v>#VALUE!</v>
      </c>
    </row>
    <row r="239" spans="1:25" x14ac:dyDescent="0.3">
      <c r="A239" s="11"/>
      <c r="B239" s="5" t="str">
        <f t="shared" si="257"/>
        <v/>
      </c>
      <c r="C239" s="5" t="str">
        <f t="shared" si="258"/>
        <v/>
      </c>
      <c r="D239" s="4" t="s">
        <v>10</v>
      </c>
      <c r="E239" s="4" t="s">
        <v>11</v>
      </c>
      <c r="F239" s="4" t="str">
        <f t="shared" si="281"/>
        <v>!!!</v>
      </c>
      <c r="G239" s="4" t="str">
        <f t="shared" si="259"/>
        <v>+</v>
      </c>
      <c r="H239" s="4"/>
      <c r="I239" s="4" t="str">
        <f t="shared" si="282"/>
        <v>!!!</v>
      </c>
      <c r="J239" s="4" t="e">
        <f t="shared" si="283"/>
        <v>#VALUE!</v>
      </c>
      <c r="K239" s="4" t="e">
        <f t="shared" si="284"/>
        <v>#VALUE!</v>
      </c>
      <c r="L239" s="4" t="e">
        <f t="shared" si="285"/>
        <v>#VALUE!</v>
      </c>
      <c r="M239" s="4">
        <f t="shared" si="260"/>
        <v>1000</v>
      </c>
      <c r="N239" s="4">
        <f t="shared" ref="N239:O239" si="317">MIN(IFERROR(FIND(" ",$C239,M239+1),1000))</f>
        <v>1000</v>
      </c>
      <c r="O239" s="4">
        <f t="shared" si="317"/>
        <v>1000</v>
      </c>
      <c r="P239" s="4">
        <f t="shared" si="262"/>
        <v>0</v>
      </c>
      <c r="Q239" s="4" t="str">
        <f t="shared" si="291"/>
        <v/>
      </c>
      <c r="R239" s="4" t="str">
        <f t="shared" si="307"/>
        <v/>
      </c>
      <c r="S239" s="4" t="str">
        <f t="shared" si="297"/>
        <v/>
      </c>
      <c r="T239" s="4" t="e">
        <f t="shared" si="263"/>
        <v>#VALUE!</v>
      </c>
      <c r="U239" s="4" t="e">
        <f t="shared" si="264"/>
        <v>#VALUE!</v>
      </c>
      <c r="V239" s="4" t="b">
        <f t="shared" si="254"/>
        <v>0</v>
      </c>
      <c r="W239" s="13" t="str">
        <f t="shared" si="255"/>
        <v>Да</v>
      </c>
      <c r="X239" s="4" t="e">
        <f>(IF(COUNTIFS($G$2:G239,"+",$W$2:W239,"Да")&gt;1,"&amp; ","")&amp;D239&amp;J239&amp;E239&amp;SUBSTITUTE(L239,"""",""))</f>
        <v>#VALUE!</v>
      </c>
      <c r="Y239" s="4" t="e">
        <f t="shared" si="294"/>
        <v>#VALUE!</v>
      </c>
    </row>
    <row r="240" spans="1:25" x14ac:dyDescent="0.3">
      <c r="A240" s="11"/>
      <c r="B240" s="5" t="str">
        <f t="shared" si="257"/>
        <v/>
      </c>
      <c r="C240" s="5" t="str">
        <f t="shared" si="258"/>
        <v/>
      </c>
      <c r="D240" s="4" t="s">
        <v>10</v>
      </c>
      <c r="E240" s="4" t="s">
        <v>11</v>
      </c>
      <c r="F240" s="4" t="str">
        <f t="shared" si="281"/>
        <v>!!!</v>
      </c>
      <c r="G240" s="4" t="str">
        <f t="shared" si="259"/>
        <v>+</v>
      </c>
      <c r="H240" s="4"/>
      <c r="I240" s="4" t="str">
        <f t="shared" si="282"/>
        <v>!!!</v>
      </c>
      <c r="J240" s="4" t="e">
        <f t="shared" si="283"/>
        <v>#VALUE!</v>
      </c>
      <c r="K240" s="4" t="e">
        <f t="shared" si="284"/>
        <v>#VALUE!</v>
      </c>
      <c r="L240" s="4" t="e">
        <f t="shared" si="285"/>
        <v>#VALUE!</v>
      </c>
      <c r="M240" s="4">
        <f t="shared" si="260"/>
        <v>1000</v>
      </c>
      <c r="N240" s="4">
        <f t="shared" ref="N240:O240" si="318">MIN(IFERROR(FIND(" ",$C240,M240+1),1000))</f>
        <v>1000</v>
      </c>
      <c r="O240" s="4">
        <f t="shared" si="318"/>
        <v>1000</v>
      </c>
      <c r="P240" s="4">
        <f t="shared" si="262"/>
        <v>0</v>
      </c>
      <c r="Q240" s="4" t="str">
        <f t="shared" si="291"/>
        <v/>
      </c>
      <c r="R240" s="4" t="str">
        <f t="shared" si="307"/>
        <v/>
      </c>
      <c r="S240" s="4" t="str">
        <f t="shared" si="297"/>
        <v/>
      </c>
      <c r="T240" s="4" t="e">
        <f t="shared" si="263"/>
        <v>#VALUE!</v>
      </c>
      <c r="U240" s="4" t="e">
        <f t="shared" si="264"/>
        <v>#VALUE!</v>
      </c>
      <c r="V240" s="4" t="b">
        <f t="shared" si="254"/>
        <v>0</v>
      </c>
      <c r="W240" s="13" t="str">
        <f t="shared" si="255"/>
        <v>Да</v>
      </c>
      <c r="X240" s="4" t="e">
        <f>(IF(COUNTIFS($G$2:G240,"+",$W$2:W240,"Да")&gt;1,"&amp; ","")&amp;D240&amp;J240&amp;E240&amp;SUBSTITUTE(L240,"""",""))</f>
        <v>#VALUE!</v>
      </c>
      <c r="Y240" s="4" t="e">
        <f t="shared" si="294"/>
        <v>#VALUE!</v>
      </c>
    </row>
    <row r="241" spans="1:25" x14ac:dyDescent="0.3">
      <c r="A241" s="11"/>
      <c r="B241" s="5" t="str">
        <f t="shared" si="257"/>
        <v/>
      </c>
      <c r="C241" s="5" t="str">
        <f t="shared" si="258"/>
        <v/>
      </c>
      <c r="D241" s="4" t="s">
        <v>10</v>
      </c>
      <c r="E241" s="4" t="s">
        <v>11</v>
      </c>
      <c r="F241" s="4" t="str">
        <f t="shared" si="281"/>
        <v>!!!</v>
      </c>
      <c r="G241" s="4" t="str">
        <f t="shared" si="259"/>
        <v>+</v>
      </c>
      <c r="H241" s="4"/>
      <c r="I241" s="4" t="str">
        <f t="shared" si="282"/>
        <v>!!!</v>
      </c>
      <c r="J241" s="4" t="e">
        <f t="shared" si="283"/>
        <v>#VALUE!</v>
      </c>
      <c r="K241" s="4" t="e">
        <f t="shared" si="284"/>
        <v>#VALUE!</v>
      </c>
      <c r="L241" s="4" t="e">
        <f t="shared" si="285"/>
        <v>#VALUE!</v>
      </c>
      <c r="M241" s="4">
        <f t="shared" si="260"/>
        <v>1000</v>
      </c>
      <c r="N241" s="4">
        <f t="shared" ref="N241:O241" si="319">MIN(IFERROR(FIND(" ",$C241,M241+1),1000))</f>
        <v>1000</v>
      </c>
      <c r="O241" s="4">
        <f t="shared" si="319"/>
        <v>1000</v>
      </c>
      <c r="P241" s="4">
        <f t="shared" si="262"/>
        <v>0</v>
      </c>
      <c r="Q241" s="4" t="str">
        <f t="shared" si="291"/>
        <v/>
      </c>
      <c r="R241" s="4" t="str">
        <f t="shared" si="307"/>
        <v/>
      </c>
      <c r="S241" s="4" t="str">
        <f t="shared" si="297"/>
        <v/>
      </c>
      <c r="T241" s="4" t="e">
        <f t="shared" si="263"/>
        <v>#VALUE!</v>
      </c>
      <c r="U241" s="4" t="e">
        <f t="shared" si="264"/>
        <v>#VALUE!</v>
      </c>
      <c r="V241" s="4" t="b">
        <f t="shared" si="254"/>
        <v>0</v>
      </c>
      <c r="W241" s="13" t="str">
        <f t="shared" si="255"/>
        <v>Да</v>
      </c>
      <c r="X241" s="4" t="e">
        <f>(IF(COUNTIFS($G$2:G241,"+",$W$2:W241,"Да")&gt;1,"&amp; ","")&amp;D241&amp;J241&amp;E241&amp;SUBSTITUTE(L241,"""",""))</f>
        <v>#VALUE!</v>
      </c>
      <c r="Y241" s="4" t="e">
        <f t="shared" si="294"/>
        <v>#VALUE!</v>
      </c>
    </row>
    <row r="242" spans="1:25" x14ac:dyDescent="0.3">
      <c r="A242" s="11"/>
      <c r="B242" s="5" t="str">
        <f t="shared" si="257"/>
        <v/>
      </c>
      <c r="C242" s="5" t="str">
        <f t="shared" si="258"/>
        <v/>
      </c>
      <c r="D242" s="4" t="s">
        <v>10</v>
      </c>
      <c r="E242" s="4" t="s">
        <v>11</v>
      </c>
      <c r="F242" s="4" t="str">
        <f t="shared" si="281"/>
        <v>!!!</v>
      </c>
      <c r="G242" s="4" t="str">
        <f t="shared" si="259"/>
        <v>+</v>
      </c>
      <c r="H242" s="4"/>
      <c r="I242" s="4" t="str">
        <f t="shared" si="282"/>
        <v>!!!</v>
      </c>
      <c r="J242" s="4" t="e">
        <f t="shared" si="283"/>
        <v>#VALUE!</v>
      </c>
      <c r="K242" s="4" t="e">
        <f t="shared" si="284"/>
        <v>#VALUE!</v>
      </c>
      <c r="L242" s="4" t="e">
        <f t="shared" si="285"/>
        <v>#VALUE!</v>
      </c>
      <c r="M242" s="4">
        <f t="shared" si="260"/>
        <v>1000</v>
      </c>
      <c r="N242" s="4">
        <f t="shared" ref="N242:O242" si="320">MIN(IFERROR(FIND(" ",$C242,M242+1),1000))</f>
        <v>1000</v>
      </c>
      <c r="O242" s="4">
        <f t="shared" si="320"/>
        <v>1000</v>
      </c>
      <c r="P242" s="4">
        <f t="shared" si="262"/>
        <v>0</v>
      </c>
      <c r="Q242" s="4" t="str">
        <f t="shared" si="291"/>
        <v/>
      </c>
      <c r="R242" s="4" t="str">
        <f t="shared" si="307"/>
        <v/>
      </c>
      <c r="S242" s="4" t="str">
        <f t="shared" si="297"/>
        <v/>
      </c>
      <c r="T242" s="4" t="e">
        <f t="shared" si="263"/>
        <v>#VALUE!</v>
      </c>
      <c r="U242" s="4" t="e">
        <f t="shared" si="264"/>
        <v>#VALUE!</v>
      </c>
      <c r="V242" s="4" t="b">
        <f t="shared" si="254"/>
        <v>0</v>
      </c>
      <c r="W242" s="13" t="str">
        <f t="shared" si="255"/>
        <v>Да</v>
      </c>
      <c r="X242" s="4" t="e">
        <f>(IF(COUNTIFS($G$2:G242,"+",$W$2:W242,"Да")&gt;1,"&amp; ","")&amp;D242&amp;J242&amp;E242&amp;SUBSTITUTE(L242,"""",""))</f>
        <v>#VALUE!</v>
      </c>
      <c r="Y242" s="4" t="e">
        <f t="shared" si="294"/>
        <v>#VALUE!</v>
      </c>
    </row>
    <row r="243" spans="1:25" x14ac:dyDescent="0.3">
      <c r="A243" s="11"/>
      <c r="B243" s="5" t="str">
        <f t="shared" si="257"/>
        <v/>
      </c>
      <c r="C243" s="5" t="str">
        <f t="shared" si="258"/>
        <v/>
      </c>
      <c r="D243" s="4" t="s">
        <v>10</v>
      </c>
      <c r="E243" s="4" t="s">
        <v>11</v>
      </c>
      <c r="F243" s="4" t="str">
        <f t="shared" si="281"/>
        <v>!!!</v>
      </c>
      <c r="G243" s="4" t="str">
        <f t="shared" si="259"/>
        <v>+</v>
      </c>
      <c r="H243" s="4"/>
      <c r="I243" s="4" t="str">
        <f t="shared" si="282"/>
        <v>!!!</v>
      </c>
      <c r="J243" s="4" t="e">
        <f t="shared" si="283"/>
        <v>#VALUE!</v>
      </c>
      <c r="K243" s="4" t="e">
        <f t="shared" si="284"/>
        <v>#VALUE!</v>
      </c>
      <c r="L243" s="4" t="e">
        <f t="shared" si="285"/>
        <v>#VALUE!</v>
      </c>
      <c r="M243" s="4">
        <f t="shared" si="260"/>
        <v>1000</v>
      </c>
      <c r="N243" s="4">
        <f t="shared" ref="N243:O243" si="321">MIN(IFERROR(FIND(" ",$C243,M243+1),1000))</f>
        <v>1000</v>
      </c>
      <c r="O243" s="4">
        <f t="shared" si="321"/>
        <v>1000</v>
      </c>
      <c r="P243" s="4">
        <f t="shared" si="262"/>
        <v>0</v>
      </c>
      <c r="Q243" s="4" t="str">
        <f t="shared" si="291"/>
        <v/>
      </c>
      <c r="R243" s="4" t="str">
        <f t="shared" si="307"/>
        <v/>
      </c>
      <c r="S243" s="4" t="str">
        <f t="shared" si="297"/>
        <v/>
      </c>
      <c r="T243" s="4" t="e">
        <f t="shared" si="263"/>
        <v>#VALUE!</v>
      </c>
      <c r="U243" s="4" t="e">
        <f t="shared" si="264"/>
        <v>#VALUE!</v>
      </c>
      <c r="V243" s="4" t="b">
        <f t="shared" si="254"/>
        <v>0</v>
      </c>
      <c r="W243" s="13" t="str">
        <f t="shared" si="255"/>
        <v>Да</v>
      </c>
      <c r="X243" s="4" t="e">
        <f>(IF(COUNTIFS($G$2:G243,"+",$W$2:W243,"Да")&gt;1,"&amp; ","")&amp;D243&amp;J243&amp;E243&amp;SUBSTITUTE(L243,"""",""))</f>
        <v>#VALUE!</v>
      </c>
      <c r="Y243" s="4" t="e">
        <f t="shared" si="294"/>
        <v>#VALUE!</v>
      </c>
    </row>
    <row r="244" spans="1:25" x14ac:dyDescent="0.3">
      <c r="A244" s="11"/>
      <c r="B244" s="5" t="str">
        <f t="shared" si="257"/>
        <v/>
      </c>
      <c r="C244" s="5" t="str">
        <f t="shared" si="258"/>
        <v/>
      </c>
      <c r="D244" s="4" t="s">
        <v>10</v>
      </c>
      <c r="E244" s="4" t="s">
        <v>11</v>
      </c>
      <c r="F244" s="4" t="str">
        <f t="shared" si="281"/>
        <v>!!!</v>
      </c>
      <c r="G244" s="4" t="str">
        <f t="shared" si="259"/>
        <v>+</v>
      </c>
      <c r="H244" s="4"/>
      <c r="I244" s="4" t="str">
        <f t="shared" si="282"/>
        <v>!!!</v>
      </c>
      <c r="J244" s="4" t="e">
        <f t="shared" si="283"/>
        <v>#VALUE!</v>
      </c>
      <c r="K244" s="4" t="e">
        <f t="shared" si="284"/>
        <v>#VALUE!</v>
      </c>
      <c r="L244" s="4" t="e">
        <f t="shared" si="285"/>
        <v>#VALUE!</v>
      </c>
      <c r="M244" s="4">
        <f t="shared" si="260"/>
        <v>1000</v>
      </c>
      <c r="N244" s="4">
        <f t="shared" ref="N244:O244" si="322">MIN(IFERROR(FIND(" ",$C244,M244+1),1000))</f>
        <v>1000</v>
      </c>
      <c r="O244" s="4">
        <f t="shared" si="322"/>
        <v>1000</v>
      </c>
      <c r="P244" s="4">
        <f t="shared" si="262"/>
        <v>0</v>
      </c>
      <c r="Q244" s="4" t="str">
        <f t="shared" si="291"/>
        <v/>
      </c>
      <c r="R244" s="4" t="str">
        <f t="shared" si="307"/>
        <v/>
      </c>
      <c r="S244" s="4" t="str">
        <f t="shared" si="297"/>
        <v/>
      </c>
      <c r="T244" s="4" t="e">
        <f t="shared" si="263"/>
        <v>#VALUE!</v>
      </c>
      <c r="U244" s="4" t="e">
        <f t="shared" si="264"/>
        <v>#VALUE!</v>
      </c>
      <c r="V244" s="4" t="b">
        <f t="shared" si="254"/>
        <v>0</v>
      </c>
      <c r="W244" s="13" t="str">
        <f t="shared" si="255"/>
        <v>Да</v>
      </c>
      <c r="X244" s="4" t="e">
        <f>(IF(COUNTIFS($G$2:G244,"+",$W$2:W244,"Да")&gt;1,"&amp; ","")&amp;D244&amp;J244&amp;E244&amp;SUBSTITUTE(L244,"""",""))</f>
        <v>#VALUE!</v>
      </c>
      <c r="Y244" s="4" t="e">
        <f t="shared" si="294"/>
        <v>#VALUE!</v>
      </c>
    </row>
    <row r="245" spans="1:25" x14ac:dyDescent="0.3">
      <c r="A245" s="11"/>
      <c r="B245" s="5" t="str">
        <f t="shared" si="257"/>
        <v/>
      </c>
      <c r="C245" s="5" t="str">
        <f t="shared" si="258"/>
        <v/>
      </c>
      <c r="D245" s="4" t="s">
        <v>10</v>
      </c>
      <c r="E245" s="4" t="s">
        <v>11</v>
      </c>
      <c r="F245" s="4" t="str">
        <f t="shared" si="281"/>
        <v>!!!</v>
      </c>
      <c r="G245" s="4" t="str">
        <f t="shared" si="259"/>
        <v>+</v>
      </c>
      <c r="H245" s="4"/>
      <c r="I245" s="4" t="str">
        <f t="shared" si="282"/>
        <v>!!!</v>
      </c>
      <c r="J245" s="4" t="e">
        <f t="shared" si="283"/>
        <v>#VALUE!</v>
      </c>
      <c r="K245" s="4" t="e">
        <f t="shared" si="284"/>
        <v>#VALUE!</v>
      </c>
      <c r="L245" s="4" t="e">
        <f t="shared" si="285"/>
        <v>#VALUE!</v>
      </c>
      <c r="M245" s="4">
        <f t="shared" si="260"/>
        <v>1000</v>
      </c>
      <c r="N245" s="4">
        <f t="shared" ref="N245:O245" si="323">MIN(IFERROR(FIND(" ",$C245,M245+1),1000))</f>
        <v>1000</v>
      </c>
      <c r="O245" s="4">
        <f t="shared" si="323"/>
        <v>1000</v>
      </c>
      <c r="P245" s="4">
        <f t="shared" si="262"/>
        <v>0</v>
      </c>
      <c r="Q245" s="4" t="str">
        <f t="shared" si="291"/>
        <v/>
      </c>
      <c r="R245" s="4" t="str">
        <f t="shared" si="307"/>
        <v/>
      </c>
      <c r="S245" s="4" t="str">
        <f t="shared" si="297"/>
        <v/>
      </c>
      <c r="T245" s="4" t="e">
        <f t="shared" si="263"/>
        <v>#VALUE!</v>
      </c>
      <c r="U245" s="4" t="e">
        <f t="shared" si="264"/>
        <v>#VALUE!</v>
      </c>
      <c r="V245" s="4" t="b">
        <f t="shared" si="254"/>
        <v>0</v>
      </c>
      <c r="W245" s="13" t="str">
        <f t="shared" si="255"/>
        <v>Да</v>
      </c>
      <c r="X245" s="4" t="e">
        <f>(IF(COUNTIFS($G$2:G245,"+",$W$2:W245,"Да")&gt;1,"&amp; ","")&amp;D245&amp;J245&amp;E245&amp;SUBSTITUTE(L245,"""",""))</f>
        <v>#VALUE!</v>
      </c>
      <c r="Y245" s="4" t="e">
        <f t="shared" si="294"/>
        <v>#VALUE!</v>
      </c>
    </row>
    <row r="246" spans="1:25" x14ac:dyDescent="0.3">
      <c r="A246" s="11"/>
      <c r="B246" s="5" t="str">
        <f t="shared" si="257"/>
        <v/>
      </c>
      <c r="C246" s="5" t="str">
        <f t="shared" si="258"/>
        <v/>
      </c>
      <c r="D246" s="4" t="s">
        <v>10</v>
      </c>
      <c r="E246" s="4" t="s">
        <v>11</v>
      </c>
      <c r="F246" s="4" t="str">
        <f t="shared" si="281"/>
        <v>!!!</v>
      </c>
      <c r="G246" s="4" t="str">
        <f t="shared" si="259"/>
        <v>+</v>
      </c>
      <c r="H246" s="4"/>
      <c r="I246" s="4" t="str">
        <f t="shared" si="282"/>
        <v>!!!</v>
      </c>
      <c r="J246" s="4" t="e">
        <f t="shared" si="283"/>
        <v>#VALUE!</v>
      </c>
      <c r="K246" s="4" t="e">
        <f t="shared" si="284"/>
        <v>#VALUE!</v>
      </c>
      <c r="L246" s="4" t="e">
        <f t="shared" si="285"/>
        <v>#VALUE!</v>
      </c>
      <c r="M246" s="4">
        <f t="shared" si="260"/>
        <v>1000</v>
      </c>
      <c r="N246" s="4">
        <f t="shared" ref="N246:O246" si="324">MIN(IFERROR(FIND(" ",$C246,M246+1),1000))</f>
        <v>1000</v>
      </c>
      <c r="O246" s="4">
        <f t="shared" si="324"/>
        <v>1000</v>
      </c>
      <c r="P246" s="4">
        <f t="shared" si="262"/>
        <v>0</v>
      </c>
      <c r="Q246" s="4" t="str">
        <f t="shared" si="291"/>
        <v/>
      </c>
      <c r="R246" s="4" t="str">
        <f t="shared" si="307"/>
        <v/>
      </c>
      <c r="S246" s="4" t="str">
        <f t="shared" si="297"/>
        <v/>
      </c>
      <c r="T246" s="4" t="e">
        <f t="shared" si="263"/>
        <v>#VALUE!</v>
      </c>
      <c r="U246" s="4" t="e">
        <f t="shared" si="264"/>
        <v>#VALUE!</v>
      </c>
      <c r="V246" s="4" t="b">
        <f t="shared" si="254"/>
        <v>0</v>
      </c>
      <c r="W246" s="13" t="str">
        <f t="shared" si="255"/>
        <v>Да</v>
      </c>
      <c r="X246" s="4" t="e">
        <f>(IF(COUNTIFS($G$2:G246,"+",$W$2:W246,"Да")&gt;1,"&amp; ","")&amp;D246&amp;J246&amp;E246&amp;SUBSTITUTE(L246,"""",""))</f>
        <v>#VALUE!</v>
      </c>
      <c r="Y246" s="4" t="e">
        <f t="shared" si="294"/>
        <v>#VALUE!</v>
      </c>
    </row>
    <row r="247" spans="1:25" x14ac:dyDescent="0.3">
      <c r="A247" s="11"/>
      <c r="B247" s="5" t="str">
        <f t="shared" si="257"/>
        <v/>
      </c>
      <c r="C247" s="5" t="str">
        <f t="shared" si="258"/>
        <v/>
      </c>
      <c r="D247" s="4" t="s">
        <v>10</v>
      </c>
      <c r="E247" s="4" t="s">
        <v>11</v>
      </c>
      <c r="F247" s="4" t="str">
        <f t="shared" si="281"/>
        <v>!!!</v>
      </c>
      <c r="G247" s="4" t="str">
        <f t="shared" si="259"/>
        <v>+</v>
      </c>
      <c r="H247" s="4"/>
      <c r="I247" s="4" t="str">
        <f t="shared" si="282"/>
        <v>!!!</v>
      </c>
      <c r="J247" s="4" t="e">
        <f t="shared" si="283"/>
        <v>#VALUE!</v>
      </c>
      <c r="K247" s="4" t="e">
        <f t="shared" si="284"/>
        <v>#VALUE!</v>
      </c>
      <c r="L247" s="4" t="e">
        <f t="shared" si="285"/>
        <v>#VALUE!</v>
      </c>
      <c r="M247" s="4">
        <f t="shared" si="260"/>
        <v>1000</v>
      </c>
      <c r="N247" s="4">
        <f t="shared" ref="N247:O247" si="325">MIN(IFERROR(FIND(" ",$C247,M247+1),1000))</f>
        <v>1000</v>
      </c>
      <c r="O247" s="4">
        <f t="shared" si="325"/>
        <v>1000</v>
      </c>
      <c r="P247" s="4">
        <f t="shared" si="262"/>
        <v>0</v>
      </c>
      <c r="Q247" s="4" t="str">
        <f t="shared" si="291"/>
        <v/>
      </c>
      <c r="R247" s="4" t="str">
        <f t="shared" si="307"/>
        <v/>
      </c>
      <c r="S247" s="4" t="str">
        <f t="shared" si="297"/>
        <v/>
      </c>
      <c r="T247" s="4" t="e">
        <f t="shared" si="263"/>
        <v>#VALUE!</v>
      </c>
      <c r="U247" s="4" t="e">
        <f t="shared" si="264"/>
        <v>#VALUE!</v>
      </c>
      <c r="V247" s="4" t="b">
        <f t="shared" si="254"/>
        <v>0</v>
      </c>
      <c r="W247" s="13" t="str">
        <f t="shared" si="255"/>
        <v>Да</v>
      </c>
      <c r="X247" s="4" t="e">
        <f>(IF(COUNTIFS($G$2:G247,"+",$W$2:W247,"Да")&gt;1,"&amp; ","")&amp;D247&amp;J247&amp;E247&amp;SUBSTITUTE(L247,"""",""))</f>
        <v>#VALUE!</v>
      </c>
      <c r="Y247" s="4" t="e">
        <f t="shared" si="294"/>
        <v>#VALUE!</v>
      </c>
    </row>
    <row r="248" spans="1:25" x14ac:dyDescent="0.3">
      <c r="A248" s="11"/>
      <c r="B248" s="5" t="str">
        <f t="shared" si="257"/>
        <v/>
      </c>
      <c r="C248" s="5" t="str">
        <f t="shared" si="258"/>
        <v/>
      </c>
      <c r="D248" s="4" t="s">
        <v>10</v>
      </c>
      <c r="E248" s="4" t="s">
        <v>11</v>
      </c>
      <c r="F248" s="4" t="str">
        <f t="shared" si="281"/>
        <v>!!!</v>
      </c>
      <c r="G248" s="4" t="str">
        <f t="shared" si="259"/>
        <v>+</v>
      </c>
      <c r="H248" s="4"/>
      <c r="I248" s="4" t="str">
        <f t="shared" si="282"/>
        <v>!!!</v>
      </c>
      <c r="J248" s="4" t="e">
        <f t="shared" si="283"/>
        <v>#VALUE!</v>
      </c>
      <c r="K248" s="4" t="e">
        <f t="shared" si="284"/>
        <v>#VALUE!</v>
      </c>
      <c r="L248" s="4" t="e">
        <f t="shared" si="285"/>
        <v>#VALUE!</v>
      </c>
      <c r="M248" s="4">
        <f t="shared" si="260"/>
        <v>1000</v>
      </c>
      <c r="N248" s="4">
        <f t="shared" ref="N248:O248" si="326">MIN(IFERROR(FIND(" ",$C248,M248+1),1000))</f>
        <v>1000</v>
      </c>
      <c r="O248" s="4">
        <f t="shared" si="326"/>
        <v>1000</v>
      </c>
      <c r="P248" s="4">
        <f t="shared" si="262"/>
        <v>0</v>
      </c>
      <c r="Q248" s="4" t="str">
        <f t="shared" si="291"/>
        <v/>
      </c>
      <c r="R248" s="4" t="str">
        <f t="shared" si="307"/>
        <v/>
      </c>
      <c r="S248" s="4" t="str">
        <f t="shared" si="297"/>
        <v/>
      </c>
      <c r="T248" s="4" t="e">
        <f t="shared" si="263"/>
        <v>#VALUE!</v>
      </c>
      <c r="U248" s="4" t="e">
        <f t="shared" si="264"/>
        <v>#VALUE!</v>
      </c>
      <c r="V248" s="4" t="b">
        <f t="shared" si="254"/>
        <v>0</v>
      </c>
      <c r="W248" s="13" t="str">
        <f t="shared" si="255"/>
        <v>Да</v>
      </c>
      <c r="X248" s="4" t="e">
        <f>(IF(COUNTIFS($G$2:G248,"+",$W$2:W248,"Да")&gt;1,"&amp; ","")&amp;D248&amp;J248&amp;E248&amp;SUBSTITUTE(L248,"""",""))</f>
        <v>#VALUE!</v>
      </c>
      <c r="Y248" s="4" t="e">
        <f t="shared" si="294"/>
        <v>#VALUE!</v>
      </c>
    </row>
    <row r="249" spans="1:25" x14ac:dyDescent="0.3">
      <c r="A249" s="11"/>
      <c r="B249" s="5" t="str">
        <f t="shared" si="257"/>
        <v/>
      </c>
      <c r="C249" s="5" t="str">
        <f t="shared" si="258"/>
        <v/>
      </c>
      <c r="D249" s="4" t="s">
        <v>10</v>
      </c>
      <c r="E249" s="4" t="s">
        <v>11</v>
      </c>
      <c r="F249" s="4" t="str">
        <f t="shared" si="281"/>
        <v>!!!</v>
      </c>
      <c r="G249" s="4" t="str">
        <f t="shared" si="259"/>
        <v>+</v>
      </c>
      <c r="H249" s="4"/>
      <c r="I249" s="4" t="str">
        <f t="shared" si="282"/>
        <v>!!!</v>
      </c>
      <c r="J249" s="4" t="e">
        <f t="shared" si="283"/>
        <v>#VALUE!</v>
      </c>
      <c r="K249" s="4" t="e">
        <f t="shared" si="284"/>
        <v>#VALUE!</v>
      </c>
      <c r="L249" s="4" t="e">
        <f t="shared" si="285"/>
        <v>#VALUE!</v>
      </c>
      <c r="M249" s="4">
        <f t="shared" si="260"/>
        <v>1000</v>
      </c>
      <c r="N249" s="4">
        <f t="shared" ref="N249:O249" si="327">MIN(IFERROR(FIND(" ",$C249,M249+1),1000))</f>
        <v>1000</v>
      </c>
      <c r="O249" s="4">
        <f t="shared" si="327"/>
        <v>1000</v>
      </c>
      <c r="P249" s="4">
        <f t="shared" si="262"/>
        <v>0</v>
      </c>
      <c r="Q249" s="4" t="str">
        <f t="shared" si="291"/>
        <v/>
      </c>
      <c r="R249" s="4" t="str">
        <f t="shared" si="307"/>
        <v/>
      </c>
      <c r="S249" s="4" t="str">
        <f t="shared" si="297"/>
        <v/>
      </c>
      <c r="T249" s="4" t="e">
        <f t="shared" si="263"/>
        <v>#VALUE!</v>
      </c>
      <c r="U249" s="4" t="e">
        <f t="shared" si="264"/>
        <v>#VALUE!</v>
      </c>
      <c r="V249" s="4" t="b">
        <f t="shared" si="254"/>
        <v>0</v>
      </c>
      <c r="W249" s="13" t="str">
        <f t="shared" si="255"/>
        <v>Да</v>
      </c>
      <c r="X249" s="4" t="e">
        <f>(IF(COUNTIFS($G$2:G249,"+",$W$2:W249,"Да")&gt;1,"&amp; ","")&amp;D249&amp;J249&amp;E249&amp;SUBSTITUTE(L249,"""",""))</f>
        <v>#VALUE!</v>
      </c>
      <c r="Y249" s="4" t="e">
        <f t="shared" si="294"/>
        <v>#VALUE!</v>
      </c>
    </row>
    <row r="250" spans="1:25" x14ac:dyDescent="0.3">
      <c r="A250" s="11"/>
      <c r="B250" s="5" t="str">
        <f t="shared" si="257"/>
        <v/>
      </c>
      <c r="C250" s="5" t="str">
        <f t="shared" si="258"/>
        <v/>
      </c>
      <c r="D250" s="4" t="s">
        <v>10</v>
      </c>
      <c r="E250" s="4" t="s">
        <v>11</v>
      </c>
      <c r="F250" s="4" t="str">
        <f t="shared" si="281"/>
        <v>!!!</v>
      </c>
      <c r="G250" s="4" t="str">
        <f t="shared" si="259"/>
        <v>+</v>
      </c>
      <c r="H250" s="4"/>
      <c r="I250" s="4" t="str">
        <f t="shared" si="282"/>
        <v>!!!</v>
      </c>
      <c r="J250" s="4" t="e">
        <f t="shared" si="283"/>
        <v>#VALUE!</v>
      </c>
      <c r="K250" s="4" t="e">
        <f t="shared" si="284"/>
        <v>#VALUE!</v>
      </c>
      <c r="L250" s="4" t="e">
        <f t="shared" si="285"/>
        <v>#VALUE!</v>
      </c>
      <c r="M250" s="4">
        <f t="shared" si="260"/>
        <v>1000</v>
      </c>
      <c r="N250" s="4">
        <f t="shared" ref="N250:O250" si="328">MIN(IFERROR(FIND(" ",$C250,M250+1),1000))</f>
        <v>1000</v>
      </c>
      <c r="O250" s="4">
        <f t="shared" si="328"/>
        <v>1000</v>
      </c>
      <c r="P250" s="4">
        <f t="shared" si="262"/>
        <v>0</v>
      </c>
      <c r="Q250" s="4" t="str">
        <f t="shared" si="291"/>
        <v/>
      </c>
      <c r="R250" s="4" t="str">
        <f t="shared" si="307"/>
        <v/>
      </c>
      <c r="S250" s="4" t="str">
        <f t="shared" si="297"/>
        <v/>
      </c>
      <c r="T250" s="4" t="e">
        <f t="shared" si="263"/>
        <v>#VALUE!</v>
      </c>
      <c r="U250" s="4" t="e">
        <f t="shared" si="264"/>
        <v>#VALUE!</v>
      </c>
      <c r="V250" s="4" t="b">
        <f t="shared" si="254"/>
        <v>0</v>
      </c>
      <c r="W250" s="13" t="str">
        <f t="shared" si="255"/>
        <v>Да</v>
      </c>
      <c r="X250" s="4" t="e">
        <f>(IF(COUNTIFS($G$2:G250,"+",$W$2:W250,"Да")&gt;1,"&amp; ","")&amp;D250&amp;J250&amp;E250&amp;SUBSTITUTE(L250,"""",""))</f>
        <v>#VALUE!</v>
      </c>
      <c r="Y250" s="4" t="e">
        <f t="shared" si="294"/>
        <v>#VALUE!</v>
      </c>
    </row>
    <row r="251" spans="1:25" x14ac:dyDescent="0.3">
      <c r="A251" s="11"/>
      <c r="B251" s="5" t="str">
        <f t="shared" si="257"/>
        <v/>
      </c>
      <c r="C251" s="5" t="str">
        <f t="shared" si="258"/>
        <v/>
      </c>
      <c r="D251" s="4" t="s">
        <v>10</v>
      </c>
      <c r="E251" s="4" t="s">
        <v>11</v>
      </c>
      <c r="F251" s="4" t="str">
        <f t="shared" si="281"/>
        <v>!!!</v>
      </c>
      <c r="G251" s="4" t="str">
        <f t="shared" si="259"/>
        <v>+</v>
      </c>
      <c r="H251" s="4"/>
      <c r="I251" s="4" t="str">
        <f t="shared" si="282"/>
        <v>!!!</v>
      </c>
      <c r="J251" s="4" t="e">
        <f t="shared" si="283"/>
        <v>#VALUE!</v>
      </c>
      <c r="K251" s="4" t="e">
        <f t="shared" si="284"/>
        <v>#VALUE!</v>
      </c>
      <c r="L251" s="4" t="e">
        <f t="shared" si="285"/>
        <v>#VALUE!</v>
      </c>
      <c r="M251" s="4">
        <f t="shared" si="260"/>
        <v>1000</v>
      </c>
      <c r="N251" s="4">
        <f t="shared" ref="N251:O251" si="329">MIN(IFERROR(FIND(" ",$C251,M251+1),1000))</f>
        <v>1000</v>
      </c>
      <c r="O251" s="4">
        <f t="shared" si="329"/>
        <v>1000</v>
      </c>
      <c r="P251" s="4">
        <f t="shared" si="262"/>
        <v>0</v>
      </c>
      <c r="Q251" s="4" t="str">
        <f t="shared" si="291"/>
        <v/>
      </c>
      <c r="R251" s="4" t="str">
        <f t="shared" si="307"/>
        <v/>
      </c>
      <c r="S251" s="4" t="str">
        <f t="shared" si="297"/>
        <v/>
      </c>
      <c r="T251" s="4" t="e">
        <f t="shared" si="263"/>
        <v>#VALUE!</v>
      </c>
      <c r="U251" s="4" t="e">
        <f t="shared" si="264"/>
        <v>#VALUE!</v>
      </c>
      <c r="V251" s="4" t="b">
        <f t="shared" si="254"/>
        <v>0</v>
      </c>
      <c r="W251" s="13" t="str">
        <f t="shared" si="255"/>
        <v>Да</v>
      </c>
      <c r="X251" s="4" t="e">
        <f>(IF(COUNTIFS($G$2:G251,"+",$W$2:W251,"Да")&gt;1,"&amp; ","")&amp;D251&amp;J251&amp;E251&amp;SUBSTITUTE(L251,"""",""))</f>
        <v>#VALUE!</v>
      </c>
      <c r="Y251" s="4" t="e">
        <f t="shared" si="294"/>
        <v>#VALUE!</v>
      </c>
    </row>
    <row r="252" spans="1:25" x14ac:dyDescent="0.3">
      <c r="A252" s="11"/>
      <c r="B252" s="5" t="str">
        <f t="shared" si="257"/>
        <v/>
      </c>
      <c r="C252" s="5" t="str">
        <f t="shared" si="258"/>
        <v/>
      </c>
      <c r="D252" s="4" t="s">
        <v>10</v>
      </c>
      <c r="E252" s="4" t="s">
        <v>11</v>
      </c>
      <c r="F252" s="4" t="str">
        <f t="shared" si="281"/>
        <v>!!!</v>
      </c>
      <c r="G252" s="4" t="str">
        <f t="shared" si="259"/>
        <v>+</v>
      </c>
      <c r="H252" s="4"/>
      <c r="I252" s="4" t="str">
        <f t="shared" si="282"/>
        <v>!!!</v>
      </c>
      <c r="J252" s="4" t="e">
        <f t="shared" si="283"/>
        <v>#VALUE!</v>
      </c>
      <c r="K252" s="4" t="e">
        <f t="shared" si="284"/>
        <v>#VALUE!</v>
      </c>
      <c r="L252" s="4" t="e">
        <f t="shared" si="285"/>
        <v>#VALUE!</v>
      </c>
      <c r="M252" s="4">
        <f t="shared" si="260"/>
        <v>1000</v>
      </c>
      <c r="N252" s="4">
        <f t="shared" ref="N252:O252" si="330">MIN(IFERROR(FIND(" ",$C252,M252+1),1000))</f>
        <v>1000</v>
      </c>
      <c r="O252" s="4">
        <f t="shared" si="330"/>
        <v>1000</v>
      </c>
      <c r="P252" s="4">
        <f t="shared" si="262"/>
        <v>0</v>
      </c>
      <c r="Q252" s="4" t="str">
        <f t="shared" si="291"/>
        <v/>
      </c>
      <c r="R252" s="4" t="str">
        <f t="shared" si="307"/>
        <v/>
      </c>
      <c r="S252" s="4" t="str">
        <f t="shared" si="297"/>
        <v/>
      </c>
      <c r="T252" s="4" t="e">
        <f t="shared" si="263"/>
        <v>#VALUE!</v>
      </c>
      <c r="U252" s="4" t="e">
        <f t="shared" si="264"/>
        <v>#VALUE!</v>
      </c>
      <c r="V252" s="4" t="b">
        <f t="shared" si="254"/>
        <v>0</v>
      </c>
      <c r="W252" s="13" t="str">
        <f t="shared" si="255"/>
        <v>Да</v>
      </c>
      <c r="X252" s="4" t="e">
        <f>(IF(COUNTIFS($G$2:G252,"+",$W$2:W252,"Да")&gt;1,"&amp; ","")&amp;D252&amp;J252&amp;E252&amp;SUBSTITUTE(L252,"""",""))</f>
        <v>#VALUE!</v>
      </c>
      <c r="Y252" s="4" t="e">
        <f t="shared" si="294"/>
        <v>#VALUE!</v>
      </c>
    </row>
    <row r="253" spans="1:25" x14ac:dyDescent="0.3">
      <c r="A253" s="11"/>
      <c r="B253" s="5" t="str">
        <f t="shared" si="257"/>
        <v/>
      </c>
      <c r="C253" s="5" t="str">
        <f t="shared" si="258"/>
        <v/>
      </c>
      <c r="D253" s="4" t="s">
        <v>10</v>
      </c>
      <c r="E253" s="4" t="s">
        <v>11</v>
      </c>
      <c r="F253" s="4" t="str">
        <f t="shared" si="281"/>
        <v>!!!</v>
      </c>
      <c r="G253" s="4" t="str">
        <f t="shared" si="259"/>
        <v>+</v>
      </c>
      <c r="H253" s="4"/>
      <c r="I253" s="4" t="str">
        <f t="shared" si="282"/>
        <v>!!!</v>
      </c>
      <c r="J253" s="4" t="e">
        <f t="shared" si="283"/>
        <v>#VALUE!</v>
      </c>
      <c r="K253" s="4" t="e">
        <f t="shared" si="284"/>
        <v>#VALUE!</v>
      </c>
      <c r="L253" s="4" t="e">
        <f t="shared" si="285"/>
        <v>#VALUE!</v>
      </c>
      <c r="M253" s="4">
        <f t="shared" si="260"/>
        <v>1000</v>
      </c>
      <c r="N253" s="4">
        <f t="shared" ref="N253:O253" si="331">MIN(IFERROR(FIND(" ",$C253,M253+1),1000))</f>
        <v>1000</v>
      </c>
      <c r="O253" s="4">
        <f t="shared" si="331"/>
        <v>1000</v>
      </c>
      <c r="P253" s="4">
        <f t="shared" si="262"/>
        <v>0</v>
      </c>
      <c r="Q253" s="4" t="str">
        <f t="shared" si="291"/>
        <v/>
      </c>
      <c r="R253" s="4" t="str">
        <f t="shared" si="307"/>
        <v/>
      </c>
      <c r="S253" s="4" t="str">
        <f t="shared" si="297"/>
        <v/>
      </c>
      <c r="T253" s="4" t="e">
        <f t="shared" si="263"/>
        <v>#VALUE!</v>
      </c>
      <c r="U253" s="4" t="e">
        <f t="shared" si="264"/>
        <v>#VALUE!</v>
      </c>
      <c r="V253" s="4" t="b">
        <f t="shared" si="254"/>
        <v>0</v>
      </c>
      <c r="W253" s="13" t="str">
        <f t="shared" si="255"/>
        <v>Да</v>
      </c>
      <c r="X253" s="4" t="e">
        <f>(IF(COUNTIFS($G$2:G253,"+",$W$2:W253,"Да")&gt;1,"&amp; ","")&amp;D253&amp;J253&amp;E253&amp;SUBSTITUTE(L253,"""",""))</f>
        <v>#VALUE!</v>
      </c>
      <c r="Y253" s="4" t="e">
        <f t="shared" si="294"/>
        <v>#VALUE!</v>
      </c>
    </row>
    <row r="254" spans="1:25" x14ac:dyDescent="0.3">
      <c r="A254" s="11"/>
      <c r="B254" s="5" t="str">
        <f t="shared" si="257"/>
        <v/>
      </c>
      <c r="C254" s="5" t="str">
        <f t="shared" si="258"/>
        <v/>
      </c>
      <c r="D254" s="4" t="s">
        <v>10</v>
      </c>
      <c r="E254" s="4" t="s">
        <v>11</v>
      </c>
      <c r="F254" s="4" t="str">
        <f t="shared" si="281"/>
        <v>!!!</v>
      </c>
      <c r="G254" s="4" t="str">
        <f t="shared" si="259"/>
        <v>+</v>
      </c>
      <c r="H254" s="4"/>
      <c r="I254" s="4" t="str">
        <f t="shared" si="282"/>
        <v>!!!</v>
      </c>
      <c r="J254" s="4" t="e">
        <f t="shared" si="283"/>
        <v>#VALUE!</v>
      </c>
      <c r="K254" s="4" t="e">
        <f t="shared" si="284"/>
        <v>#VALUE!</v>
      </c>
      <c r="L254" s="4" t="e">
        <f t="shared" si="285"/>
        <v>#VALUE!</v>
      </c>
      <c r="M254" s="4">
        <f t="shared" si="260"/>
        <v>1000</v>
      </c>
      <c r="N254" s="4">
        <f t="shared" ref="N254:O254" si="332">MIN(IFERROR(FIND(" ",$C254,M254+1),1000))</f>
        <v>1000</v>
      </c>
      <c r="O254" s="4">
        <f t="shared" si="332"/>
        <v>1000</v>
      </c>
      <c r="P254" s="4">
        <f t="shared" si="262"/>
        <v>0</v>
      </c>
      <c r="Q254" s="4" t="str">
        <f t="shared" si="291"/>
        <v/>
      </c>
      <c r="R254" s="4" t="str">
        <f t="shared" si="307"/>
        <v/>
      </c>
      <c r="S254" s="4" t="str">
        <f t="shared" si="297"/>
        <v/>
      </c>
      <c r="T254" s="4" t="e">
        <f t="shared" si="263"/>
        <v>#VALUE!</v>
      </c>
      <c r="U254" s="4" t="e">
        <f t="shared" si="264"/>
        <v>#VALUE!</v>
      </c>
      <c r="V254" s="4" t="b">
        <f t="shared" si="254"/>
        <v>0</v>
      </c>
      <c r="W254" s="13" t="str">
        <f t="shared" si="255"/>
        <v>Да</v>
      </c>
      <c r="X254" s="4" t="e">
        <f>(IF(COUNTIFS($G$2:G254,"+",$W$2:W254,"Да")&gt;1,"&amp; ","")&amp;D254&amp;J254&amp;E254&amp;SUBSTITUTE(L254,"""",""))</f>
        <v>#VALUE!</v>
      </c>
      <c r="Y254" s="4" t="e">
        <f t="shared" si="294"/>
        <v>#VALUE!</v>
      </c>
    </row>
    <row r="255" spans="1:25" x14ac:dyDescent="0.3">
      <c r="A255" s="11"/>
      <c r="B255" s="5" t="str">
        <f t="shared" si="257"/>
        <v/>
      </c>
      <c r="C255" s="5" t="str">
        <f t="shared" si="258"/>
        <v/>
      </c>
      <c r="D255" s="4" t="s">
        <v>10</v>
      </c>
      <c r="E255" s="4" t="s">
        <v>11</v>
      </c>
      <c r="F255" s="4" t="str">
        <f t="shared" si="281"/>
        <v>!!!</v>
      </c>
      <c r="G255" s="4" t="str">
        <f t="shared" si="259"/>
        <v>+</v>
      </c>
      <c r="H255" s="4"/>
      <c r="I255" s="4" t="str">
        <f t="shared" si="282"/>
        <v>!!!</v>
      </c>
      <c r="J255" s="4" t="e">
        <f t="shared" si="283"/>
        <v>#VALUE!</v>
      </c>
      <c r="K255" s="4" t="e">
        <f t="shared" si="284"/>
        <v>#VALUE!</v>
      </c>
      <c r="L255" s="4" t="e">
        <f t="shared" si="285"/>
        <v>#VALUE!</v>
      </c>
      <c r="M255" s="4">
        <f t="shared" si="260"/>
        <v>1000</v>
      </c>
      <c r="N255" s="4">
        <f t="shared" ref="N255:O255" si="333">MIN(IFERROR(FIND(" ",$C255,M255+1),1000))</f>
        <v>1000</v>
      </c>
      <c r="O255" s="4">
        <f t="shared" si="333"/>
        <v>1000</v>
      </c>
      <c r="P255" s="4">
        <f t="shared" si="262"/>
        <v>0</v>
      </c>
      <c r="Q255" s="4" t="str">
        <f t="shared" si="291"/>
        <v/>
      </c>
      <c r="R255" s="4" t="str">
        <f t="shared" si="307"/>
        <v/>
      </c>
      <c r="S255" s="4" t="str">
        <f t="shared" si="297"/>
        <v/>
      </c>
      <c r="T255" s="4" t="e">
        <f t="shared" si="263"/>
        <v>#VALUE!</v>
      </c>
      <c r="U255" s="4" t="e">
        <f t="shared" si="264"/>
        <v>#VALUE!</v>
      </c>
      <c r="V255" s="4" t="b">
        <f t="shared" si="254"/>
        <v>0</v>
      </c>
      <c r="W255" s="13" t="str">
        <f t="shared" si="255"/>
        <v>Да</v>
      </c>
      <c r="X255" s="4" t="e">
        <f>(IF(COUNTIFS($G$2:G255,"+",$W$2:W255,"Да")&gt;1,"&amp; ","")&amp;D255&amp;J255&amp;E255&amp;SUBSTITUTE(L255,"""",""))</f>
        <v>#VALUE!</v>
      </c>
      <c r="Y255" s="4" t="e">
        <f t="shared" si="294"/>
        <v>#VALUE!</v>
      </c>
    </row>
    <row r="256" spans="1:25" x14ac:dyDescent="0.3">
      <c r="A256" s="11"/>
      <c r="B256" s="5" t="str">
        <f t="shared" si="257"/>
        <v/>
      </c>
      <c r="C256" s="5" t="str">
        <f t="shared" si="258"/>
        <v/>
      </c>
      <c r="D256" s="4" t="s">
        <v>10</v>
      </c>
      <c r="E256" s="4" t="s">
        <v>11</v>
      </c>
      <c r="F256" s="4" t="str">
        <f t="shared" si="281"/>
        <v>!!!</v>
      </c>
      <c r="G256" s="4" t="str">
        <f t="shared" si="259"/>
        <v>+</v>
      </c>
      <c r="H256" s="4"/>
      <c r="I256" s="4" t="str">
        <f t="shared" si="282"/>
        <v>!!!</v>
      </c>
      <c r="J256" s="4" t="e">
        <f t="shared" si="283"/>
        <v>#VALUE!</v>
      </c>
      <c r="K256" s="4" t="e">
        <f t="shared" si="284"/>
        <v>#VALUE!</v>
      </c>
      <c r="L256" s="4" t="e">
        <f t="shared" si="285"/>
        <v>#VALUE!</v>
      </c>
      <c r="M256" s="4">
        <f t="shared" si="260"/>
        <v>1000</v>
      </c>
      <c r="N256" s="4">
        <f t="shared" ref="N256:O256" si="334">MIN(IFERROR(FIND(" ",$C256,M256+1),1000))</f>
        <v>1000</v>
      </c>
      <c r="O256" s="4">
        <f t="shared" si="334"/>
        <v>1000</v>
      </c>
      <c r="P256" s="4">
        <f t="shared" si="262"/>
        <v>0</v>
      </c>
      <c r="Q256" s="4" t="str">
        <f t="shared" si="291"/>
        <v/>
      </c>
      <c r="R256" s="4" t="str">
        <f t="shared" si="307"/>
        <v/>
      </c>
      <c r="S256" s="4" t="str">
        <f t="shared" si="297"/>
        <v/>
      </c>
      <c r="T256" s="4" t="e">
        <f t="shared" si="263"/>
        <v>#VALUE!</v>
      </c>
      <c r="U256" s="4" t="e">
        <f t="shared" si="264"/>
        <v>#VALUE!</v>
      </c>
      <c r="V256" s="4" t="b">
        <f t="shared" si="254"/>
        <v>0</v>
      </c>
      <c r="W256" s="13" t="str">
        <f t="shared" si="255"/>
        <v>Да</v>
      </c>
      <c r="X256" s="4" t="e">
        <f>(IF(COUNTIFS($G$2:G256,"+",$W$2:W256,"Да")&gt;1,"&amp; ","")&amp;D256&amp;J256&amp;E256&amp;SUBSTITUTE(L256,"""",""))</f>
        <v>#VALUE!</v>
      </c>
      <c r="Y256" s="4" t="e">
        <f t="shared" si="294"/>
        <v>#VALUE!</v>
      </c>
    </row>
    <row r="257" spans="1:25" x14ac:dyDescent="0.3">
      <c r="A257" s="11"/>
      <c r="B257" s="5" t="str">
        <f t="shared" si="257"/>
        <v/>
      </c>
      <c r="C257" s="5" t="str">
        <f t="shared" si="258"/>
        <v/>
      </c>
      <c r="D257" s="4" t="s">
        <v>10</v>
      </c>
      <c r="E257" s="4" t="s">
        <v>11</v>
      </c>
      <c r="F257" s="4" t="str">
        <f t="shared" si="281"/>
        <v>!!!</v>
      </c>
      <c r="G257" s="4" t="str">
        <f t="shared" si="259"/>
        <v>+</v>
      </c>
      <c r="H257" s="4"/>
      <c r="I257" s="4" t="str">
        <f t="shared" si="282"/>
        <v>!!!</v>
      </c>
      <c r="J257" s="4" t="e">
        <f t="shared" si="283"/>
        <v>#VALUE!</v>
      </c>
      <c r="K257" s="4" t="e">
        <f t="shared" si="284"/>
        <v>#VALUE!</v>
      </c>
      <c r="L257" s="4" t="e">
        <f t="shared" si="285"/>
        <v>#VALUE!</v>
      </c>
      <c r="M257" s="4">
        <f t="shared" si="260"/>
        <v>1000</v>
      </c>
      <c r="N257" s="4">
        <f t="shared" ref="N257:O257" si="335">MIN(IFERROR(FIND(" ",$C257,M257+1),1000))</f>
        <v>1000</v>
      </c>
      <c r="O257" s="4">
        <f t="shared" si="335"/>
        <v>1000</v>
      </c>
      <c r="P257" s="4">
        <f t="shared" si="262"/>
        <v>0</v>
      </c>
      <c r="Q257" s="4" t="str">
        <f t="shared" si="291"/>
        <v/>
      </c>
      <c r="R257" s="4" t="str">
        <f t="shared" si="307"/>
        <v/>
      </c>
      <c r="S257" s="4" t="str">
        <f t="shared" si="297"/>
        <v/>
      </c>
      <c r="T257" s="4" t="e">
        <f t="shared" si="263"/>
        <v>#VALUE!</v>
      </c>
      <c r="U257" s="4" t="e">
        <f t="shared" si="264"/>
        <v>#VALUE!</v>
      </c>
      <c r="V257" s="4" t="b">
        <f t="shared" si="254"/>
        <v>0</v>
      </c>
      <c r="W257" s="13" t="str">
        <f t="shared" si="255"/>
        <v>Да</v>
      </c>
      <c r="X257" s="4" t="e">
        <f>(IF(COUNTIFS($G$2:G257,"+",$W$2:W257,"Да")&gt;1,"&amp; ","")&amp;D257&amp;J257&amp;E257&amp;SUBSTITUTE(L257,"""",""))</f>
        <v>#VALUE!</v>
      </c>
      <c r="Y257" s="4" t="e">
        <f t="shared" si="294"/>
        <v>#VALUE!</v>
      </c>
    </row>
    <row r="258" spans="1:25" x14ac:dyDescent="0.3">
      <c r="A258" s="11"/>
      <c r="B258" s="5" t="str">
        <f t="shared" si="257"/>
        <v/>
      </c>
      <c r="C258" s="5" t="str">
        <f t="shared" si="258"/>
        <v/>
      </c>
      <c r="D258" s="4" t="s">
        <v>10</v>
      </c>
      <c r="E258" s="4" t="s">
        <v>11</v>
      </c>
      <c r="F258" s="4" t="str">
        <f t="shared" si="281"/>
        <v>!!!</v>
      </c>
      <c r="G258" s="4" t="str">
        <f t="shared" si="259"/>
        <v>+</v>
      </c>
      <c r="H258" s="4"/>
      <c r="I258" s="4" t="str">
        <f t="shared" si="282"/>
        <v>!!!</v>
      </c>
      <c r="J258" s="4" t="e">
        <f t="shared" si="283"/>
        <v>#VALUE!</v>
      </c>
      <c r="K258" s="4" t="e">
        <f t="shared" si="284"/>
        <v>#VALUE!</v>
      </c>
      <c r="L258" s="4" t="e">
        <f t="shared" si="285"/>
        <v>#VALUE!</v>
      </c>
      <c r="M258" s="4">
        <f t="shared" si="260"/>
        <v>1000</v>
      </c>
      <c r="N258" s="4">
        <f t="shared" ref="N258:O258" si="336">MIN(IFERROR(FIND(" ",$C258,M258+1),1000))</f>
        <v>1000</v>
      </c>
      <c r="O258" s="4">
        <f t="shared" si="336"/>
        <v>1000</v>
      </c>
      <c r="P258" s="4">
        <f t="shared" si="262"/>
        <v>0</v>
      </c>
      <c r="Q258" s="4" t="str">
        <f t="shared" si="291"/>
        <v/>
      </c>
      <c r="R258" s="4" t="str">
        <f t="shared" si="307"/>
        <v/>
      </c>
      <c r="S258" s="4" t="str">
        <f t="shared" si="297"/>
        <v/>
      </c>
      <c r="T258" s="4" t="e">
        <f t="shared" si="263"/>
        <v>#VALUE!</v>
      </c>
      <c r="U258" s="4" t="e">
        <f t="shared" si="264"/>
        <v>#VALUE!</v>
      </c>
      <c r="V258" s="4" t="b">
        <f t="shared" ref="V258:V321" si="337">OR(IFERROR(MATCH(U258,Q:Q,0),0)&lt;&gt;0,IFERROR(MATCH(U258,R:R,0),0)&lt;&gt;0)</f>
        <v>0</v>
      </c>
      <c r="W258" s="13" t="str">
        <f t="shared" ref="W258:W321" si="338">IF(A258="","Да",IF(OR(F258="!!!",NOT(V258)),"Нет","Да"))</f>
        <v>Да</v>
      </c>
      <c r="X258" s="4" t="e">
        <f>(IF(COUNTIFS($G$2:G258,"+",$W$2:W258,"Да")&gt;1,"&amp; ","")&amp;D258&amp;J258&amp;E258&amp;SUBSTITUTE(L258,"""",""))</f>
        <v>#VALUE!</v>
      </c>
      <c r="Y258" s="4" t="e">
        <f t="shared" si="294"/>
        <v>#VALUE!</v>
      </c>
    </row>
    <row r="259" spans="1:25" x14ac:dyDescent="0.3">
      <c r="A259" s="11"/>
      <c r="B259" s="5" t="str">
        <f t="shared" ref="B259:B322" si="339">TRIM(LEFT(A259,IFERROR(FIND("'",A259)-1,1000)))</f>
        <v/>
      </c>
      <c r="C259" s="5" t="str">
        <f t="shared" ref="C259:C322" si="340">SUBSTITUTE(SUBSTITUTE(SUBSTITUTE(SUBSTITUTE(TRIM(LEFT(A259,IFERROR(FIND("'",A259)-1,1000))),"&lt;&lt;","&lt;"),"--","-"),"&gt;&gt;","&gt;"),"&amp;","")</f>
        <v/>
      </c>
      <c r="D259" s="4" t="s">
        <v>10</v>
      </c>
      <c r="E259" s="4" t="s">
        <v>11</v>
      </c>
      <c r="F259" s="4" t="str">
        <f t="shared" si="281"/>
        <v>!!!</v>
      </c>
      <c r="G259" s="4" t="str">
        <f t="shared" ref="G259:G322" si="341">IF(AND($A$2="",$A$3="",$A$4="",$A$5=""),"+",IF(F259="!!!","X","+"))</f>
        <v>+</v>
      </c>
      <c r="H259" s="4"/>
      <c r="I259" s="4" t="str">
        <f t="shared" si="282"/>
        <v>!!!</v>
      </c>
      <c r="J259" s="4" t="e">
        <f t="shared" si="283"/>
        <v>#VALUE!</v>
      </c>
      <c r="K259" s="4" t="e">
        <f t="shared" si="284"/>
        <v>#VALUE!</v>
      </c>
      <c r="L259" s="4" t="e">
        <f t="shared" si="285"/>
        <v>#VALUE!</v>
      </c>
      <c r="M259" s="4">
        <f t="shared" ref="M259:M322" si="342">MIN(IFERROR(FIND(" ",$C259),1000))</f>
        <v>1000</v>
      </c>
      <c r="N259" s="4">
        <f t="shared" ref="N259:O259" si="343">MIN(IFERROR(FIND(" ",$C259,M259+1),1000))</f>
        <v>1000</v>
      </c>
      <c r="O259" s="4">
        <f t="shared" si="343"/>
        <v>1000</v>
      </c>
      <c r="P259" s="4">
        <f t="shared" ref="P259:P322" si="344">MIN(IFERROR(FIND(" ",C259,O259+1),0),IFERROR(FIND("&lt;",C259,O259+1),0),IFERROR(FIND(":",C259,O259+1),0))</f>
        <v>0</v>
      </c>
      <c r="Q259" s="4" t="str">
        <f t="shared" si="291"/>
        <v/>
      </c>
      <c r="R259" s="4" t="str">
        <f t="shared" si="307"/>
        <v/>
      </c>
      <c r="S259" s="4" t="str">
        <f t="shared" si="297"/>
        <v/>
      </c>
      <c r="T259" s="4" t="e">
        <f t="shared" ref="T259:T322" si="345">FIND(" ",C259,FIND("as",C259))+1</f>
        <v>#VALUE!</v>
      </c>
      <c r="U259" s="4" t="e">
        <f t="shared" ref="U259:U322" si="346">MID(C259,T259,MIN(FIND(" ",C259,T259),FIND("&lt;",C259,T259))-T259)</f>
        <v>#VALUE!</v>
      </c>
      <c r="V259" s="4" t="b">
        <f t="shared" si="337"/>
        <v>0</v>
      </c>
      <c r="W259" s="13" t="str">
        <f t="shared" si="338"/>
        <v>Да</v>
      </c>
      <c r="X259" s="4" t="e">
        <f>(IF(COUNTIFS($G$2:G259,"+",$W$2:W259,"Да")&gt;1,"&amp; ","")&amp;D259&amp;J259&amp;E259&amp;SUBSTITUTE(L259,"""",""))</f>
        <v>#VALUE!</v>
      </c>
      <c r="Y259" s="4" t="e">
        <f t="shared" si="294"/>
        <v>#VALUE!</v>
      </c>
    </row>
    <row r="260" spans="1:25" x14ac:dyDescent="0.3">
      <c r="A260" s="11"/>
      <c r="B260" s="5" t="str">
        <f t="shared" si="339"/>
        <v/>
      </c>
      <c r="C260" s="5" t="str">
        <f t="shared" si="340"/>
        <v/>
      </c>
      <c r="D260" s="4" t="s">
        <v>10</v>
      </c>
      <c r="E260" s="4" t="s">
        <v>11</v>
      </c>
      <c r="F260" s="4" t="str">
        <f t="shared" si="281"/>
        <v>!!!</v>
      </c>
      <c r="G260" s="4" t="str">
        <f t="shared" si="341"/>
        <v>+</v>
      </c>
      <c r="H260" s="4"/>
      <c r="I260" s="4" t="str">
        <f t="shared" si="282"/>
        <v>!!!</v>
      </c>
      <c r="J260" s="4" t="e">
        <f t="shared" si="283"/>
        <v>#VALUE!</v>
      </c>
      <c r="K260" s="4" t="e">
        <f t="shared" si="284"/>
        <v>#VALUE!</v>
      </c>
      <c r="L260" s="4" t="e">
        <f t="shared" si="285"/>
        <v>#VALUE!</v>
      </c>
      <c r="M260" s="4">
        <f t="shared" si="342"/>
        <v>1000</v>
      </c>
      <c r="N260" s="4">
        <f t="shared" ref="N260:O260" si="347">MIN(IFERROR(FIND(" ",$C260,M260+1),1000))</f>
        <v>1000</v>
      </c>
      <c r="O260" s="4">
        <f t="shared" si="347"/>
        <v>1000</v>
      </c>
      <c r="P260" s="4">
        <f t="shared" si="344"/>
        <v>0</v>
      </c>
      <c r="Q260" s="4" t="str">
        <f t="shared" si="291"/>
        <v/>
      </c>
      <c r="R260" s="4" t="str">
        <f t="shared" si="307"/>
        <v/>
      </c>
      <c r="S260" s="4" t="str">
        <f t="shared" si="297"/>
        <v/>
      </c>
      <c r="T260" s="4" t="e">
        <f t="shared" si="345"/>
        <v>#VALUE!</v>
      </c>
      <c r="U260" s="4" t="e">
        <f t="shared" si="346"/>
        <v>#VALUE!</v>
      </c>
      <c r="V260" s="4" t="b">
        <f t="shared" si="337"/>
        <v>0</v>
      </c>
      <c r="W260" s="13" t="str">
        <f t="shared" si="338"/>
        <v>Да</v>
      </c>
      <c r="X260" s="4" t="e">
        <f>(IF(COUNTIFS($G$2:G260,"+",$W$2:W260,"Да")&gt;1,"&amp; ","")&amp;D260&amp;J260&amp;E260&amp;SUBSTITUTE(L260,"""",""))</f>
        <v>#VALUE!</v>
      </c>
      <c r="Y260" s="4" t="e">
        <f t="shared" si="294"/>
        <v>#VALUE!</v>
      </c>
    </row>
    <row r="261" spans="1:25" x14ac:dyDescent="0.3">
      <c r="A261" s="11"/>
      <c r="B261" s="5" t="str">
        <f t="shared" si="339"/>
        <v/>
      </c>
      <c r="C261" s="5" t="str">
        <f t="shared" si="340"/>
        <v/>
      </c>
      <c r="D261" s="4" t="s">
        <v>10</v>
      </c>
      <c r="E261" s="4" t="s">
        <v>11</v>
      </c>
      <c r="F261" s="4" t="str">
        <f t="shared" si="281"/>
        <v>!!!</v>
      </c>
      <c r="G261" s="4" t="str">
        <f t="shared" si="341"/>
        <v>+</v>
      </c>
      <c r="H261" s="4"/>
      <c r="I261" s="4" t="str">
        <f t="shared" si="282"/>
        <v>!!!</v>
      </c>
      <c r="J261" s="4" t="e">
        <f t="shared" si="283"/>
        <v>#VALUE!</v>
      </c>
      <c r="K261" s="4" t="e">
        <f t="shared" si="284"/>
        <v>#VALUE!</v>
      </c>
      <c r="L261" s="4" t="e">
        <f t="shared" si="285"/>
        <v>#VALUE!</v>
      </c>
      <c r="M261" s="4">
        <f t="shared" si="342"/>
        <v>1000</v>
      </c>
      <c r="N261" s="4">
        <f t="shared" ref="N261:O261" si="348">MIN(IFERROR(FIND(" ",$C261,M261+1),1000))</f>
        <v>1000</v>
      </c>
      <c r="O261" s="4">
        <f t="shared" si="348"/>
        <v>1000</v>
      </c>
      <c r="P261" s="4">
        <f t="shared" si="344"/>
        <v>0</v>
      </c>
      <c r="Q261" s="4" t="str">
        <f t="shared" si="291"/>
        <v/>
      </c>
      <c r="R261" s="4" t="str">
        <f t="shared" si="307"/>
        <v/>
      </c>
      <c r="S261" s="4" t="str">
        <f t="shared" si="297"/>
        <v/>
      </c>
      <c r="T261" s="4" t="e">
        <f t="shared" si="345"/>
        <v>#VALUE!</v>
      </c>
      <c r="U261" s="4" t="e">
        <f t="shared" si="346"/>
        <v>#VALUE!</v>
      </c>
      <c r="V261" s="4" t="b">
        <f t="shared" si="337"/>
        <v>0</v>
      </c>
      <c r="W261" s="13" t="str">
        <f t="shared" si="338"/>
        <v>Да</v>
      </c>
      <c r="X261" s="4" t="e">
        <f>(IF(COUNTIFS($G$2:G261,"+",$W$2:W261,"Да")&gt;1,"&amp; ","")&amp;D261&amp;J261&amp;E261&amp;SUBSTITUTE(L261,"""",""))</f>
        <v>#VALUE!</v>
      </c>
      <c r="Y261" s="4" t="e">
        <f t="shared" si="294"/>
        <v>#VALUE!</v>
      </c>
    </row>
    <row r="262" spans="1:25" x14ac:dyDescent="0.3">
      <c r="A262" s="11"/>
      <c r="B262" s="5" t="str">
        <f t="shared" si="339"/>
        <v/>
      </c>
      <c r="C262" s="5" t="str">
        <f t="shared" si="340"/>
        <v/>
      </c>
      <c r="D262" s="4" t="s">
        <v>10</v>
      </c>
      <c r="E262" s="4" t="s">
        <v>11</v>
      </c>
      <c r="F262" s="4" t="str">
        <f t="shared" si="281"/>
        <v>!!!</v>
      </c>
      <c r="G262" s="4" t="str">
        <f t="shared" si="341"/>
        <v>+</v>
      </c>
      <c r="H262" s="4"/>
      <c r="I262" s="4" t="str">
        <f t="shared" si="282"/>
        <v>!!!</v>
      </c>
      <c r="J262" s="4" t="e">
        <f t="shared" si="283"/>
        <v>#VALUE!</v>
      </c>
      <c r="K262" s="4" t="e">
        <f t="shared" si="284"/>
        <v>#VALUE!</v>
      </c>
      <c r="L262" s="4" t="e">
        <f t="shared" si="285"/>
        <v>#VALUE!</v>
      </c>
      <c r="M262" s="4">
        <f t="shared" si="342"/>
        <v>1000</v>
      </c>
      <c r="N262" s="4">
        <f t="shared" ref="N262:O262" si="349">MIN(IFERROR(FIND(" ",$C262,M262+1),1000))</f>
        <v>1000</v>
      </c>
      <c r="O262" s="4">
        <f t="shared" si="349"/>
        <v>1000</v>
      </c>
      <c r="P262" s="4">
        <f t="shared" si="344"/>
        <v>0</v>
      </c>
      <c r="Q262" s="4" t="str">
        <f t="shared" si="291"/>
        <v/>
      </c>
      <c r="R262" s="4" t="str">
        <f t="shared" si="307"/>
        <v/>
      </c>
      <c r="S262" s="4" t="str">
        <f t="shared" si="297"/>
        <v/>
      </c>
      <c r="T262" s="4" t="e">
        <f t="shared" si="345"/>
        <v>#VALUE!</v>
      </c>
      <c r="U262" s="4" t="e">
        <f t="shared" si="346"/>
        <v>#VALUE!</v>
      </c>
      <c r="V262" s="4" t="b">
        <f t="shared" si="337"/>
        <v>0</v>
      </c>
      <c r="W262" s="13" t="str">
        <f t="shared" si="338"/>
        <v>Да</v>
      </c>
      <c r="X262" s="4" t="e">
        <f>(IF(COUNTIFS($G$2:G262,"+",$W$2:W262,"Да")&gt;1,"&amp; ","")&amp;D262&amp;J262&amp;E262&amp;SUBSTITUTE(L262,"""",""))</f>
        <v>#VALUE!</v>
      </c>
      <c r="Y262" s="4" t="e">
        <f t="shared" si="294"/>
        <v>#VALUE!</v>
      </c>
    </row>
    <row r="263" spans="1:25" x14ac:dyDescent="0.3">
      <c r="A263" s="11"/>
      <c r="B263" s="5" t="str">
        <f t="shared" si="339"/>
        <v/>
      </c>
      <c r="C263" s="5" t="str">
        <f t="shared" si="340"/>
        <v/>
      </c>
      <c r="D263" s="4" t="s">
        <v>10</v>
      </c>
      <c r="E263" s="4" t="s">
        <v>11</v>
      </c>
      <c r="F263" s="4" t="str">
        <f t="shared" si="281"/>
        <v>!!!</v>
      </c>
      <c r="G263" s="4" t="str">
        <f t="shared" si="341"/>
        <v>+</v>
      </c>
      <c r="H263" s="4"/>
      <c r="I263" s="4" t="str">
        <f t="shared" si="282"/>
        <v>!!!</v>
      </c>
      <c r="J263" s="4" t="e">
        <f t="shared" si="283"/>
        <v>#VALUE!</v>
      </c>
      <c r="K263" s="4" t="e">
        <f t="shared" si="284"/>
        <v>#VALUE!</v>
      </c>
      <c r="L263" s="4" t="e">
        <f t="shared" si="285"/>
        <v>#VALUE!</v>
      </c>
      <c r="M263" s="4">
        <f t="shared" si="342"/>
        <v>1000</v>
      </c>
      <c r="N263" s="4">
        <f t="shared" ref="N263:O263" si="350">MIN(IFERROR(FIND(" ",$C263,M263+1),1000))</f>
        <v>1000</v>
      </c>
      <c r="O263" s="4">
        <f t="shared" si="350"/>
        <v>1000</v>
      </c>
      <c r="P263" s="4">
        <f t="shared" si="344"/>
        <v>0</v>
      </c>
      <c r="Q263" s="4" t="str">
        <f t="shared" si="291"/>
        <v/>
      </c>
      <c r="R263" s="4" t="str">
        <f t="shared" si="307"/>
        <v/>
      </c>
      <c r="S263" s="4" t="str">
        <f t="shared" si="297"/>
        <v/>
      </c>
      <c r="T263" s="4" t="e">
        <f t="shared" si="345"/>
        <v>#VALUE!</v>
      </c>
      <c r="U263" s="4" t="e">
        <f t="shared" si="346"/>
        <v>#VALUE!</v>
      </c>
      <c r="V263" s="4" t="b">
        <f t="shared" si="337"/>
        <v>0</v>
      </c>
      <c r="W263" s="13" t="str">
        <f t="shared" si="338"/>
        <v>Да</v>
      </c>
      <c r="X263" s="4" t="e">
        <f>(IF(COUNTIFS($G$2:G263,"+",$W$2:W263,"Да")&gt;1,"&amp; ","")&amp;D263&amp;J263&amp;E263&amp;SUBSTITUTE(L263,"""",""))</f>
        <v>#VALUE!</v>
      </c>
      <c r="Y263" s="4" t="e">
        <f t="shared" si="294"/>
        <v>#VALUE!</v>
      </c>
    </row>
    <row r="264" spans="1:25" x14ac:dyDescent="0.3">
      <c r="A264" s="11"/>
      <c r="B264" s="5" t="str">
        <f t="shared" si="339"/>
        <v/>
      </c>
      <c r="C264" s="5" t="str">
        <f t="shared" si="340"/>
        <v/>
      </c>
      <c r="D264" s="4" t="s">
        <v>10</v>
      </c>
      <c r="E264" s="4" t="s">
        <v>11</v>
      </c>
      <c r="F264" s="4" t="str">
        <f t="shared" si="281"/>
        <v>!!!</v>
      </c>
      <c r="G264" s="4" t="str">
        <f t="shared" si="341"/>
        <v>+</v>
      </c>
      <c r="H264" s="4"/>
      <c r="I264" s="4" t="str">
        <f t="shared" si="282"/>
        <v>!!!</v>
      </c>
      <c r="J264" s="4" t="e">
        <f t="shared" si="283"/>
        <v>#VALUE!</v>
      </c>
      <c r="K264" s="4" t="e">
        <f t="shared" si="284"/>
        <v>#VALUE!</v>
      </c>
      <c r="L264" s="4" t="e">
        <f t="shared" si="285"/>
        <v>#VALUE!</v>
      </c>
      <c r="M264" s="4">
        <f t="shared" si="342"/>
        <v>1000</v>
      </c>
      <c r="N264" s="4">
        <f t="shared" ref="N264:O264" si="351">MIN(IFERROR(FIND(" ",$C264,M264+1),1000))</f>
        <v>1000</v>
      </c>
      <c r="O264" s="4">
        <f t="shared" si="351"/>
        <v>1000</v>
      </c>
      <c r="P264" s="4">
        <f t="shared" si="344"/>
        <v>0</v>
      </c>
      <c r="Q264" s="4" t="str">
        <f t="shared" si="291"/>
        <v/>
      </c>
      <c r="R264" s="4" t="str">
        <f t="shared" si="307"/>
        <v/>
      </c>
      <c r="S264" s="4" t="str">
        <f t="shared" si="297"/>
        <v/>
      </c>
      <c r="T264" s="4" t="e">
        <f t="shared" si="345"/>
        <v>#VALUE!</v>
      </c>
      <c r="U264" s="4" t="e">
        <f t="shared" si="346"/>
        <v>#VALUE!</v>
      </c>
      <c r="V264" s="4" t="b">
        <f t="shared" si="337"/>
        <v>0</v>
      </c>
      <c r="W264" s="13" t="str">
        <f t="shared" si="338"/>
        <v>Да</v>
      </c>
      <c r="X264" s="4" t="e">
        <f>(IF(COUNTIFS($G$2:G264,"+",$W$2:W264,"Да")&gt;1,"&amp; ","")&amp;D264&amp;J264&amp;E264&amp;SUBSTITUTE(L264,"""",""))</f>
        <v>#VALUE!</v>
      </c>
      <c r="Y264" s="4" t="e">
        <f t="shared" si="294"/>
        <v>#VALUE!</v>
      </c>
    </row>
    <row r="265" spans="1:25" x14ac:dyDescent="0.3">
      <c r="A265" s="11"/>
      <c r="B265" s="5" t="str">
        <f t="shared" si="339"/>
        <v/>
      </c>
      <c r="C265" s="5" t="str">
        <f t="shared" si="340"/>
        <v/>
      </c>
      <c r="D265" s="4" t="s">
        <v>10</v>
      </c>
      <c r="E265" s="4" t="s">
        <v>11</v>
      </c>
      <c r="F265" s="4" t="str">
        <f t="shared" si="281"/>
        <v>!!!</v>
      </c>
      <c r="G265" s="4" t="str">
        <f t="shared" si="341"/>
        <v>+</v>
      </c>
      <c r="H265" s="4"/>
      <c r="I265" s="4" t="str">
        <f t="shared" si="282"/>
        <v>!!!</v>
      </c>
      <c r="J265" s="4" t="e">
        <f t="shared" si="283"/>
        <v>#VALUE!</v>
      </c>
      <c r="K265" s="4" t="e">
        <f t="shared" si="284"/>
        <v>#VALUE!</v>
      </c>
      <c r="L265" s="4" t="e">
        <f t="shared" si="285"/>
        <v>#VALUE!</v>
      </c>
      <c r="M265" s="4">
        <f t="shared" si="342"/>
        <v>1000</v>
      </c>
      <c r="N265" s="4">
        <f t="shared" ref="N265:O265" si="352">MIN(IFERROR(FIND(" ",$C265,M265+1),1000))</f>
        <v>1000</v>
      </c>
      <c r="O265" s="4">
        <f t="shared" si="352"/>
        <v>1000</v>
      </c>
      <c r="P265" s="4">
        <f t="shared" si="344"/>
        <v>0</v>
      </c>
      <c r="Q265" s="4" t="str">
        <f t="shared" si="291"/>
        <v/>
      </c>
      <c r="R265" s="4" t="str">
        <f t="shared" si="307"/>
        <v/>
      </c>
      <c r="S265" s="4" t="str">
        <f t="shared" si="297"/>
        <v/>
      </c>
      <c r="T265" s="4" t="e">
        <f t="shared" si="345"/>
        <v>#VALUE!</v>
      </c>
      <c r="U265" s="4" t="e">
        <f t="shared" si="346"/>
        <v>#VALUE!</v>
      </c>
      <c r="V265" s="4" t="b">
        <f t="shared" si="337"/>
        <v>0</v>
      </c>
      <c r="W265" s="13" t="str">
        <f t="shared" si="338"/>
        <v>Да</v>
      </c>
      <c r="X265" s="4" t="e">
        <f>(IF(COUNTIFS($G$2:G265,"+",$W$2:W265,"Да")&gt;1,"&amp; ","")&amp;D265&amp;J265&amp;E265&amp;SUBSTITUTE(L265,"""",""))</f>
        <v>#VALUE!</v>
      </c>
      <c r="Y265" s="4" t="e">
        <f t="shared" si="294"/>
        <v>#VALUE!</v>
      </c>
    </row>
    <row r="266" spans="1:25" x14ac:dyDescent="0.3">
      <c r="A266" s="11"/>
      <c r="B266" s="5" t="str">
        <f t="shared" si="339"/>
        <v/>
      </c>
      <c r="C266" s="5" t="str">
        <f t="shared" si="340"/>
        <v/>
      </c>
      <c r="D266" s="4" t="s">
        <v>10</v>
      </c>
      <c r="E266" s="4" t="s">
        <v>11</v>
      </c>
      <c r="F266" s="4" t="str">
        <f t="shared" si="281"/>
        <v>!!!</v>
      </c>
      <c r="G266" s="4" t="str">
        <f t="shared" si="341"/>
        <v>+</v>
      </c>
      <c r="H266" s="4"/>
      <c r="I266" s="4" t="str">
        <f t="shared" si="282"/>
        <v>!!!</v>
      </c>
      <c r="J266" s="4" t="e">
        <f t="shared" si="283"/>
        <v>#VALUE!</v>
      </c>
      <c r="K266" s="4" t="e">
        <f t="shared" si="284"/>
        <v>#VALUE!</v>
      </c>
      <c r="L266" s="4" t="e">
        <f t="shared" si="285"/>
        <v>#VALUE!</v>
      </c>
      <c r="M266" s="4">
        <f t="shared" si="342"/>
        <v>1000</v>
      </c>
      <c r="N266" s="4">
        <f t="shared" ref="N266:O266" si="353">MIN(IFERROR(FIND(" ",$C266,M266+1),1000))</f>
        <v>1000</v>
      </c>
      <c r="O266" s="4">
        <f t="shared" si="353"/>
        <v>1000</v>
      </c>
      <c r="P266" s="4">
        <f t="shared" si="344"/>
        <v>0</v>
      </c>
      <c r="Q266" s="4" t="str">
        <f t="shared" si="291"/>
        <v/>
      </c>
      <c r="R266" s="4" t="str">
        <f t="shared" si="307"/>
        <v/>
      </c>
      <c r="S266" s="4" t="str">
        <f t="shared" si="297"/>
        <v/>
      </c>
      <c r="T266" s="4" t="e">
        <f t="shared" si="345"/>
        <v>#VALUE!</v>
      </c>
      <c r="U266" s="4" t="e">
        <f t="shared" si="346"/>
        <v>#VALUE!</v>
      </c>
      <c r="V266" s="4" t="b">
        <f t="shared" si="337"/>
        <v>0</v>
      </c>
      <c r="W266" s="13" t="str">
        <f t="shared" si="338"/>
        <v>Да</v>
      </c>
      <c r="X266" s="4" t="e">
        <f>(IF(COUNTIFS($G$2:G266,"+",$W$2:W266,"Да")&gt;1,"&amp; ","")&amp;D266&amp;J266&amp;E266&amp;SUBSTITUTE(L266,"""",""))</f>
        <v>#VALUE!</v>
      </c>
      <c r="Y266" s="4" t="e">
        <f t="shared" si="294"/>
        <v>#VALUE!</v>
      </c>
    </row>
    <row r="267" spans="1:25" x14ac:dyDescent="0.3">
      <c r="A267" s="11"/>
      <c r="B267" s="5" t="str">
        <f t="shared" si="339"/>
        <v/>
      </c>
      <c r="C267" s="5" t="str">
        <f t="shared" si="340"/>
        <v/>
      </c>
      <c r="D267" s="4" t="s">
        <v>10</v>
      </c>
      <c r="E267" s="4" t="s">
        <v>11</v>
      </c>
      <c r="F267" s="4" t="str">
        <f t="shared" si="281"/>
        <v>!!!</v>
      </c>
      <c r="G267" s="4" t="str">
        <f t="shared" si="341"/>
        <v>+</v>
      </c>
      <c r="H267" s="4"/>
      <c r="I267" s="4" t="str">
        <f t="shared" si="282"/>
        <v>!!!</v>
      </c>
      <c r="J267" s="4" t="e">
        <f t="shared" si="283"/>
        <v>#VALUE!</v>
      </c>
      <c r="K267" s="4" t="e">
        <f t="shared" si="284"/>
        <v>#VALUE!</v>
      </c>
      <c r="L267" s="4" t="e">
        <f t="shared" si="285"/>
        <v>#VALUE!</v>
      </c>
      <c r="M267" s="4">
        <f t="shared" si="342"/>
        <v>1000</v>
      </c>
      <c r="N267" s="4">
        <f t="shared" ref="N267:O267" si="354">MIN(IFERROR(FIND(" ",$C267,M267+1),1000))</f>
        <v>1000</v>
      </c>
      <c r="O267" s="4">
        <f t="shared" si="354"/>
        <v>1000</v>
      </c>
      <c r="P267" s="4">
        <f t="shared" si="344"/>
        <v>0</v>
      </c>
      <c r="Q267" s="4" t="str">
        <f t="shared" si="291"/>
        <v/>
      </c>
      <c r="R267" s="4" t="str">
        <f t="shared" si="307"/>
        <v/>
      </c>
      <c r="S267" s="4" t="str">
        <f t="shared" si="297"/>
        <v/>
      </c>
      <c r="T267" s="4" t="e">
        <f t="shared" si="345"/>
        <v>#VALUE!</v>
      </c>
      <c r="U267" s="4" t="e">
        <f t="shared" si="346"/>
        <v>#VALUE!</v>
      </c>
      <c r="V267" s="4" t="b">
        <f t="shared" si="337"/>
        <v>0</v>
      </c>
      <c r="W267" s="13" t="str">
        <f t="shared" si="338"/>
        <v>Да</v>
      </c>
      <c r="X267" s="4" t="e">
        <f>(IF(COUNTIFS($G$2:G267,"+",$W$2:W267,"Да")&gt;1,"&amp; ","")&amp;D267&amp;J267&amp;E267&amp;SUBSTITUTE(L267,"""",""))</f>
        <v>#VALUE!</v>
      </c>
      <c r="Y267" s="4" t="e">
        <f t="shared" si="294"/>
        <v>#VALUE!</v>
      </c>
    </row>
    <row r="268" spans="1:25" x14ac:dyDescent="0.3">
      <c r="A268" s="11"/>
      <c r="B268" s="5" t="str">
        <f t="shared" si="339"/>
        <v/>
      </c>
      <c r="C268" s="5" t="str">
        <f t="shared" si="340"/>
        <v/>
      </c>
      <c r="D268" s="4" t="s">
        <v>10</v>
      </c>
      <c r="E268" s="4" t="s">
        <v>11</v>
      </c>
      <c r="F268" s="4" t="str">
        <f t="shared" si="281"/>
        <v>!!!</v>
      </c>
      <c r="G268" s="4" t="str">
        <f t="shared" si="341"/>
        <v>+</v>
      </c>
      <c r="H268" s="4"/>
      <c r="I268" s="4" t="str">
        <f t="shared" si="282"/>
        <v>!!!</v>
      </c>
      <c r="J268" s="4" t="e">
        <f t="shared" si="283"/>
        <v>#VALUE!</v>
      </c>
      <c r="K268" s="4" t="e">
        <f t="shared" si="284"/>
        <v>#VALUE!</v>
      </c>
      <c r="L268" s="4" t="e">
        <f t="shared" si="285"/>
        <v>#VALUE!</v>
      </c>
      <c r="M268" s="4">
        <f t="shared" si="342"/>
        <v>1000</v>
      </c>
      <c r="N268" s="4">
        <f t="shared" ref="N268:O268" si="355">MIN(IFERROR(FIND(" ",$C268,M268+1),1000))</f>
        <v>1000</v>
      </c>
      <c r="O268" s="4">
        <f t="shared" si="355"/>
        <v>1000</v>
      </c>
      <c r="P268" s="4">
        <f t="shared" si="344"/>
        <v>0</v>
      </c>
      <c r="Q268" s="4" t="str">
        <f t="shared" si="291"/>
        <v/>
      </c>
      <c r="R268" s="4" t="str">
        <f t="shared" si="307"/>
        <v/>
      </c>
      <c r="S268" s="4" t="str">
        <f t="shared" si="297"/>
        <v/>
      </c>
      <c r="T268" s="4" t="e">
        <f t="shared" si="345"/>
        <v>#VALUE!</v>
      </c>
      <c r="U268" s="4" t="e">
        <f t="shared" si="346"/>
        <v>#VALUE!</v>
      </c>
      <c r="V268" s="4" t="b">
        <f t="shared" si="337"/>
        <v>0</v>
      </c>
      <c r="W268" s="13" t="str">
        <f t="shared" si="338"/>
        <v>Да</v>
      </c>
      <c r="X268" s="4" t="e">
        <f>(IF(COUNTIFS($G$2:G268,"+",$W$2:W268,"Да")&gt;1,"&amp; ","")&amp;D268&amp;J268&amp;E268&amp;SUBSTITUTE(L268,"""",""))</f>
        <v>#VALUE!</v>
      </c>
      <c r="Y268" s="4" t="e">
        <f t="shared" si="294"/>
        <v>#VALUE!</v>
      </c>
    </row>
    <row r="269" spans="1:25" x14ac:dyDescent="0.3">
      <c r="A269" s="11"/>
      <c r="B269" s="5" t="str">
        <f t="shared" si="339"/>
        <v/>
      </c>
      <c r="C269" s="5" t="str">
        <f t="shared" si="340"/>
        <v/>
      </c>
      <c r="D269" s="4" t="s">
        <v>10</v>
      </c>
      <c r="E269" s="4" t="s">
        <v>11</v>
      </c>
      <c r="F269" s="4" t="str">
        <f t="shared" si="281"/>
        <v>!!!</v>
      </c>
      <c r="G269" s="4" t="str">
        <f t="shared" si="341"/>
        <v>+</v>
      </c>
      <c r="H269" s="4"/>
      <c r="I269" s="4" t="str">
        <f t="shared" si="282"/>
        <v>!!!</v>
      </c>
      <c r="J269" s="4" t="e">
        <f t="shared" si="283"/>
        <v>#VALUE!</v>
      </c>
      <c r="K269" s="4" t="e">
        <f t="shared" si="284"/>
        <v>#VALUE!</v>
      </c>
      <c r="L269" s="4" t="e">
        <f t="shared" si="285"/>
        <v>#VALUE!</v>
      </c>
      <c r="M269" s="4">
        <f t="shared" si="342"/>
        <v>1000</v>
      </c>
      <c r="N269" s="4">
        <f t="shared" ref="N269:O269" si="356">MIN(IFERROR(FIND(" ",$C269,M269+1),1000))</f>
        <v>1000</v>
      </c>
      <c r="O269" s="4">
        <f t="shared" si="356"/>
        <v>1000</v>
      </c>
      <c r="P269" s="4">
        <f t="shared" si="344"/>
        <v>0</v>
      </c>
      <c r="Q269" s="4" t="str">
        <f t="shared" si="291"/>
        <v/>
      </c>
      <c r="R269" s="4" t="str">
        <f t="shared" si="307"/>
        <v/>
      </c>
      <c r="S269" s="4" t="str">
        <f t="shared" si="297"/>
        <v/>
      </c>
      <c r="T269" s="4" t="e">
        <f t="shared" si="345"/>
        <v>#VALUE!</v>
      </c>
      <c r="U269" s="4" t="e">
        <f t="shared" si="346"/>
        <v>#VALUE!</v>
      </c>
      <c r="V269" s="4" t="b">
        <f t="shared" si="337"/>
        <v>0</v>
      </c>
      <c r="W269" s="13" t="str">
        <f t="shared" si="338"/>
        <v>Да</v>
      </c>
      <c r="X269" s="4" t="e">
        <f>(IF(COUNTIFS($G$2:G269,"+",$W$2:W269,"Да")&gt;1,"&amp; ","")&amp;D269&amp;J269&amp;E269&amp;SUBSTITUTE(L269,"""",""))</f>
        <v>#VALUE!</v>
      </c>
      <c r="Y269" s="4" t="e">
        <f t="shared" si="294"/>
        <v>#VALUE!</v>
      </c>
    </row>
    <row r="270" spans="1:25" x14ac:dyDescent="0.3">
      <c r="A270" s="11"/>
      <c r="B270" s="5" t="str">
        <f t="shared" si="339"/>
        <v/>
      </c>
      <c r="C270" s="5" t="str">
        <f t="shared" si="340"/>
        <v/>
      </c>
      <c r="D270" s="4" t="s">
        <v>10</v>
      </c>
      <c r="E270" s="4" t="s">
        <v>11</v>
      </c>
      <c r="F270" s="4" t="str">
        <f t="shared" si="281"/>
        <v>!!!</v>
      </c>
      <c r="G270" s="4" t="str">
        <f t="shared" si="341"/>
        <v>+</v>
      </c>
      <c r="H270" s="4"/>
      <c r="I270" s="4" t="str">
        <f t="shared" si="282"/>
        <v>!!!</v>
      </c>
      <c r="J270" s="4" t="e">
        <f t="shared" si="283"/>
        <v>#VALUE!</v>
      </c>
      <c r="K270" s="4" t="e">
        <f t="shared" si="284"/>
        <v>#VALUE!</v>
      </c>
      <c r="L270" s="4" t="e">
        <f t="shared" si="285"/>
        <v>#VALUE!</v>
      </c>
      <c r="M270" s="4">
        <f t="shared" si="342"/>
        <v>1000</v>
      </c>
      <c r="N270" s="4">
        <f t="shared" ref="N270:O270" si="357">MIN(IFERROR(FIND(" ",$C270,M270+1),1000))</f>
        <v>1000</v>
      </c>
      <c r="O270" s="4">
        <f t="shared" si="357"/>
        <v>1000</v>
      </c>
      <c r="P270" s="4">
        <f t="shared" si="344"/>
        <v>0</v>
      </c>
      <c r="Q270" s="4" t="str">
        <f t="shared" si="291"/>
        <v/>
      </c>
      <c r="R270" s="4" t="str">
        <f t="shared" si="307"/>
        <v/>
      </c>
      <c r="S270" s="4" t="str">
        <f t="shared" si="297"/>
        <v/>
      </c>
      <c r="T270" s="4" t="e">
        <f t="shared" si="345"/>
        <v>#VALUE!</v>
      </c>
      <c r="U270" s="4" t="e">
        <f t="shared" si="346"/>
        <v>#VALUE!</v>
      </c>
      <c r="V270" s="4" t="b">
        <f t="shared" si="337"/>
        <v>0</v>
      </c>
      <c r="W270" s="13" t="str">
        <f t="shared" si="338"/>
        <v>Да</v>
      </c>
      <c r="X270" s="4" t="e">
        <f>(IF(COUNTIFS($G$2:G270,"+",$W$2:W270,"Да")&gt;1,"&amp; ","")&amp;D270&amp;J270&amp;E270&amp;SUBSTITUTE(L270,"""",""))</f>
        <v>#VALUE!</v>
      </c>
      <c r="Y270" s="4" t="e">
        <f t="shared" si="294"/>
        <v>#VALUE!</v>
      </c>
    </row>
    <row r="271" spans="1:25" x14ac:dyDescent="0.3">
      <c r="A271" s="11"/>
      <c r="B271" s="5" t="str">
        <f t="shared" si="339"/>
        <v/>
      </c>
      <c r="C271" s="5" t="str">
        <f t="shared" si="340"/>
        <v/>
      </c>
      <c r="D271" s="4" t="s">
        <v>10</v>
      </c>
      <c r="E271" s="4" t="s">
        <v>11</v>
      </c>
      <c r="F271" s="4" t="str">
        <f t="shared" si="281"/>
        <v>!!!</v>
      </c>
      <c r="G271" s="4" t="str">
        <f t="shared" si="341"/>
        <v>+</v>
      </c>
      <c r="H271" s="4"/>
      <c r="I271" s="4" t="str">
        <f t="shared" si="282"/>
        <v>!!!</v>
      </c>
      <c r="J271" s="4" t="e">
        <f t="shared" si="283"/>
        <v>#VALUE!</v>
      </c>
      <c r="K271" s="4" t="e">
        <f t="shared" si="284"/>
        <v>#VALUE!</v>
      </c>
      <c r="L271" s="4" t="e">
        <f t="shared" si="285"/>
        <v>#VALUE!</v>
      </c>
      <c r="M271" s="4">
        <f t="shared" si="342"/>
        <v>1000</v>
      </c>
      <c r="N271" s="4">
        <f t="shared" ref="N271:O271" si="358">MIN(IFERROR(FIND(" ",$C271,M271+1),1000))</f>
        <v>1000</v>
      </c>
      <c r="O271" s="4">
        <f t="shared" si="358"/>
        <v>1000</v>
      </c>
      <c r="P271" s="4">
        <f t="shared" si="344"/>
        <v>0</v>
      </c>
      <c r="Q271" s="4" t="str">
        <f t="shared" si="291"/>
        <v/>
      </c>
      <c r="R271" s="4" t="str">
        <f t="shared" si="307"/>
        <v/>
      </c>
      <c r="S271" s="4" t="str">
        <f t="shared" si="297"/>
        <v/>
      </c>
      <c r="T271" s="4" t="e">
        <f t="shared" si="345"/>
        <v>#VALUE!</v>
      </c>
      <c r="U271" s="4" t="e">
        <f t="shared" si="346"/>
        <v>#VALUE!</v>
      </c>
      <c r="V271" s="4" t="b">
        <f t="shared" si="337"/>
        <v>0</v>
      </c>
      <c r="W271" s="13" t="str">
        <f t="shared" si="338"/>
        <v>Да</v>
      </c>
      <c r="X271" s="4" t="e">
        <f>(IF(COUNTIFS($G$2:G271,"+",$W$2:W271,"Да")&gt;1,"&amp; ","")&amp;D271&amp;J271&amp;E271&amp;SUBSTITUTE(L271,"""",""))</f>
        <v>#VALUE!</v>
      </c>
      <c r="Y271" s="4" t="e">
        <f t="shared" si="294"/>
        <v>#VALUE!</v>
      </c>
    </row>
    <row r="272" spans="1:25" x14ac:dyDescent="0.3">
      <c r="A272" s="11"/>
      <c r="B272" s="5" t="str">
        <f t="shared" si="339"/>
        <v/>
      </c>
      <c r="C272" s="5" t="str">
        <f t="shared" si="340"/>
        <v/>
      </c>
      <c r="D272" s="4" t="s">
        <v>10</v>
      </c>
      <c r="E272" s="4" t="s">
        <v>11</v>
      </c>
      <c r="F272" s="4" t="str">
        <f t="shared" si="281"/>
        <v>!!!</v>
      </c>
      <c r="G272" s="4" t="str">
        <f t="shared" si="341"/>
        <v>+</v>
      </c>
      <c r="H272" s="4"/>
      <c r="I272" s="4" t="str">
        <f t="shared" si="282"/>
        <v>!!!</v>
      </c>
      <c r="J272" s="4" t="e">
        <f t="shared" si="283"/>
        <v>#VALUE!</v>
      </c>
      <c r="K272" s="4" t="e">
        <f t="shared" si="284"/>
        <v>#VALUE!</v>
      </c>
      <c r="L272" s="4" t="e">
        <f t="shared" si="285"/>
        <v>#VALUE!</v>
      </c>
      <c r="M272" s="4">
        <f t="shared" si="342"/>
        <v>1000</v>
      </c>
      <c r="N272" s="4">
        <f t="shared" ref="N272:O272" si="359">MIN(IFERROR(FIND(" ",$C272,M272+1),1000))</f>
        <v>1000</v>
      </c>
      <c r="O272" s="4">
        <f t="shared" si="359"/>
        <v>1000</v>
      </c>
      <c r="P272" s="4">
        <f t="shared" si="344"/>
        <v>0</v>
      </c>
      <c r="Q272" s="4" t="str">
        <f t="shared" si="291"/>
        <v/>
      </c>
      <c r="R272" s="4" t="str">
        <f t="shared" si="307"/>
        <v/>
      </c>
      <c r="S272" s="4" t="str">
        <f t="shared" si="297"/>
        <v/>
      </c>
      <c r="T272" s="4" t="e">
        <f t="shared" si="345"/>
        <v>#VALUE!</v>
      </c>
      <c r="U272" s="4" t="e">
        <f t="shared" si="346"/>
        <v>#VALUE!</v>
      </c>
      <c r="V272" s="4" t="b">
        <f t="shared" si="337"/>
        <v>0</v>
      </c>
      <c r="W272" s="13" t="str">
        <f t="shared" si="338"/>
        <v>Да</v>
      </c>
      <c r="X272" s="4" t="e">
        <f>(IF(COUNTIFS($G$2:G272,"+",$W$2:W272,"Да")&gt;1,"&amp; ","")&amp;D272&amp;J272&amp;E272&amp;SUBSTITUTE(L272,"""",""))</f>
        <v>#VALUE!</v>
      </c>
      <c r="Y272" s="4" t="e">
        <f t="shared" si="294"/>
        <v>#VALUE!</v>
      </c>
    </row>
    <row r="273" spans="1:25" x14ac:dyDescent="0.3">
      <c r="A273" s="11"/>
      <c r="B273" s="5" t="str">
        <f t="shared" si="339"/>
        <v/>
      </c>
      <c r="C273" s="5" t="str">
        <f t="shared" si="340"/>
        <v/>
      </c>
      <c r="D273" s="4" t="s">
        <v>10</v>
      </c>
      <c r="E273" s="4" t="s">
        <v>11</v>
      </c>
      <c r="F273" s="4" t="str">
        <f t="shared" si="281"/>
        <v>!!!</v>
      </c>
      <c r="G273" s="4" t="str">
        <f t="shared" si="341"/>
        <v>+</v>
      </c>
      <c r="H273" s="4"/>
      <c r="I273" s="4" t="str">
        <f t="shared" si="282"/>
        <v>!!!</v>
      </c>
      <c r="J273" s="4" t="e">
        <f t="shared" si="283"/>
        <v>#VALUE!</v>
      </c>
      <c r="K273" s="4" t="e">
        <f t="shared" si="284"/>
        <v>#VALUE!</v>
      </c>
      <c r="L273" s="4" t="e">
        <f t="shared" si="285"/>
        <v>#VALUE!</v>
      </c>
      <c r="M273" s="4">
        <f t="shared" si="342"/>
        <v>1000</v>
      </c>
      <c r="N273" s="4">
        <f t="shared" ref="N273:O273" si="360">MIN(IFERROR(FIND(" ",$C273,M273+1),1000))</f>
        <v>1000</v>
      </c>
      <c r="O273" s="4">
        <f t="shared" si="360"/>
        <v>1000</v>
      </c>
      <c r="P273" s="4">
        <f t="shared" si="344"/>
        <v>0</v>
      </c>
      <c r="Q273" s="4" t="str">
        <f t="shared" si="291"/>
        <v/>
      </c>
      <c r="R273" s="4" t="str">
        <f t="shared" si="307"/>
        <v/>
      </c>
      <c r="S273" s="4" t="str">
        <f t="shared" si="297"/>
        <v/>
      </c>
      <c r="T273" s="4" t="e">
        <f t="shared" si="345"/>
        <v>#VALUE!</v>
      </c>
      <c r="U273" s="4" t="e">
        <f t="shared" si="346"/>
        <v>#VALUE!</v>
      </c>
      <c r="V273" s="4" t="b">
        <f t="shared" si="337"/>
        <v>0</v>
      </c>
      <c r="W273" s="13" t="str">
        <f t="shared" si="338"/>
        <v>Да</v>
      </c>
      <c r="X273" s="4" t="e">
        <f>(IF(COUNTIFS($G$2:G273,"+",$W$2:W273,"Да")&gt;1,"&amp; ","")&amp;D273&amp;J273&amp;E273&amp;SUBSTITUTE(L273,"""",""))</f>
        <v>#VALUE!</v>
      </c>
      <c r="Y273" s="4" t="e">
        <f t="shared" si="294"/>
        <v>#VALUE!</v>
      </c>
    </row>
    <row r="274" spans="1:25" x14ac:dyDescent="0.3">
      <c r="A274" s="11"/>
      <c r="B274" s="5" t="str">
        <f t="shared" si="339"/>
        <v/>
      </c>
      <c r="C274" s="5" t="str">
        <f t="shared" si="340"/>
        <v/>
      </c>
      <c r="D274" s="4" t="s">
        <v>10</v>
      </c>
      <c r="E274" s="4" t="s">
        <v>11</v>
      </c>
      <c r="F274" s="4" t="str">
        <f t="shared" si="281"/>
        <v>!!!</v>
      </c>
      <c r="G274" s="4" t="str">
        <f t="shared" si="341"/>
        <v>+</v>
      </c>
      <c r="H274" s="4"/>
      <c r="I274" s="4" t="str">
        <f t="shared" si="282"/>
        <v>!!!</v>
      </c>
      <c r="J274" s="4" t="e">
        <f t="shared" si="283"/>
        <v>#VALUE!</v>
      </c>
      <c r="K274" s="4" t="e">
        <f t="shared" si="284"/>
        <v>#VALUE!</v>
      </c>
      <c r="L274" s="4" t="e">
        <f t="shared" si="285"/>
        <v>#VALUE!</v>
      </c>
      <c r="M274" s="4">
        <f t="shared" si="342"/>
        <v>1000</v>
      </c>
      <c r="N274" s="4">
        <f t="shared" ref="N274:O274" si="361">MIN(IFERROR(FIND(" ",$C274,M274+1),1000))</f>
        <v>1000</v>
      </c>
      <c r="O274" s="4">
        <f t="shared" si="361"/>
        <v>1000</v>
      </c>
      <c r="P274" s="4">
        <f t="shared" si="344"/>
        <v>0</v>
      </c>
      <c r="Q274" s="4" t="str">
        <f t="shared" si="291"/>
        <v/>
      </c>
      <c r="R274" s="4" t="str">
        <f t="shared" si="307"/>
        <v/>
      </c>
      <c r="S274" s="4" t="str">
        <f t="shared" si="297"/>
        <v/>
      </c>
      <c r="T274" s="4" t="e">
        <f t="shared" si="345"/>
        <v>#VALUE!</v>
      </c>
      <c r="U274" s="4" t="e">
        <f t="shared" si="346"/>
        <v>#VALUE!</v>
      </c>
      <c r="V274" s="4" t="b">
        <f t="shared" si="337"/>
        <v>0</v>
      </c>
      <c r="W274" s="13" t="str">
        <f t="shared" si="338"/>
        <v>Да</v>
      </c>
      <c r="X274" s="4" t="e">
        <f>(IF(COUNTIFS($G$2:G274,"+",$W$2:W274,"Да")&gt;1,"&amp; ","")&amp;D274&amp;J274&amp;E274&amp;SUBSTITUTE(L274,"""",""))</f>
        <v>#VALUE!</v>
      </c>
      <c r="Y274" s="4" t="e">
        <f t="shared" si="294"/>
        <v>#VALUE!</v>
      </c>
    </row>
    <row r="275" spans="1:25" x14ac:dyDescent="0.3">
      <c r="A275" s="11"/>
      <c r="B275" s="5" t="str">
        <f t="shared" si="339"/>
        <v/>
      </c>
      <c r="C275" s="5" t="str">
        <f t="shared" si="340"/>
        <v/>
      </c>
      <c r="D275" s="4" t="s">
        <v>10</v>
      </c>
      <c r="E275" s="4" t="s">
        <v>11</v>
      </c>
      <c r="F275" s="4" t="str">
        <f t="shared" si="281"/>
        <v>!!!</v>
      </c>
      <c r="G275" s="4" t="str">
        <f t="shared" si="341"/>
        <v>+</v>
      </c>
      <c r="H275" s="4"/>
      <c r="I275" s="4" t="str">
        <f t="shared" si="282"/>
        <v>!!!</v>
      </c>
      <c r="J275" s="4" t="e">
        <f t="shared" si="283"/>
        <v>#VALUE!</v>
      </c>
      <c r="K275" s="4" t="e">
        <f t="shared" si="284"/>
        <v>#VALUE!</v>
      </c>
      <c r="L275" s="4" t="e">
        <f t="shared" si="285"/>
        <v>#VALUE!</v>
      </c>
      <c r="M275" s="4">
        <f t="shared" si="342"/>
        <v>1000</v>
      </c>
      <c r="N275" s="4">
        <f t="shared" ref="N275:O275" si="362">MIN(IFERROR(FIND(" ",$C275,M275+1),1000))</f>
        <v>1000</v>
      </c>
      <c r="O275" s="4">
        <f t="shared" si="362"/>
        <v>1000</v>
      </c>
      <c r="P275" s="4">
        <f t="shared" si="344"/>
        <v>0</v>
      </c>
      <c r="Q275" s="4" t="str">
        <f t="shared" si="291"/>
        <v/>
      </c>
      <c r="R275" s="4" t="str">
        <f t="shared" si="307"/>
        <v/>
      </c>
      <c r="S275" s="4" t="str">
        <f t="shared" si="297"/>
        <v/>
      </c>
      <c r="T275" s="4" t="e">
        <f t="shared" si="345"/>
        <v>#VALUE!</v>
      </c>
      <c r="U275" s="4" t="e">
        <f t="shared" si="346"/>
        <v>#VALUE!</v>
      </c>
      <c r="V275" s="4" t="b">
        <f t="shared" si="337"/>
        <v>0</v>
      </c>
      <c r="W275" s="13" t="str">
        <f t="shared" si="338"/>
        <v>Да</v>
      </c>
      <c r="X275" s="4" t="e">
        <f>(IF(COUNTIFS($G$2:G275,"+",$W$2:W275,"Да")&gt;1,"&amp; ","")&amp;D275&amp;J275&amp;E275&amp;SUBSTITUTE(L275,"""",""))</f>
        <v>#VALUE!</v>
      </c>
      <c r="Y275" s="4" t="e">
        <f t="shared" si="294"/>
        <v>#VALUE!</v>
      </c>
    </row>
    <row r="276" spans="1:25" x14ac:dyDescent="0.3">
      <c r="A276" s="11"/>
      <c r="B276" s="5" t="str">
        <f t="shared" si="339"/>
        <v/>
      </c>
      <c r="C276" s="5" t="str">
        <f t="shared" si="340"/>
        <v/>
      </c>
      <c r="D276" s="4" t="s">
        <v>10</v>
      </c>
      <c r="E276" s="4" t="s">
        <v>11</v>
      </c>
      <c r="F276" s="4" t="str">
        <f t="shared" ref="F276:F339" si="363">IFERROR(SEARCH(" as ",B276),"!!!")</f>
        <v>!!!</v>
      </c>
      <c r="G276" s="4" t="str">
        <f t="shared" si="341"/>
        <v>+</v>
      </c>
      <c r="H276" s="4"/>
      <c r="I276" s="4" t="str">
        <f t="shared" ref="I276:I339" si="364">IFERROR(SEARCH(" ",B276),"!!!")</f>
        <v>!!!</v>
      </c>
      <c r="J276" s="4" t="e">
        <f t="shared" ref="J276:J339" si="365">RIGHT(B276,LEN(B276)-F276-3)</f>
        <v>#VALUE!</v>
      </c>
      <c r="K276" s="4" t="e">
        <f t="shared" ref="K276:K339" si="366">MID(B276,I276+1,F276-I276)</f>
        <v>#VALUE!</v>
      </c>
      <c r="L276" s="4" t="e">
        <f t="shared" ref="L276:L339" si="367">MID(B276,I276+1,F276-I276)</f>
        <v>#VALUE!</v>
      </c>
      <c r="M276" s="4">
        <f t="shared" si="342"/>
        <v>1000</v>
      </c>
      <c r="N276" s="4">
        <f t="shared" ref="N276:O276" si="368">MIN(IFERROR(FIND(" ",$C276,M276+1),1000))</f>
        <v>1000</v>
      </c>
      <c r="O276" s="4">
        <f t="shared" si="368"/>
        <v>1000</v>
      </c>
      <c r="P276" s="4">
        <f t="shared" si="344"/>
        <v>0</v>
      </c>
      <c r="Q276" s="4" t="str">
        <f t="shared" si="291"/>
        <v/>
      </c>
      <c r="R276" s="4" t="str">
        <f t="shared" si="307"/>
        <v/>
      </c>
      <c r="S276" s="4" t="str">
        <f t="shared" si="297"/>
        <v/>
      </c>
      <c r="T276" s="4" t="e">
        <f t="shared" si="345"/>
        <v>#VALUE!</v>
      </c>
      <c r="U276" s="4" t="e">
        <f t="shared" si="346"/>
        <v>#VALUE!</v>
      </c>
      <c r="V276" s="4" t="b">
        <f t="shared" si="337"/>
        <v>0</v>
      </c>
      <c r="W276" s="13" t="str">
        <f t="shared" si="338"/>
        <v>Да</v>
      </c>
      <c r="X276" s="4" t="e">
        <f>(IF(COUNTIFS($G$2:G276,"+",$W$2:W276,"Да")&gt;1,"&amp; ","")&amp;D276&amp;J276&amp;E276&amp;SUBSTITUTE(L276,"""",""))</f>
        <v>#VALUE!</v>
      </c>
      <c r="Y276" s="4" t="e">
        <f t="shared" si="294"/>
        <v>#VALUE!</v>
      </c>
    </row>
    <row r="277" spans="1:25" x14ac:dyDescent="0.3">
      <c r="A277" s="11"/>
      <c r="B277" s="5" t="str">
        <f t="shared" si="339"/>
        <v/>
      </c>
      <c r="C277" s="5" t="str">
        <f t="shared" si="340"/>
        <v/>
      </c>
      <c r="D277" s="4" t="s">
        <v>10</v>
      </c>
      <c r="E277" s="4" t="s">
        <v>11</v>
      </c>
      <c r="F277" s="4" t="str">
        <f t="shared" si="363"/>
        <v>!!!</v>
      </c>
      <c r="G277" s="4" t="str">
        <f t="shared" si="341"/>
        <v>+</v>
      </c>
      <c r="H277" s="4"/>
      <c r="I277" s="4" t="str">
        <f t="shared" si="364"/>
        <v>!!!</v>
      </c>
      <c r="J277" s="4" t="e">
        <f t="shared" si="365"/>
        <v>#VALUE!</v>
      </c>
      <c r="K277" s="4" t="e">
        <f t="shared" si="366"/>
        <v>#VALUE!</v>
      </c>
      <c r="L277" s="4" t="e">
        <f t="shared" si="367"/>
        <v>#VALUE!</v>
      </c>
      <c r="M277" s="4">
        <f t="shared" si="342"/>
        <v>1000</v>
      </c>
      <c r="N277" s="4">
        <f t="shared" ref="N277:O277" si="369">MIN(IFERROR(FIND(" ",$C277,M277+1),1000))</f>
        <v>1000</v>
      </c>
      <c r="O277" s="4">
        <f t="shared" si="369"/>
        <v>1000</v>
      </c>
      <c r="P277" s="4">
        <f t="shared" si="344"/>
        <v>0</v>
      </c>
      <c r="Q277" s="4" t="str">
        <f t="shared" si="291"/>
        <v/>
      </c>
      <c r="R277" s="4" t="str">
        <f t="shared" si="307"/>
        <v/>
      </c>
      <c r="S277" s="4" t="str">
        <f t="shared" si="297"/>
        <v/>
      </c>
      <c r="T277" s="4" t="e">
        <f t="shared" si="345"/>
        <v>#VALUE!</v>
      </c>
      <c r="U277" s="4" t="e">
        <f t="shared" si="346"/>
        <v>#VALUE!</v>
      </c>
      <c r="V277" s="4" t="b">
        <f t="shared" si="337"/>
        <v>0</v>
      </c>
      <c r="W277" s="13" t="str">
        <f t="shared" si="338"/>
        <v>Да</v>
      </c>
      <c r="X277" s="4" t="e">
        <f>(IF(COUNTIFS($G$2:G277,"+",$W$2:W277,"Да")&gt;1,"&amp; ","")&amp;D277&amp;J277&amp;E277&amp;SUBSTITUTE(L277,"""",""))</f>
        <v>#VALUE!</v>
      </c>
      <c r="Y277" s="4" t="e">
        <f t="shared" si="294"/>
        <v>#VALUE!</v>
      </c>
    </row>
    <row r="278" spans="1:25" x14ac:dyDescent="0.3">
      <c r="A278" s="11"/>
      <c r="B278" s="5" t="str">
        <f t="shared" si="339"/>
        <v/>
      </c>
      <c r="C278" s="5" t="str">
        <f t="shared" si="340"/>
        <v/>
      </c>
      <c r="D278" s="4" t="s">
        <v>10</v>
      </c>
      <c r="E278" s="4" t="s">
        <v>11</v>
      </c>
      <c r="F278" s="4" t="str">
        <f t="shared" si="363"/>
        <v>!!!</v>
      </c>
      <c r="G278" s="4" t="str">
        <f t="shared" si="341"/>
        <v>+</v>
      </c>
      <c r="H278" s="4"/>
      <c r="I278" s="4" t="str">
        <f t="shared" si="364"/>
        <v>!!!</v>
      </c>
      <c r="J278" s="4" t="e">
        <f t="shared" si="365"/>
        <v>#VALUE!</v>
      </c>
      <c r="K278" s="4" t="e">
        <f t="shared" si="366"/>
        <v>#VALUE!</v>
      </c>
      <c r="L278" s="4" t="e">
        <f t="shared" si="367"/>
        <v>#VALUE!</v>
      </c>
      <c r="M278" s="4">
        <f t="shared" si="342"/>
        <v>1000</v>
      </c>
      <c r="N278" s="4">
        <f t="shared" ref="N278:O278" si="370">MIN(IFERROR(FIND(" ",$C278,M278+1),1000))</f>
        <v>1000</v>
      </c>
      <c r="O278" s="4">
        <f t="shared" si="370"/>
        <v>1000</v>
      </c>
      <c r="P278" s="4">
        <f t="shared" si="344"/>
        <v>0</v>
      </c>
      <c r="Q278" s="4" t="str">
        <f t="shared" si="291"/>
        <v/>
      </c>
      <c r="R278" s="4" t="str">
        <f t="shared" si="307"/>
        <v/>
      </c>
      <c r="S278" s="4" t="str">
        <f t="shared" si="297"/>
        <v/>
      </c>
      <c r="T278" s="4" t="e">
        <f t="shared" si="345"/>
        <v>#VALUE!</v>
      </c>
      <c r="U278" s="4" t="e">
        <f t="shared" si="346"/>
        <v>#VALUE!</v>
      </c>
      <c r="V278" s="4" t="b">
        <f t="shared" si="337"/>
        <v>0</v>
      </c>
      <c r="W278" s="13" t="str">
        <f t="shared" si="338"/>
        <v>Да</v>
      </c>
      <c r="X278" s="4" t="e">
        <f>(IF(COUNTIFS($G$2:G278,"+",$W$2:W278,"Да")&gt;1,"&amp; ","")&amp;D278&amp;J278&amp;E278&amp;SUBSTITUTE(L278,"""",""))</f>
        <v>#VALUE!</v>
      </c>
      <c r="Y278" s="4" t="e">
        <f t="shared" si="294"/>
        <v>#VALUE!</v>
      </c>
    </row>
    <row r="279" spans="1:25" x14ac:dyDescent="0.3">
      <c r="A279" s="11"/>
      <c r="B279" s="5" t="str">
        <f t="shared" si="339"/>
        <v/>
      </c>
      <c r="C279" s="5" t="str">
        <f t="shared" si="340"/>
        <v/>
      </c>
      <c r="D279" s="4" t="s">
        <v>10</v>
      </c>
      <c r="E279" s="4" t="s">
        <v>11</v>
      </c>
      <c r="F279" s="4" t="str">
        <f t="shared" si="363"/>
        <v>!!!</v>
      </c>
      <c r="G279" s="4" t="str">
        <f t="shared" si="341"/>
        <v>+</v>
      </c>
      <c r="H279" s="4"/>
      <c r="I279" s="4" t="str">
        <f t="shared" si="364"/>
        <v>!!!</v>
      </c>
      <c r="J279" s="4" t="e">
        <f t="shared" si="365"/>
        <v>#VALUE!</v>
      </c>
      <c r="K279" s="4" t="e">
        <f t="shared" si="366"/>
        <v>#VALUE!</v>
      </c>
      <c r="L279" s="4" t="e">
        <f t="shared" si="367"/>
        <v>#VALUE!</v>
      </c>
      <c r="M279" s="4">
        <f t="shared" si="342"/>
        <v>1000</v>
      </c>
      <c r="N279" s="4">
        <f t="shared" ref="N279:O279" si="371">MIN(IFERROR(FIND(" ",$C279,M279+1),1000))</f>
        <v>1000</v>
      </c>
      <c r="O279" s="4">
        <f t="shared" si="371"/>
        <v>1000</v>
      </c>
      <c r="P279" s="4">
        <f t="shared" si="344"/>
        <v>0</v>
      </c>
      <c r="Q279" s="4" t="str">
        <f t="shared" si="291"/>
        <v/>
      </c>
      <c r="R279" s="4" t="str">
        <f t="shared" si="307"/>
        <v/>
      </c>
      <c r="S279" s="4" t="str">
        <f t="shared" si="297"/>
        <v/>
      </c>
      <c r="T279" s="4" t="e">
        <f t="shared" si="345"/>
        <v>#VALUE!</v>
      </c>
      <c r="U279" s="4" t="e">
        <f t="shared" si="346"/>
        <v>#VALUE!</v>
      </c>
      <c r="V279" s="4" t="b">
        <f t="shared" si="337"/>
        <v>0</v>
      </c>
      <c r="W279" s="13" t="str">
        <f t="shared" si="338"/>
        <v>Да</v>
      </c>
      <c r="X279" s="4" t="e">
        <f>(IF(COUNTIFS($G$2:G279,"+",$W$2:W279,"Да")&gt;1,"&amp; ","")&amp;D279&amp;J279&amp;E279&amp;SUBSTITUTE(L279,"""",""))</f>
        <v>#VALUE!</v>
      </c>
      <c r="Y279" s="4" t="e">
        <f t="shared" si="294"/>
        <v>#VALUE!</v>
      </c>
    </row>
    <row r="280" spans="1:25" x14ac:dyDescent="0.3">
      <c r="A280" s="11"/>
      <c r="B280" s="5" t="str">
        <f t="shared" si="339"/>
        <v/>
      </c>
      <c r="C280" s="5" t="str">
        <f t="shared" si="340"/>
        <v/>
      </c>
      <c r="D280" s="4" t="s">
        <v>10</v>
      </c>
      <c r="E280" s="4" t="s">
        <v>11</v>
      </c>
      <c r="F280" s="4" t="str">
        <f t="shared" si="363"/>
        <v>!!!</v>
      </c>
      <c r="G280" s="4" t="str">
        <f t="shared" si="341"/>
        <v>+</v>
      </c>
      <c r="H280" s="4"/>
      <c r="I280" s="4" t="str">
        <f t="shared" si="364"/>
        <v>!!!</v>
      </c>
      <c r="J280" s="4" t="e">
        <f t="shared" si="365"/>
        <v>#VALUE!</v>
      </c>
      <c r="K280" s="4" t="e">
        <f t="shared" si="366"/>
        <v>#VALUE!</v>
      </c>
      <c r="L280" s="4" t="e">
        <f t="shared" si="367"/>
        <v>#VALUE!</v>
      </c>
      <c r="M280" s="4">
        <f t="shared" si="342"/>
        <v>1000</v>
      </c>
      <c r="N280" s="4">
        <f t="shared" ref="N280:O280" si="372">MIN(IFERROR(FIND(" ",$C280,M280+1),1000))</f>
        <v>1000</v>
      </c>
      <c r="O280" s="4">
        <f t="shared" si="372"/>
        <v>1000</v>
      </c>
      <c r="P280" s="4">
        <f t="shared" si="344"/>
        <v>0</v>
      </c>
      <c r="Q280" s="4" t="str">
        <f t="shared" ref="Q280:Q343" si="373">LEFT(C280,M280-1)</f>
        <v/>
      </c>
      <c r="R280" s="4" t="str">
        <f t="shared" si="307"/>
        <v/>
      </c>
      <c r="S280" s="4" t="str">
        <f t="shared" si="297"/>
        <v/>
      </c>
      <c r="T280" s="4" t="e">
        <f t="shared" si="345"/>
        <v>#VALUE!</v>
      </c>
      <c r="U280" s="4" t="e">
        <f t="shared" si="346"/>
        <v>#VALUE!</v>
      </c>
      <c r="V280" s="4" t="b">
        <f t="shared" si="337"/>
        <v>0</v>
      </c>
      <c r="W280" s="13" t="str">
        <f t="shared" si="338"/>
        <v>Да</v>
      </c>
      <c r="X280" s="4" t="e">
        <f>(IF(COUNTIFS($G$2:G280,"+",$W$2:W280,"Да")&gt;1,"&amp; ","")&amp;D280&amp;J280&amp;E280&amp;SUBSTITUTE(L280,"""",""))</f>
        <v>#VALUE!</v>
      </c>
      <c r="Y280" s="4" t="e">
        <f t="shared" si="294"/>
        <v>#VALUE!</v>
      </c>
    </row>
    <row r="281" spans="1:25" x14ac:dyDescent="0.3">
      <c r="A281" s="11"/>
      <c r="B281" s="5" t="str">
        <f t="shared" si="339"/>
        <v/>
      </c>
      <c r="C281" s="5" t="str">
        <f t="shared" si="340"/>
        <v/>
      </c>
      <c r="D281" s="4" t="s">
        <v>10</v>
      </c>
      <c r="E281" s="4" t="s">
        <v>11</v>
      </c>
      <c r="F281" s="4" t="str">
        <f t="shared" si="363"/>
        <v>!!!</v>
      </c>
      <c r="G281" s="4" t="str">
        <f t="shared" si="341"/>
        <v>+</v>
      </c>
      <c r="H281" s="4"/>
      <c r="I281" s="4" t="str">
        <f t="shared" si="364"/>
        <v>!!!</v>
      </c>
      <c r="J281" s="4" t="e">
        <f t="shared" si="365"/>
        <v>#VALUE!</v>
      </c>
      <c r="K281" s="4" t="e">
        <f t="shared" si="366"/>
        <v>#VALUE!</v>
      </c>
      <c r="L281" s="4" t="e">
        <f t="shared" si="367"/>
        <v>#VALUE!</v>
      </c>
      <c r="M281" s="4">
        <f t="shared" si="342"/>
        <v>1000</v>
      </c>
      <c r="N281" s="4">
        <f t="shared" ref="N281:O281" si="374">MIN(IFERROR(FIND(" ",$C281,M281+1),1000))</f>
        <v>1000</v>
      </c>
      <c r="O281" s="4">
        <f t="shared" si="374"/>
        <v>1000</v>
      </c>
      <c r="P281" s="4">
        <f t="shared" si="344"/>
        <v>0</v>
      </c>
      <c r="Q281" s="4" t="str">
        <f t="shared" si="373"/>
        <v/>
      </c>
      <c r="R281" s="4" t="str">
        <f t="shared" si="307"/>
        <v/>
      </c>
      <c r="S281" s="4" t="str">
        <f t="shared" si="297"/>
        <v/>
      </c>
      <c r="T281" s="4" t="e">
        <f t="shared" si="345"/>
        <v>#VALUE!</v>
      </c>
      <c r="U281" s="4" t="e">
        <f t="shared" si="346"/>
        <v>#VALUE!</v>
      </c>
      <c r="V281" s="4" t="b">
        <f t="shared" si="337"/>
        <v>0</v>
      </c>
      <c r="W281" s="13" t="str">
        <f t="shared" si="338"/>
        <v>Да</v>
      </c>
      <c r="X281" s="4" t="e">
        <f>(IF(COUNTIFS($G$2:G281,"+",$W$2:W281,"Да")&gt;1,"&amp; ","")&amp;D281&amp;J281&amp;E281&amp;SUBSTITUTE(L281,"""",""))</f>
        <v>#VALUE!</v>
      </c>
      <c r="Y281" s="4" t="e">
        <f t="shared" si="294"/>
        <v>#VALUE!</v>
      </c>
    </row>
    <row r="282" spans="1:25" x14ac:dyDescent="0.3">
      <c r="A282" s="11"/>
      <c r="B282" s="5" t="str">
        <f t="shared" si="339"/>
        <v/>
      </c>
      <c r="C282" s="5" t="str">
        <f t="shared" si="340"/>
        <v/>
      </c>
      <c r="D282" s="4" t="s">
        <v>10</v>
      </c>
      <c r="E282" s="4" t="s">
        <v>11</v>
      </c>
      <c r="F282" s="4" t="str">
        <f t="shared" si="363"/>
        <v>!!!</v>
      </c>
      <c r="G282" s="4" t="str">
        <f t="shared" si="341"/>
        <v>+</v>
      </c>
      <c r="H282" s="4"/>
      <c r="I282" s="4" t="str">
        <f t="shared" si="364"/>
        <v>!!!</v>
      </c>
      <c r="J282" s="4" t="e">
        <f t="shared" si="365"/>
        <v>#VALUE!</v>
      </c>
      <c r="K282" s="4" t="e">
        <f t="shared" si="366"/>
        <v>#VALUE!</v>
      </c>
      <c r="L282" s="4" t="e">
        <f t="shared" si="367"/>
        <v>#VALUE!</v>
      </c>
      <c r="M282" s="4">
        <f t="shared" si="342"/>
        <v>1000</v>
      </c>
      <c r="N282" s="4">
        <f t="shared" ref="N282:O282" si="375">MIN(IFERROR(FIND(" ",$C282,M282+1),1000))</f>
        <v>1000</v>
      </c>
      <c r="O282" s="4">
        <f t="shared" si="375"/>
        <v>1000</v>
      </c>
      <c r="P282" s="4">
        <f t="shared" si="344"/>
        <v>0</v>
      </c>
      <c r="Q282" s="4" t="str">
        <f t="shared" si="373"/>
        <v/>
      </c>
      <c r="R282" s="4" t="str">
        <f t="shared" si="307"/>
        <v/>
      </c>
      <c r="S282" s="4" t="str">
        <f t="shared" si="297"/>
        <v/>
      </c>
      <c r="T282" s="4" t="e">
        <f t="shared" si="345"/>
        <v>#VALUE!</v>
      </c>
      <c r="U282" s="4" t="e">
        <f t="shared" si="346"/>
        <v>#VALUE!</v>
      </c>
      <c r="V282" s="4" t="b">
        <f t="shared" si="337"/>
        <v>0</v>
      </c>
      <c r="W282" s="13" t="str">
        <f t="shared" si="338"/>
        <v>Да</v>
      </c>
      <c r="X282" s="4" t="e">
        <f>(IF(COUNTIFS($G$2:G282,"+",$W$2:W282,"Да")&gt;1,"&amp; ","")&amp;D282&amp;J282&amp;E282&amp;SUBSTITUTE(L282,"""",""))</f>
        <v>#VALUE!</v>
      </c>
      <c r="Y282" s="4" t="e">
        <f t="shared" ref="Y282:Y345" si="376">IF(S282="",X282,LEFT(X282,FIND(":",X282))&amp;" "&amp;S282)</f>
        <v>#VALUE!</v>
      </c>
    </row>
    <row r="283" spans="1:25" x14ac:dyDescent="0.3">
      <c r="A283" s="11"/>
      <c r="B283" s="5" t="str">
        <f t="shared" si="339"/>
        <v/>
      </c>
      <c r="C283" s="5" t="str">
        <f t="shared" si="340"/>
        <v/>
      </c>
      <c r="D283" s="4" t="s">
        <v>10</v>
      </c>
      <c r="E283" s="4" t="s">
        <v>11</v>
      </c>
      <c r="F283" s="4" t="str">
        <f t="shared" si="363"/>
        <v>!!!</v>
      </c>
      <c r="G283" s="4" t="str">
        <f t="shared" si="341"/>
        <v>+</v>
      </c>
      <c r="H283" s="4"/>
      <c r="I283" s="4" t="str">
        <f t="shared" si="364"/>
        <v>!!!</v>
      </c>
      <c r="J283" s="4" t="e">
        <f t="shared" si="365"/>
        <v>#VALUE!</v>
      </c>
      <c r="K283" s="4" t="e">
        <f t="shared" si="366"/>
        <v>#VALUE!</v>
      </c>
      <c r="L283" s="4" t="e">
        <f t="shared" si="367"/>
        <v>#VALUE!</v>
      </c>
      <c r="M283" s="4">
        <f t="shared" si="342"/>
        <v>1000</v>
      </c>
      <c r="N283" s="4">
        <f t="shared" ref="N283:O283" si="377">MIN(IFERROR(FIND(" ",$C283,M283+1),1000))</f>
        <v>1000</v>
      </c>
      <c r="O283" s="4">
        <f t="shared" si="377"/>
        <v>1000</v>
      </c>
      <c r="P283" s="4">
        <f t="shared" si="344"/>
        <v>0</v>
      </c>
      <c r="Q283" s="4" t="str">
        <f t="shared" si="373"/>
        <v/>
      </c>
      <c r="R283" s="4" t="str">
        <f t="shared" si="307"/>
        <v/>
      </c>
      <c r="S283" s="4" t="str">
        <f t="shared" si="297"/>
        <v/>
      </c>
      <c r="T283" s="4" t="e">
        <f t="shared" si="345"/>
        <v>#VALUE!</v>
      </c>
      <c r="U283" s="4" t="e">
        <f t="shared" si="346"/>
        <v>#VALUE!</v>
      </c>
      <c r="V283" s="4" t="b">
        <f t="shared" si="337"/>
        <v>0</v>
      </c>
      <c r="W283" s="13" t="str">
        <f t="shared" si="338"/>
        <v>Да</v>
      </c>
      <c r="X283" s="4" t="e">
        <f>(IF(COUNTIFS($G$2:G283,"+",$W$2:W283,"Да")&gt;1,"&amp; ","")&amp;D283&amp;J283&amp;E283&amp;SUBSTITUTE(L283,"""",""))</f>
        <v>#VALUE!</v>
      </c>
      <c r="Y283" s="4" t="e">
        <f t="shared" si="376"/>
        <v>#VALUE!</v>
      </c>
    </row>
    <row r="284" spans="1:25" x14ac:dyDescent="0.3">
      <c r="A284" s="11"/>
      <c r="B284" s="5" t="str">
        <f t="shared" si="339"/>
        <v/>
      </c>
      <c r="C284" s="5" t="str">
        <f t="shared" si="340"/>
        <v/>
      </c>
      <c r="D284" s="4" t="s">
        <v>10</v>
      </c>
      <c r="E284" s="4" t="s">
        <v>11</v>
      </c>
      <c r="F284" s="4" t="str">
        <f t="shared" si="363"/>
        <v>!!!</v>
      </c>
      <c r="G284" s="4" t="str">
        <f t="shared" si="341"/>
        <v>+</v>
      </c>
      <c r="H284" s="4"/>
      <c r="I284" s="4" t="str">
        <f t="shared" si="364"/>
        <v>!!!</v>
      </c>
      <c r="J284" s="4" t="e">
        <f t="shared" si="365"/>
        <v>#VALUE!</v>
      </c>
      <c r="K284" s="4" t="e">
        <f t="shared" si="366"/>
        <v>#VALUE!</v>
      </c>
      <c r="L284" s="4" t="e">
        <f t="shared" si="367"/>
        <v>#VALUE!</v>
      </c>
      <c r="M284" s="4">
        <f t="shared" si="342"/>
        <v>1000</v>
      </c>
      <c r="N284" s="4">
        <f t="shared" ref="N284:O284" si="378">MIN(IFERROR(FIND(" ",$C284,M284+1),1000))</f>
        <v>1000</v>
      </c>
      <c r="O284" s="4">
        <f t="shared" si="378"/>
        <v>1000</v>
      </c>
      <c r="P284" s="4">
        <f t="shared" si="344"/>
        <v>0</v>
      </c>
      <c r="Q284" s="4" t="str">
        <f t="shared" si="373"/>
        <v/>
      </c>
      <c r="R284" s="4" t="str">
        <f t="shared" si="307"/>
        <v/>
      </c>
      <c r="S284" s="4" t="str">
        <f t="shared" ref="S284:S347" si="379">IFERROR(IF(LEFT(A283,1)="'",SUBSTITUTE(A283,"'",""),""),"")</f>
        <v/>
      </c>
      <c r="T284" s="4" t="e">
        <f t="shared" si="345"/>
        <v>#VALUE!</v>
      </c>
      <c r="U284" s="4" t="e">
        <f t="shared" si="346"/>
        <v>#VALUE!</v>
      </c>
      <c r="V284" s="4" t="b">
        <f t="shared" si="337"/>
        <v>0</v>
      </c>
      <c r="W284" s="13" t="str">
        <f t="shared" si="338"/>
        <v>Да</v>
      </c>
      <c r="X284" s="4" t="e">
        <f>(IF(COUNTIFS($G$2:G284,"+",$W$2:W284,"Да")&gt;1,"&amp; ","")&amp;D284&amp;J284&amp;E284&amp;SUBSTITUTE(L284,"""",""))</f>
        <v>#VALUE!</v>
      </c>
      <c r="Y284" s="4" t="e">
        <f t="shared" si="376"/>
        <v>#VALUE!</v>
      </c>
    </row>
    <row r="285" spans="1:25" x14ac:dyDescent="0.3">
      <c r="A285" s="11"/>
      <c r="B285" s="5" t="str">
        <f t="shared" si="339"/>
        <v/>
      </c>
      <c r="C285" s="5" t="str">
        <f t="shared" si="340"/>
        <v/>
      </c>
      <c r="D285" s="4" t="s">
        <v>10</v>
      </c>
      <c r="E285" s="4" t="s">
        <v>11</v>
      </c>
      <c r="F285" s="4" t="str">
        <f t="shared" si="363"/>
        <v>!!!</v>
      </c>
      <c r="G285" s="4" t="str">
        <f t="shared" si="341"/>
        <v>+</v>
      </c>
      <c r="H285" s="4"/>
      <c r="I285" s="4" t="str">
        <f t="shared" si="364"/>
        <v>!!!</v>
      </c>
      <c r="J285" s="4" t="e">
        <f t="shared" si="365"/>
        <v>#VALUE!</v>
      </c>
      <c r="K285" s="4" t="e">
        <f t="shared" si="366"/>
        <v>#VALUE!</v>
      </c>
      <c r="L285" s="4" t="e">
        <f t="shared" si="367"/>
        <v>#VALUE!</v>
      </c>
      <c r="M285" s="4">
        <f t="shared" si="342"/>
        <v>1000</v>
      </c>
      <c r="N285" s="4">
        <f t="shared" ref="N285:O285" si="380">MIN(IFERROR(FIND(" ",$C285,M285+1),1000))</f>
        <v>1000</v>
      </c>
      <c r="O285" s="4">
        <f t="shared" si="380"/>
        <v>1000</v>
      </c>
      <c r="P285" s="4">
        <f t="shared" si="344"/>
        <v>0</v>
      </c>
      <c r="Q285" s="4" t="str">
        <f t="shared" si="373"/>
        <v/>
      </c>
      <c r="R285" s="4" t="str">
        <f t="shared" si="307"/>
        <v/>
      </c>
      <c r="S285" s="4" t="str">
        <f t="shared" si="379"/>
        <v/>
      </c>
      <c r="T285" s="4" t="e">
        <f t="shared" si="345"/>
        <v>#VALUE!</v>
      </c>
      <c r="U285" s="4" t="e">
        <f t="shared" si="346"/>
        <v>#VALUE!</v>
      </c>
      <c r="V285" s="4" t="b">
        <f t="shared" si="337"/>
        <v>0</v>
      </c>
      <c r="W285" s="13" t="str">
        <f t="shared" si="338"/>
        <v>Да</v>
      </c>
      <c r="X285" s="4" t="e">
        <f>(IF(COUNTIFS($G$2:G285,"+",$W$2:W285,"Да")&gt;1,"&amp; ","")&amp;D285&amp;J285&amp;E285&amp;SUBSTITUTE(L285,"""",""))</f>
        <v>#VALUE!</v>
      </c>
      <c r="Y285" s="4" t="e">
        <f t="shared" si="376"/>
        <v>#VALUE!</v>
      </c>
    </row>
    <row r="286" spans="1:25" x14ac:dyDescent="0.3">
      <c r="A286" s="11"/>
      <c r="B286" s="5" t="str">
        <f t="shared" si="339"/>
        <v/>
      </c>
      <c r="C286" s="5" t="str">
        <f t="shared" si="340"/>
        <v/>
      </c>
      <c r="D286" s="4" t="s">
        <v>10</v>
      </c>
      <c r="E286" s="4" t="s">
        <v>11</v>
      </c>
      <c r="F286" s="4" t="str">
        <f t="shared" si="363"/>
        <v>!!!</v>
      </c>
      <c r="G286" s="4" t="str">
        <f t="shared" si="341"/>
        <v>+</v>
      </c>
      <c r="H286" s="4"/>
      <c r="I286" s="4" t="str">
        <f t="shared" si="364"/>
        <v>!!!</v>
      </c>
      <c r="J286" s="4" t="e">
        <f t="shared" si="365"/>
        <v>#VALUE!</v>
      </c>
      <c r="K286" s="4" t="e">
        <f t="shared" si="366"/>
        <v>#VALUE!</v>
      </c>
      <c r="L286" s="4" t="e">
        <f t="shared" si="367"/>
        <v>#VALUE!</v>
      </c>
      <c r="M286" s="4">
        <f t="shared" si="342"/>
        <v>1000</v>
      </c>
      <c r="N286" s="4">
        <f t="shared" ref="N286:O286" si="381">MIN(IFERROR(FIND(" ",$C286,M286+1),1000))</f>
        <v>1000</v>
      </c>
      <c r="O286" s="4">
        <f t="shared" si="381"/>
        <v>1000</v>
      </c>
      <c r="P286" s="4">
        <f t="shared" si="344"/>
        <v>0</v>
      </c>
      <c r="Q286" s="4" t="str">
        <f t="shared" si="373"/>
        <v/>
      </c>
      <c r="R286" s="4" t="str">
        <f t="shared" si="307"/>
        <v/>
      </c>
      <c r="S286" s="4" t="str">
        <f t="shared" si="379"/>
        <v/>
      </c>
      <c r="T286" s="4" t="e">
        <f t="shared" si="345"/>
        <v>#VALUE!</v>
      </c>
      <c r="U286" s="4" t="e">
        <f t="shared" si="346"/>
        <v>#VALUE!</v>
      </c>
      <c r="V286" s="4" t="b">
        <f t="shared" si="337"/>
        <v>0</v>
      </c>
      <c r="W286" s="13" t="str">
        <f t="shared" si="338"/>
        <v>Да</v>
      </c>
      <c r="X286" s="4" t="e">
        <f>(IF(COUNTIFS($G$2:G286,"+",$W$2:W286,"Да")&gt;1,"&amp; ","")&amp;D286&amp;J286&amp;E286&amp;SUBSTITUTE(L286,"""",""))</f>
        <v>#VALUE!</v>
      </c>
      <c r="Y286" s="4" t="e">
        <f t="shared" si="376"/>
        <v>#VALUE!</v>
      </c>
    </row>
    <row r="287" spans="1:25" x14ac:dyDescent="0.3">
      <c r="A287" s="11"/>
      <c r="B287" s="5" t="str">
        <f t="shared" si="339"/>
        <v/>
      </c>
      <c r="C287" s="5" t="str">
        <f t="shared" si="340"/>
        <v/>
      </c>
      <c r="D287" s="4" t="s">
        <v>10</v>
      </c>
      <c r="E287" s="4" t="s">
        <v>11</v>
      </c>
      <c r="F287" s="4" t="str">
        <f t="shared" si="363"/>
        <v>!!!</v>
      </c>
      <c r="G287" s="4" t="str">
        <f t="shared" si="341"/>
        <v>+</v>
      </c>
      <c r="H287" s="4"/>
      <c r="I287" s="4" t="str">
        <f t="shared" si="364"/>
        <v>!!!</v>
      </c>
      <c r="J287" s="4" t="e">
        <f t="shared" si="365"/>
        <v>#VALUE!</v>
      </c>
      <c r="K287" s="4" t="e">
        <f t="shared" si="366"/>
        <v>#VALUE!</v>
      </c>
      <c r="L287" s="4" t="e">
        <f t="shared" si="367"/>
        <v>#VALUE!</v>
      </c>
      <c r="M287" s="4">
        <f t="shared" si="342"/>
        <v>1000</v>
      </c>
      <c r="N287" s="4">
        <f t="shared" ref="N287:O287" si="382">MIN(IFERROR(FIND(" ",$C287,M287+1),1000))</f>
        <v>1000</v>
      </c>
      <c r="O287" s="4">
        <f t="shared" si="382"/>
        <v>1000</v>
      </c>
      <c r="P287" s="4">
        <f t="shared" si="344"/>
        <v>0</v>
      </c>
      <c r="Q287" s="4" t="str">
        <f t="shared" si="373"/>
        <v/>
      </c>
      <c r="R287" s="4" t="str">
        <f t="shared" si="307"/>
        <v/>
      </c>
      <c r="S287" s="4" t="str">
        <f t="shared" si="379"/>
        <v/>
      </c>
      <c r="T287" s="4" t="e">
        <f t="shared" si="345"/>
        <v>#VALUE!</v>
      </c>
      <c r="U287" s="4" t="e">
        <f t="shared" si="346"/>
        <v>#VALUE!</v>
      </c>
      <c r="V287" s="4" t="b">
        <f t="shared" si="337"/>
        <v>0</v>
      </c>
      <c r="W287" s="13" t="str">
        <f t="shared" si="338"/>
        <v>Да</v>
      </c>
      <c r="X287" s="4" t="e">
        <f>(IF(COUNTIFS($G$2:G287,"+",$W$2:W287,"Да")&gt;1,"&amp; ","")&amp;D287&amp;J287&amp;E287&amp;SUBSTITUTE(L287,"""",""))</f>
        <v>#VALUE!</v>
      </c>
      <c r="Y287" s="4" t="e">
        <f t="shared" si="376"/>
        <v>#VALUE!</v>
      </c>
    </row>
    <row r="288" spans="1:25" x14ac:dyDescent="0.3">
      <c r="A288" s="11"/>
      <c r="B288" s="5" t="str">
        <f t="shared" si="339"/>
        <v/>
      </c>
      <c r="C288" s="5" t="str">
        <f t="shared" si="340"/>
        <v/>
      </c>
      <c r="D288" s="4" t="s">
        <v>10</v>
      </c>
      <c r="E288" s="4" t="s">
        <v>11</v>
      </c>
      <c r="F288" s="4" t="str">
        <f t="shared" si="363"/>
        <v>!!!</v>
      </c>
      <c r="G288" s="4" t="str">
        <f t="shared" si="341"/>
        <v>+</v>
      </c>
      <c r="H288" s="4"/>
      <c r="I288" s="4" t="str">
        <f t="shared" si="364"/>
        <v>!!!</v>
      </c>
      <c r="J288" s="4" t="e">
        <f t="shared" si="365"/>
        <v>#VALUE!</v>
      </c>
      <c r="K288" s="4" t="e">
        <f t="shared" si="366"/>
        <v>#VALUE!</v>
      </c>
      <c r="L288" s="4" t="e">
        <f t="shared" si="367"/>
        <v>#VALUE!</v>
      </c>
      <c r="M288" s="4">
        <f t="shared" si="342"/>
        <v>1000</v>
      </c>
      <c r="N288" s="4">
        <f t="shared" ref="N288:O288" si="383">MIN(IFERROR(FIND(" ",$C288,M288+1),1000))</f>
        <v>1000</v>
      </c>
      <c r="O288" s="4">
        <f t="shared" si="383"/>
        <v>1000</v>
      </c>
      <c r="P288" s="4">
        <f t="shared" si="344"/>
        <v>0</v>
      </c>
      <c r="Q288" s="4" t="str">
        <f t="shared" si="373"/>
        <v/>
      </c>
      <c r="R288" s="4" t="str">
        <f t="shared" si="307"/>
        <v/>
      </c>
      <c r="S288" s="4" t="str">
        <f t="shared" si="379"/>
        <v/>
      </c>
      <c r="T288" s="4" t="e">
        <f t="shared" si="345"/>
        <v>#VALUE!</v>
      </c>
      <c r="U288" s="4" t="e">
        <f t="shared" si="346"/>
        <v>#VALUE!</v>
      </c>
      <c r="V288" s="4" t="b">
        <f t="shared" si="337"/>
        <v>0</v>
      </c>
      <c r="W288" s="13" t="str">
        <f t="shared" si="338"/>
        <v>Да</v>
      </c>
      <c r="X288" s="4" t="e">
        <f>(IF(COUNTIFS($G$2:G288,"+",$W$2:W288,"Да")&gt;1,"&amp; ","")&amp;D288&amp;J288&amp;E288&amp;SUBSTITUTE(L288,"""",""))</f>
        <v>#VALUE!</v>
      </c>
      <c r="Y288" s="4" t="e">
        <f t="shared" si="376"/>
        <v>#VALUE!</v>
      </c>
    </row>
    <row r="289" spans="1:25" x14ac:dyDescent="0.3">
      <c r="A289" s="11"/>
      <c r="B289" s="5" t="str">
        <f t="shared" si="339"/>
        <v/>
      </c>
      <c r="C289" s="5" t="str">
        <f t="shared" si="340"/>
        <v/>
      </c>
      <c r="D289" s="4" t="s">
        <v>10</v>
      </c>
      <c r="E289" s="4" t="s">
        <v>11</v>
      </c>
      <c r="F289" s="4" t="str">
        <f t="shared" si="363"/>
        <v>!!!</v>
      </c>
      <c r="G289" s="4" t="str">
        <f t="shared" si="341"/>
        <v>+</v>
      </c>
      <c r="H289" s="4"/>
      <c r="I289" s="4" t="str">
        <f t="shared" si="364"/>
        <v>!!!</v>
      </c>
      <c r="J289" s="4" t="e">
        <f t="shared" si="365"/>
        <v>#VALUE!</v>
      </c>
      <c r="K289" s="4" t="e">
        <f t="shared" si="366"/>
        <v>#VALUE!</v>
      </c>
      <c r="L289" s="4" t="e">
        <f t="shared" si="367"/>
        <v>#VALUE!</v>
      </c>
      <c r="M289" s="4">
        <f t="shared" si="342"/>
        <v>1000</v>
      </c>
      <c r="N289" s="4">
        <f t="shared" ref="N289:O289" si="384">MIN(IFERROR(FIND(" ",$C289,M289+1),1000))</f>
        <v>1000</v>
      </c>
      <c r="O289" s="4">
        <f t="shared" si="384"/>
        <v>1000</v>
      </c>
      <c r="P289" s="4">
        <f t="shared" si="344"/>
        <v>0</v>
      </c>
      <c r="Q289" s="4" t="str">
        <f t="shared" si="373"/>
        <v/>
      </c>
      <c r="R289" s="4" t="str">
        <f t="shared" si="307"/>
        <v/>
      </c>
      <c r="S289" s="4" t="str">
        <f t="shared" si="379"/>
        <v/>
      </c>
      <c r="T289" s="4" t="e">
        <f t="shared" si="345"/>
        <v>#VALUE!</v>
      </c>
      <c r="U289" s="4" t="e">
        <f t="shared" si="346"/>
        <v>#VALUE!</v>
      </c>
      <c r="V289" s="4" t="b">
        <f t="shared" si="337"/>
        <v>0</v>
      </c>
      <c r="W289" s="13" t="str">
        <f t="shared" si="338"/>
        <v>Да</v>
      </c>
      <c r="X289" s="4" t="e">
        <f>(IF(COUNTIFS($G$2:G289,"+",$W$2:W289,"Да")&gt;1,"&amp; ","")&amp;D289&amp;J289&amp;E289&amp;SUBSTITUTE(L289,"""",""))</f>
        <v>#VALUE!</v>
      </c>
      <c r="Y289" s="4" t="e">
        <f t="shared" si="376"/>
        <v>#VALUE!</v>
      </c>
    </row>
    <row r="290" spans="1:25" x14ac:dyDescent="0.3">
      <c r="A290" s="11"/>
      <c r="B290" s="5" t="str">
        <f t="shared" si="339"/>
        <v/>
      </c>
      <c r="C290" s="5" t="str">
        <f t="shared" si="340"/>
        <v/>
      </c>
      <c r="D290" s="4" t="s">
        <v>10</v>
      </c>
      <c r="E290" s="4" t="s">
        <v>11</v>
      </c>
      <c r="F290" s="4" t="str">
        <f t="shared" si="363"/>
        <v>!!!</v>
      </c>
      <c r="G290" s="4" t="str">
        <f t="shared" si="341"/>
        <v>+</v>
      </c>
      <c r="H290" s="4"/>
      <c r="I290" s="4" t="str">
        <f t="shared" si="364"/>
        <v>!!!</v>
      </c>
      <c r="J290" s="4" t="e">
        <f t="shared" si="365"/>
        <v>#VALUE!</v>
      </c>
      <c r="K290" s="4" t="e">
        <f t="shared" si="366"/>
        <v>#VALUE!</v>
      </c>
      <c r="L290" s="4" t="e">
        <f t="shared" si="367"/>
        <v>#VALUE!</v>
      </c>
      <c r="M290" s="4">
        <f t="shared" si="342"/>
        <v>1000</v>
      </c>
      <c r="N290" s="4">
        <f t="shared" ref="N290:O290" si="385">MIN(IFERROR(FIND(" ",$C290,M290+1),1000))</f>
        <v>1000</v>
      </c>
      <c r="O290" s="4">
        <f t="shared" si="385"/>
        <v>1000</v>
      </c>
      <c r="P290" s="4">
        <f t="shared" si="344"/>
        <v>0</v>
      </c>
      <c r="Q290" s="4" t="str">
        <f t="shared" si="373"/>
        <v/>
      </c>
      <c r="R290" s="4" t="str">
        <f t="shared" si="307"/>
        <v/>
      </c>
      <c r="S290" s="4" t="str">
        <f t="shared" si="379"/>
        <v/>
      </c>
      <c r="T290" s="4" t="e">
        <f t="shared" si="345"/>
        <v>#VALUE!</v>
      </c>
      <c r="U290" s="4" t="e">
        <f t="shared" si="346"/>
        <v>#VALUE!</v>
      </c>
      <c r="V290" s="4" t="b">
        <f t="shared" si="337"/>
        <v>0</v>
      </c>
      <c r="W290" s="13" t="str">
        <f t="shared" si="338"/>
        <v>Да</v>
      </c>
      <c r="X290" s="4" t="e">
        <f>(IF(COUNTIFS($G$2:G290,"+",$W$2:W290,"Да")&gt;1,"&amp; ","")&amp;D290&amp;J290&amp;E290&amp;SUBSTITUTE(L290,"""",""))</f>
        <v>#VALUE!</v>
      </c>
      <c r="Y290" s="4" t="e">
        <f t="shared" si="376"/>
        <v>#VALUE!</v>
      </c>
    </row>
    <row r="291" spans="1:25" x14ac:dyDescent="0.3">
      <c r="A291" s="11"/>
      <c r="B291" s="5" t="str">
        <f t="shared" si="339"/>
        <v/>
      </c>
      <c r="C291" s="5" t="str">
        <f t="shared" si="340"/>
        <v/>
      </c>
      <c r="D291" s="4" t="s">
        <v>10</v>
      </c>
      <c r="E291" s="4" t="s">
        <v>11</v>
      </c>
      <c r="F291" s="4" t="str">
        <f t="shared" si="363"/>
        <v>!!!</v>
      </c>
      <c r="G291" s="4" t="str">
        <f t="shared" si="341"/>
        <v>+</v>
      </c>
      <c r="H291" s="4"/>
      <c r="I291" s="4" t="str">
        <f t="shared" si="364"/>
        <v>!!!</v>
      </c>
      <c r="J291" s="4" t="e">
        <f t="shared" si="365"/>
        <v>#VALUE!</v>
      </c>
      <c r="K291" s="4" t="e">
        <f t="shared" si="366"/>
        <v>#VALUE!</v>
      </c>
      <c r="L291" s="4" t="e">
        <f t="shared" si="367"/>
        <v>#VALUE!</v>
      </c>
      <c r="M291" s="4">
        <f t="shared" si="342"/>
        <v>1000</v>
      </c>
      <c r="N291" s="4">
        <f t="shared" ref="N291:O291" si="386">MIN(IFERROR(FIND(" ",$C291,M291+1),1000))</f>
        <v>1000</v>
      </c>
      <c r="O291" s="4">
        <f t="shared" si="386"/>
        <v>1000</v>
      </c>
      <c r="P291" s="4">
        <f t="shared" si="344"/>
        <v>0</v>
      </c>
      <c r="Q291" s="4" t="str">
        <f t="shared" si="373"/>
        <v/>
      </c>
      <c r="R291" s="4" t="str">
        <f t="shared" si="307"/>
        <v/>
      </c>
      <c r="S291" s="4" t="str">
        <f t="shared" si="379"/>
        <v/>
      </c>
      <c r="T291" s="4" t="e">
        <f t="shared" si="345"/>
        <v>#VALUE!</v>
      </c>
      <c r="U291" s="4" t="e">
        <f t="shared" si="346"/>
        <v>#VALUE!</v>
      </c>
      <c r="V291" s="4" t="b">
        <f t="shared" si="337"/>
        <v>0</v>
      </c>
      <c r="W291" s="13" t="str">
        <f t="shared" si="338"/>
        <v>Да</v>
      </c>
      <c r="X291" s="4" t="e">
        <f>(IF(COUNTIFS($G$2:G291,"+",$W$2:W291,"Да")&gt;1,"&amp; ","")&amp;D291&amp;J291&amp;E291&amp;SUBSTITUTE(L291,"""",""))</f>
        <v>#VALUE!</v>
      </c>
      <c r="Y291" s="4" t="e">
        <f t="shared" si="376"/>
        <v>#VALUE!</v>
      </c>
    </row>
    <row r="292" spans="1:25" x14ac:dyDescent="0.3">
      <c r="A292" s="11"/>
      <c r="B292" s="5" t="str">
        <f t="shared" si="339"/>
        <v/>
      </c>
      <c r="C292" s="5" t="str">
        <f t="shared" si="340"/>
        <v/>
      </c>
      <c r="D292" s="4" t="s">
        <v>10</v>
      </c>
      <c r="E292" s="4" t="s">
        <v>11</v>
      </c>
      <c r="F292" s="4" t="str">
        <f t="shared" si="363"/>
        <v>!!!</v>
      </c>
      <c r="G292" s="4" t="str">
        <f t="shared" si="341"/>
        <v>+</v>
      </c>
      <c r="H292" s="4"/>
      <c r="I292" s="4" t="str">
        <f t="shared" si="364"/>
        <v>!!!</v>
      </c>
      <c r="J292" s="4" t="e">
        <f t="shared" si="365"/>
        <v>#VALUE!</v>
      </c>
      <c r="K292" s="4" t="e">
        <f t="shared" si="366"/>
        <v>#VALUE!</v>
      </c>
      <c r="L292" s="4" t="e">
        <f t="shared" si="367"/>
        <v>#VALUE!</v>
      </c>
      <c r="M292" s="4">
        <f t="shared" si="342"/>
        <v>1000</v>
      </c>
      <c r="N292" s="4">
        <f t="shared" ref="N292:O292" si="387">MIN(IFERROR(FIND(" ",$C292,M292+1),1000))</f>
        <v>1000</v>
      </c>
      <c r="O292" s="4">
        <f t="shared" si="387"/>
        <v>1000</v>
      </c>
      <c r="P292" s="4">
        <f t="shared" si="344"/>
        <v>0</v>
      </c>
      <c r="Q292" s="4" t="str">
        <f t="shared" si="373"/>
        <v/>
      </c>
      <c r="R292" s="4" t="str">
        <f t="shared" si="307"/>
        <v/>
      </c>
      <c r="S292" s="4" t="str">
        <f t="shared" si="379"/>
        <v/>
      </c>
      <c r="T292" s="4" t="e">
        <f t="shared" si="345"/>
        <v>#VALUE!</v>
      </c>
      <c r="U292" s="4" t="e">
        <f t="shared" si="346"/>
        <v>#VALUE!</v>
      </c>
      <c r="V292" s="4" t="b">
        <f t="shared" si="337"/>
        <v>0</v>
      </c>
      <c r="W292" s="13" t="str">
        <f t="shared" si="338"/>
        <v>Да</v>
      </c>
      <c r="X292" s="4" t="e">
        <f>(IF(COUNTIFS($G$2:G292,"+",$W$2:W292,"Да")&gt;1,"&amp; ","")&amp;D292&amp;J292&amp;E292&amp;SUBSTITUTE(L292,"""",""))</f>
        <v>#VALUE!</v>
      </c>
      <c r="Y292" s="4" t="e">
        <f t="shared" si="376"/>
        <v>#VALUE!</v>
      </c>
    </row>
    <row r="293" spans="1:25" x14ac:dyDescent="0.3">
      <c r="A293" s="11"/>
      <c r="B293" s="5" t="str">
        <f t="shared" si="339"/>
        <v/>
      </c>
      <c r="C293" s="5" t="str">
        <f t="shared" si="340"/>
        <v/>
      </c>
      <c r="D293" s="4" t="s">
        <v>10</v>
      </c>
      <c r="E293" s="4" t="s">
        <v>11</v>
      </c>
      <c r="F293" s="4" t="str">
        <f t="shared" si="363"/>
        <v>!!!</v>
      </c>
      <c r="G293" s="4" t="str">
        <f t="shared" si="341"/>
        <v>+</v>
      </c>
      <c r="H293" s="4"/>
      <c r="I293" s="4" t="str">
        <f t="shared" si="364"/>
        <v>!!!</v>
      </c>
      <c r="J293" s="4" t="e">
        <f t="shared" si="365"/>
        <v>#VALUE!</v>
      </c>
      <c r="K293" s="4" t="e">
        <f t="shared" si="366"/>
        <v>#VALUE!</v>
      </c>
      <c r="L293" s="4" t="e">
        <f t="shared" si="367"/>
        <v>#VALUE!</v>
      </c>
      <c r="M293" s="4">
        <f t="shared" si="342"/>
        <v>1000</v>
      </c>
      <c r="N293" s="4">
        <f t="shared" ref="N293:O293" si="388">MIN(IFERROR(FIND(" ",$C293,M293+1),1000))</f>
        <v>1000</v>
      </c>
      <c r="O293" s="4">
        <f t="shared" si="388"/>
        <v>1000</v>
      </c>
      <c r="P293" s="4">
        <f t="shared" si="344"/>
        <v>0</v>
      </c>
      <c r="Q293" s="4" t="str">
        <f t="shared" si="373"/>
        <v/>
      </c>
      <c r="R293" s="4" t="str">
        <f t="shared" ref="R293:R356" si="389">IFERROR(MID(C293,N293+1,O293-N293-1),"")</f>
        <v/>
      </c>
      <c r="S293" s="4" t="str">
        <f t="shared" si="379"/>
        <v/>
      </c>
      <c r="T293" s="4" t="e">
        <f t="shared" si="345"/>
        <v>#VALUE!</v>
      </c>
      <c r="U293" s="4" t="e">
        <f t="shared" si="346"/>
        <v>#VALUE!</v>
      </c>
      <c r="V293" s="4" t="b">
        <f t="shared" si="337"/>
        <v>0</v>
      </c>
      <c r="W293" s="13" t="str">
        <f t="shared" si="338"/>
        <v>Да</v>
      </c>
      <c r="X293" s="4" t="e">
        <f>(IF(COUNTIFS($G$2:G293,"+",$W$2:W293,"Да")&gt;1,"&amp; ","")&amp;D293&amp;J293&amp;E293&amp;SUBSTITUTE(L293,"""",""))</f>
        <v>#VALUE!</v>
      </c>
      <c r="Y293" s="4" t="e">
        <f t="shared" si="376"/>
        <v>#VALUE!</v>
      </c>
    </row>
    <row r="294" spans="1:25" x14ac:dyDescent="0.3">
      <c r="A294" s="11"/>
      <c r="B294" s="5" t="str">
        <f t="shared" si="339"/>
        <v/>
      </c>
      <c r="C294" s="5" t="str">
        <f t="shared" si="340"/>
        <v/>
      </c>
      <c r="D294" s="4" t="s">
        <v>10</v>
      </c>
      <c r="E294" s="4" t="s">
        <v>11</v>
      </c>
      <c r="F294" s="4" t="str">
        <f t="shared" si="363"/>
        <v>!!!</v>
      </c>
      <c r="G294" s="4" t="str">
        <f t="shared" si="341"/>
        <v>+</v>
      </c>
      <c r="H294" s="4"/>
      <c r="I294" s="4" t="str">
        <f t="shared" si="364"/>
        <v>!!!</v>
      </c>
      <c r="J294" s="4" t="e">
        <f t="shared" si="365"/>
        <v>#VALUE!</v>
      </c>
      <c r="K294" s="4" t="e">
        <f t="shared" si="366"/>
        <v>#VALUE!</v>
      </c>
      <c r="L294" s="4" t="e">
        <f t="shared" si="367"/>
        <v>#VALUE!</v>
      </c>
      <c r="M294" s="4">
        <f t="shared" si="342"/>
        <v>1000</v>
      </c>
      <c r="N294" s="4">
        <f t="shared" ref="N294:O294" si="390">MIN(IFERROR(FIND(" ",$C294,M294+1),1000))</f>
        <v>1000</v>
      </c>
      <c r="O294" s="4">
        <f t="shared" si="390"/>
        <v>1000</v>
      </c>
      <c r="P294" s="4">
        <f t="shared" si="344"/>
        <v>0</v>
      </c>
      <c r="Q294" s="4" t="str">
        <f t="shared" si="373"/>
        <v/>
      </c>
      <c r="R294" s="4" t="str">
        <f t="shared" si="389"/>
        <v/>
      </c>
      <c r="S294" s="4" t="str">
        <f t="shared" si="379"/>
        <v/>
      </c>
      <c r="T294" s="4" t="e">
        <f t="shared" si="345"/>
        <v>#VALUE!</v>
      </c>
      <c r="U294" s="4" t="e">
        <f t="shared" si="346"/>
        <v>#VALUE!</v>
      </c>
      <c r="V294" s="4" t="b">
        <f t="shared" si="337"/>
        <v>0</v>
      </c>
      <c r="W294" s="13" t="str">
        <f t="shared" si="338"/>
        <v>Да</v>
      </c>
      <c r="X294" s="4" t="e">
        <f>(IF(COUNTIFS($G$2:G294,"+",$W$2:W294,"Да")&gt;1,"&amp; ","")&amp;D294&amp;J294&amp;E294&amp;SUBSTITUTE(L294,"""",""))</f>
        <v>#VALUE!</v>
      </c>
      <c r="Y294" s="4" t="e">
        <f t="shared" si="376"/>
        <v>#VALUE!</v>
      </c>
    </row>
    <row r="295" spans="1:25" x14ac:dyDescent="0.3">
      <c r="A295" s="11"/>
      <c r="B295" s="5" t="str">
        <f t="shared" si="339"/>
        <v/>
      </c>
      <c r="C295" s="5" t="str">
        <f t="shared" si="340"/>
        <v/>
      </c>
      <c r="D295" s="4" t="s">
        <v>10</v>
      </c>
      <c r="E295" s="4" t="s">
        <v>11</v>
      </c>
      <c r="F295" s="4" t="str">
        <f t="shared" si="363"/>
        <v>!!!</v>
      </c>
      <c r="G295" s="4" t="str">
        <f t="shared" si="341"/>
        <v>+</v>
      </c>
      <c r="H295" s="4"/>
      <c r="I295" s="4" t="str">
        <f t="shared" si="364"/>
        <v>!!!</v>
      </c>
      <c r="J295" s="4" t="e">
        <f t="shared" si="365"/>
        <v>#VALUE!</v>
      </c>
      <c r="K295" s="4" t="e">
        <f t="shared" si="366"/>
        <v>#VALUE!</v>
      </c>
      <c r="L295" s="4" t="e">
        <f t="shared" si="367"/>
        <v>#VALUE!</v>
      </c>
      <c r="M295" s="4">
        <f t="shared" si="342"/>
        <v>1000</v>
      </c>
      <c r="N295" s="4">
        <f t="shared" ref="N295:O295" si="391">MIN(IFERROR(FIND(" ",$C295,M295+1),1000))</f>
        <v>1000</v>
      </c>
      <c r="O295" s="4">
        <f t="shared" si="391"/>
        <v>1000</v>
      </c>
      <c r="P295" s="4">
        <f t="shared" si="344"/>
        <v>0</v>
      </c>
      <c r="Q295" s="4" t="str">
        <f t="shared" si="373"/>
        <v/>
      </c>
      <c r="R295" s="4" t="str">
        <f t="shared" si="389"/>
        <v/>
      </c>
      <c r="S295" s="4" t="str">
        <f t="shared" si="379"/>
        <v/>
      </c>
      <c r="T295" s="4" t="e">
        <f t="shared" si="345"/>
        <v>#VALUE!</v>
      </c>
      <c r="U295" s="4" t="e">
        <f t="shared" si="346"/>
        <v>#VALUE!</v>
      </c>
      <c r="V295" s="4" t="b">
        <f t="shared" si="337"/>
        <v>0</v>
      </c>
      <c r="W295" s="13" t="str">
        <f t="shared" si="338"/>
        <v>Да</v>
      </c>
      <c r="X295" s="4" t="e">
        <f>(IF(COUNTIFS($G$2:G295,"+",$W$2:W295,"Да")&gt;1,"&amp; ","")&amp;D295&amp;J295&amp;E295&amp;SUBSTITUTE(L295,"""",""))</f>
        <v>#VALUE!</v>
      </c>
      <c r="Y295" s="4" t="e">
        <f t="shared" si="376"/>
        <v>#VALUE!</v>
      </c>
    </row>
    <row r="296" spans="1:25" x14ac:dyDescent="0.3">
      <c r="A296" s="11"/>
      <c r="B296" s="5" t="str">
        <f t="shared" si="339"/>
        <v/>
      </c>
      <c r="C296" s="5" t="str">
        <f t="shared" si="340"/>
        <v/>
      </c>
      <c r="D296" s="4" t="s">
        <v>10</v>
      </c>
      <c r="E296" s="4" t="s">
        <v>11</v>
      </c>
      <c r="F296" s="4" t="str">
        <f t="shared" si="363"/>
        <v>!!!</v>
      </c>
      <c r="G296" s="4" t="str">
        <f t="shared" si="341"/>
        <v>+</v>
      </c>
      <c r="H296" s="4"/>
      <c r="I296" s="4" t="str">
        <f t="shared" si="364"/>
        <v>!!!</v>
      </c>
      <c r="J296" s="4" t="e">
        <f t="shared" si="365"/>
        <v>#VALUE!</v>
      </c>
      <c r="K296" s="4" t="e">
        <f t="shared" si="366"/>
        <v>#VALUE!</v>
      </c>
      <c r="L296" s="4" t="e">
        <f t="shared" si="367"/>
        <v>#VALUE!</v>
      </c>
      <c r="M296" s="4">
        <f t="shared" si="342"/>
        <v>1000</v>
      </c>
      <c r="N296" s="4">
        <f t="shared" ref="N296:O296" si="392">MIN(IFERROR(FIND(" ",$C296,M296+1),1000))</f>
        <v>1000</v>
      </c>
      <c r="O296" s="4">
        <f t="shared" si="392"/>
        <v>1000</v>
      </c>
      <c r="P296" s="4">
        <f t="shared" si="344"/>
        <v>0</v>
      </c>
      <c r="Q296" s="4" t="str">
        <f t="shared" si="373"/>
        <v/>
      </c>
      <c r="R296" s="4" t="str">
        <f t="shared" si="389"/>
        <v/>
      </c>
      <c r="S296" s="4" t="str">
        <f t="shared" si="379"/>
        <v/>
      </c>
      <c r="T296" s="4" t="e">
        <f t="shared" si="345"/>
        <v>#VALUE!</v>
      </c>
      <c r="U296" s="4" t="e">
        <f t="shared" si="346"/>
        <v>#VALUE!</v>
      </c>
      <c r="V296" s="4" t="b">
        <f t="shared" si="337"/>
        <v>0</v>
      </c>
      <c r="W296" s="13" t="str">
        <f t="shared" si="338"/>
        <v>Да</v>
      </c>
      <c r="X296" s="4" t="e">
        <f>(IF(COUNTIFS($G$2:G296,"+",$W$2:W296,"Да")&gt;1,"&amp; ","")&amp;D296&amp;J296&amp;E296&amp;SUBSTITUTE(L296,"""",""))</f>
        <v>#VALUE!</v>
      </c>
      <c r="Y296" s="4" t="e">
        <f t="shared" si="376"/>
        <v>#VALUE!</v>
      </c>
    </row>
    <row r="297" spans="1:25" x14ac:dyDescent="0.3">
      <c r="A297" s="11"/>
      <c r="B297" s="5" t="str">
        <f t="shared" si="339"/>
        <v/>
      </c>
      <c r="C297" s="5" t="str">
        <f t="shared" si="340"/>
        <v/>
      </c>
      <c r="D297" s="4" t="s">
        <v>10</v>
      </c>
      <c r="E297" s="4" t="s">
        <v>11</v>
      </c>
      <c r="F297" s="4" t="str">
        <f t="shared" si="363"/>
        <v>!!!</v>
      </c>
      <c r="G297" s="4" t="str">
        <f t="shared" si="341"/>
        <v>+</v>
      </c>
      <c r="H297" s="4"/>
      <c r="I297" s="4" t="str">
        <f t="shared" si="364"/>
        <v>!!!</v>
      </c>
      <c r="J297" s="4" t="e">
        <f t="shared" si="365"/>
        <v>#VALUE!</v>
      </c>
      <c r="K297" s="4" t="e">
        <f t="shared" si="366"/>
        <v>#VALUE!</v>
      </c>
      <c r="L297" s="4" t="e">
        <f t="shared" si="367"/>
        <v>#VALUE!</v>
      </c>
      <c r="M297" s="4">
        <f t="shared" si="342"/>
        <v>1000</v>
      </c>
      <c r="N297" s="4">
        <f t="shared" ref="N297:O297" si="393">MIN(IFERROR(FIND(" ",$C297,M297+1),1000))</f>
        <v>1000</v>
      </c>
      <c r="O297" s="4">
        <f t="shared" si="393"/>
        <v>1000</v>
      </c>
      <c r="P297" s="4">
        <f t="shared" si="344"/>
        <v>0</v>
      </c>
      <c r="Q297" s="4" t="str">
        <f t="shared" si="373"/>
        <v/>
      </c>
      <c r="R297" s="4" t="str">
        <f t="shared" si="389"/>
        <v/>
      </c>
      <c r="S297" s="4" t="str">
        <f t="shared" si="379"/>
        <v/>
      </c>
      <c r="T297" s="4" t="e">
        <f t="shared" si="345"/>
        <v>#VALUE!</v>
      </c>
      <c r="U297" s="4" t="e">
        <f t="shared" si="346"/>
        <v>#VALUE!</v>
      </c>
      <c r="V297" s="4" t="b">
        <f t="shared" si="337"/>
        <v>0</v>
      </c>
      <c r="W297" s="13" t="str">
        <f t="shared" si="338"/>
        <v>Да</v>
      </c>
      <c r="X297" s="4" t="e">
        <f>(IF(COUNTIFS($G$2:G297,"+",$W$2:W297,"Да")&gt;1,"&amp; ","")&amp;D297&amp;J297&amp;E297&amp;SUBSTITUTE(L297,"""",""))</f>
        <v>#VALUE!</v>
      </c>
      <c r="Y297" s="4" t="e">
        <f t="shared" si="376"/>
        <v>#VALUE!</v>
      </c>
    </row>
    <row r="298" spans="1:25" x14ac:dyDescent="0.3">
      <c r="A298" s="11"/>
      <c r="B298" s="5" t="str">
        <f t="shared" si="339"/>
        <v/>
      </c>
      <c r="C298" s="5" t="str">
        <f t="shared" si="340"/>
        <v/>
      </c>
      <c r="D298" s="4" t="s">
        <v>10</v>
      </c>
      <c r="E298" s="4" t="s">
        <v>11</v>
      </c>
      <c r="F298" s="4" t="str">
        <f t="shared" si="363"/>
        <v>!!!</v>
      </c>
      <c r="G298" s="4" t="str">
        <f t="shared" si="341"/>
        <v>+</v>
      </c>
      <c r="H298" s="4"/>
      <c r="I298" s="4" t="str">
        <f t="shared" si="364"/>
        <v>!!!</v>
      </c>
      <c r="J298" s="4" t="e">
        <f t="shared" si="365"/>
        <v>#VALUE!</v>
      </c>
      <c r="K298" s="4" t="e">
        <f t="shared" si="366"/>
        <v>#VALUE!</v>
      </c>
      <c r="L298" s="4" t="e">
        <f t="shared" si="367"/>
        <v>#VALUE!</v>
      </c>
      <c r="M298" s="4">
        <f t="shared" si="342"/>
        <v>1000</v>
      </c>
      <c r="N298" s="4">
        <f t="shared" ref="N298:O298" si="394">MIN(IFERROR(FIND(" ",$C298,M298+1),1000))</f>
        <v>1000</v>
      </c>
      <c r="O298" s="4">
        <f t="shared" si="394"/>
        <v>1000</v>
      </c>
      <c r="P298" s="4">
        <f t="shared" si="344"/>
        <v>0</v>
      </c>
      <c r="Q298" s="4" t="str">
        <f t="shared" si="373"/>
        <v/>
      </c>
      <c r="R298" s="4" t="str">
        <f t="shared" si="389"/>
        <v/>
      </c>
      <c r="S298" s="4" t="str">
        <f t="shared" si="379"/>
        <v/>
      </c>
      <c r="T298" s="4" t="e">
        <f t="shared" si="345"/>
        <v>#VALUE!</v>
      </c>
      <c r="U298" s="4" t="e">
        <f t="shared" si="346"/>
        <v>#VALUE!</v>
      </c>
      <c r="V298" s="4" t="b">
        <f t="shared" si="337"/>
        <v>0</v>
      </c>
      <c r="W298" s="13" t="str">
        <f t="shared" si="338"/>
        <v>Да</v>
      </c>
      <c r="X298" s="4" t="e">
        <f>(IF(COUNTIFS($G$2:G298,"+",$W$2:W298,"Да")&gt;1,"&amp; ","")&amp;D298&amp;J298&amp;E298&amp;SUBSTITUTE(L298,"""",""))</f>
        <v>#VALUE!</v>
      </c>
      <c r="Y298" s="4" t="e">
        <f t="shared" si="376"/>
        <v>#VALUE!</v>
      </c>
    </row>
    <row r="299" spans="1:25" x14ac:dyDescent="0.3">
      <c r="A299" s="11"/>
      <c r="B299" s="5" t="str">
        <f t="shared" si="339"/>
        <v/>
      </c>
      <c r="C299" s="5" t="str">
        <f t="shared" si="340"/>
        <v/>
      </c>
      <c r="D299" s="4" t="s">
        <v>10</v>
      </c>
      <c r="E299" s="4" t="s">
        <v>11</v>
      </c>
      <c r="F299" s="4" t="str">
        <f t="shared" si="363"/>
        <v>!!!</v>
      </c>
      <c r="G299" s="4" t="str">
        <f t="shared" si="341"/>
        <v>+</v>
      </c>
      <c r="H299" s="4"/>
      <c r="I299" s="4" t="str">
        <f t="shared" si="364"/>
        <v>!!!</v>
      </c>
      <c r="J299" s="4" t="e">
        <f t="shared" si="365"/>
        <v>#VALUE!</v>
      </c>
      <c r="K299" s="4" t="e">
        <f t="shared" si="366"/>
        <v>#VALUE!</v>
      </c>
      <c r="L299" s="4" t="e">
        <f t="shared" si="367"/>
        <v>#VALUE!</v>
      </c>
      <c r="M299" s="4">
        <f t="shared" si="342"/>
        <v>1000</v>
      </c>
      <c r="N299" s="4">
        <f t="shared" ref="N299:O299" si="395">MIN(IFERROR(FIND(" ",$C299,M299+1),1000))</f>
        <v>1000</v>
      </c>
      <c r="O299" s="4">
        <f t="shared" si="395"/>
        <v>1000</v>
      </c>
      <c r="P299" s="4">
        <f t="shared" si="344"/>
        <v>0</v>
      </c>
      <c r="Q299" s="4" t="str">
        <f t="shared" si="373"/>
        <v/>
      </c>
      <c r="R299" s="4" t="str">
        <f t="shared" si="389"/>
        <v/>
      </c>
      <c r="S299" s="4" t="str">
        <f t="shared" si="379"/>
        <v/>
      </c>
      <c r="T299" s="4" t="e">
        <f t="shared" si="345"/>
        <v>#VALUE!</v>
      </c>
      <c r="U299" s="4" t="e">
        <f t="shared" si="346"/>
        <v>#VALUE!</v>
      </c>
      <c r="V299" s="4" t="b">
        <f t="shared" si="337"/>
        <v>0</v>
      </c>
      <c r="W299" s="13" t="str">
        <f t="shared" si="338"/>
        <v>Да</v>
      </c>
      <c r="X299" s="4" t="e">
        <f>(IF(COUNTIFS($G$2:G299,"+",$W$2:W299,"Да")&gt;1,"&amp; ","")&amp;D299&amp;J299&amp;E299&amp;SUBSTITUTE(L299,"""",""))</f>
        <v>#VALUE!</v>
      </c>
      <c r="Y299" s="4" t="e">
        <f t="shared" si="376"/>
        <v>#VALUE!</v>
      </c>
    </row>
    <row r="300" spans="1:25" x14ac:dyDescent="0.3">
      <c r="A300" s="11"/>
      <c r="B300" s="5" t="str">
        <f t="shared" si="339"/>
        <v/>
      </c>
      <c r="C300" s="5" t="str">
        <f t="shared" si="340"/>
        <v/>
      </c>
      <c r="D300" s="4" t="s">
        <v>10</v>
      </c>
      <c r="E300" s="4" t="s">
        <v>11</v>
      </c>
      <c r="F300" s="4" t="str">
        <f t="shared" si="363"/>
        <v>!!!</v>
      </c>
      <c r="G300" s="4" t="str">
        <f t="shared" si="341"/>
        <v>+</v>
      </c>
      <c r="H300" s="4"/>
      <c r="I300" s="4" t="str">
        <f t="shared" si="364"/>
        <v>!!!</v>
      </c>
      <c r="J300" s="4" t="e">
        <f t="shared" si="365"/>
        <v>#VALUE!</v>
      </c>
      <c r="K300" s="4" t="e">
        <f t="shared" si="366"/>
        <v>#VALUE!</v>
      </c>
      <c r="L300" s="4" t="e">
        <f t="shared" si="367"/>
        <v>#VALUE!</v>
      </c>
      <c r="M300" s="4">
        <f t="shared" si="342"/>
        <v>1000</v>
      </c>
      <c r="N300" s="4">
        <f t="shared" ref="N300:O300" si="396">MIN(IFERROR(FIND(" ",$C300,M300+1),1000))</f>
        <v>1000</v>
      </c>
      <c r="O300" s="4">
        <f t="shared" si="396"/>
        <v>1000</v>
      </c>
      <c r="P300" s="4">
        <f t="shared" si="344"/>
        <v>0</v>
      </c>
      <c r="Q300" s="4" t="str">
        <f t="shared" si="373"/>
        <v/>
      </c>
      <c r="R300" s="4" t="str">
        <f t="shared" si="389"/>
        <v/>
      </c>
      <c r="S300" s="4" t="str">
        <f t="shared" si="379"/>
        <v/>
      </c>
      <c r="T300" s="4" t="e">
        <f t="shared" si="345"/>
        <v>#VALUE!</v>
      </c>
      <c r="U300" s="4" t="e">
        <f t="shared" si="346"/>
        <v>#VALUE!</v>
      </c>
      <c r="V300" s="4" t="b">
        <f t="shared" si="337"/>
        <v>0</v>
      </c>
      <c r="W300" s="13" t="str">
        <f t="shared" si="338"/>
        <v>Да</v>
      </c>
      <c r="X300" s="4" t="e">
        <f>(IF(COUNTIFS($G$2:G300,"+",$W$2:W300,"Да")&gt;1,"&amp; ","")&amp;D300&amp;J300&amp;E300&amp;SUBSTITUTE(L300,"""",""))</f>
        <v>#VALUE!</v>
      </c>
      <c r="Y300" s="4" t="e">
        <f t="shared" si="376"/>
        <v>#VALUE!</v>
      </c>
    </row>
    <row r="301" spans="1:25" x14ac:dyDescent="0.3">
      <c r="A301" s="11"/>
      <c r="B301" s="5" t="str">
        <f t="shared" si="339"/>
        <v/>
      </c>
      <c r="C301" s="5" t="str">
        <f t="shared" si="340"/>
        <v/>
      </c>
      <c r="D301" s="4" t="s">
        <v>10</v>
      </c>
      <c r="E301" s="4" t="s">
        <v>11</v>
      </c>
      <c r="F301" s="4" t="str">
        <f t="shared" si="363"/>
        <v>!!!</v>
      </c>
      <c r="G301" s="4" t="str">
        <f t="shared" si="341"/>
        <v>+</v>
      </c>
      <c r="H301" s="4"/>
      <c r="I301" s="4" t="str">
        <f t="shared" si="364"/>
        <v>!!!</v>
      </c>
      <c r="J301" s="4" t="e">
        <f t="shared" si="365"/>
        <v>#VALUE!</v>
      </c>
      <c r="K301" s="4" t="e">
        <f t="shared" si="366"/>
        <v>#VALUE!</v>
      </c>
      <c r="L301" s="4" t="e">
        <f t="shared" si="367"/>
        <v>#VALUE!</v>
      </c>
      <c r="M301" s="4">
        <f t="shared" si="342"/>
        <v>1000</v>
      </c>
      <c r="N301" s="4">
        <f t="shared" ref="N301:O301" si="397">MIN(IFERROR(FIND(" ",$C301,M301+1),1000))</f>
        <v>1000</v>
      </c>
      <c r="O301" s="4">
        <f t="shared" si="397"/>
        <v>1000</v>
      </c>
      <c r="P301" s="4">
        <f t="shared" si="344"/>
        <v>0</v>
      </c>
      <c r="Q301" s="4" t="str">
        <f t="shared" si="373"/>
        <v/>
      </c>
      <c r="R301" s="4" t="str">
        <f t="shared" si="389"/>
        <v/>
      </c>
      <c r="S301" s="4" t="str">
        <f t="shared" si="379"/>
        <v/>
      </c>
      <c r="T301" s="4" t="e">
        <f t="shared" si="345"/>
        <v>#VALUE!</v>
      </c>
      <c r="U301" s="4" t="e">
        <f t="shared" si="346"/>
        <v>#VALUE!</v>
      </c>
      <c r="V301" s="4" t="b">
        <f t="shared" si="337"/>
        <v>0</v>
      </c>
      <c r="W301" s="13" t="str">
        <f t="shared" si="338"/>
        <v>Да</v>
      </c>
      <c r="X301" s="4" t="e">
        <f>(IF(COUNTIFS($G$2:G301,"+",$W$2:W301,"Да")&gt;1,"&amp; ","")&amp;D301&amp;J301&amp;E301&amp;SUBSTITUTE(L301,"""",""))</f>
        <v>#VALUE!</v>
      </c>
      <c r="Y301" s="4" t="e">
        <f t="shared" si="376"/>
        <v>#VALUE!</v>
      </c>
    </row>
    <row r="302" spans="1:25" x14ac:dyDescent="0.3">
      <c r="A302" s="11"/>
      <c r="B302" s="5" t="str">
        <f t="shared" si="339"/>
        <v/>
      </c>
      <c r="C302" s="5" t="str">
        <f t="shared" si="340"/>
        <v/>
      </c>
      <c r="D302" s="4" t="s">
        <v>10</v>
      </c>
      <c r="E302" s="4" t="s">
        <v>11</v>
      </c>
      <c r="F302" s="4" t="str">
        <f t="shared" si="363"/>
        <v>!!!</v>
      </c>
      <c r="G302" s="4" t="str">
        <f t="shared" si="341"/>
        <v>+</v>
      </c>
      <c r="H302" s="4"/>
      <c r="I302" s="4" t="str">
        <f t="shared" si="364"/>
        <v>!!!</v>
      </c>
      <c r="J302" s="4" t="e">
        <f t="shared" si="365"/>
        <v>#VALUE!</v>
      </c>
      <c r="K302" s="4" t="e">
        <f t="shared" si="366"/>
        <v>#VALUE!</v>
      </c>
      <c r="L302" s="4" t="e">
        <f t="shared" si="367"/>
        <v>#VALUE!</v>
      </c>
      <c r="M302" s="4">
        <f t="shared" si="342"/>
        <v>1000</v>
      </c>
      <c r="N302" s="4">
        <f t="shared" ref="N302:O302" si="398">MIN(IFERROR(FIND(" ",$C302,M302+1),1000))</f>
        <v>1000</v>
      </c>
      <c r="O302" s="4">
        <f t="shared" si="398"/>
        <v>1000</v>
      </c>
      <c r="P302" s="4">
        <f t="shared" si="344"/>
        <v>0</v>
      </c>
      <c r="Q302" s="4" t="str">
        <f t="shared" si="373"/>
        <v/>
      </c>
      <c r="R302" s="4" t="str">
        <f t="shared" si="389"/>
        <v/>
      </c>
      <c r="S302" s="4" t="str">
        <f t="shared" si="379"/>
        <v/>
      </c>
      <c r="T302" s="4" t="e">
        <f t="shared" si="345"/>
        <v>#VALUE!</v>
      </c>
      <c r="U302" s="4" t="e">
        <f t="shared" si="346"/>
        <v>#VALUE!</v>
      </c>
      <c r="V302" s="4" t="b">
        <f t="shared" si="337"/>
        <v>0</v>
      </c>
      <c r="W302" s="13" t="str">
        <f t="shared" si="338"/>
        <v>Да</v>
      </c>
      <c r="X302" s="4" t="e">
        <f>(IF(COUNTIFS($G$2:G302,"+",$W$2:W302,"Да")&gt;1,"&amp; ","")&amp;D302&amp;J302&amp;E302&amp;SUBSTITUTE(L302,"""",""))</f>
        <v>#VALUE!</v>
      </c>
      <c r="Y302" s="4" t="e">
        <f t="shared" si="376"/>
        <v>#VALUE!</v>
      </c>
    </row>
    <row r="303" spans="1:25" x14ac:dyDescent="0.3">
      <c r="A303" s="11"/>
      <c r="B303" s="5" t="str">
        <f t="shared" si="339"/>
        <v/>
      </c>
      <c r="C303" s="5" t="str">
        <f t="shared" si="340"/>
        <v/>
      </c>
      <c r="D303" s="4" t="s">
        <v>10</v>
      </c>
      <c r="E303" s="4" t="s">
        <v>11</v>
      </c>
      <c r="F303" s="4" t="str">
        <f t="shared" si="363"/>
        <v>!!!</v>
      </c>
      <c r="G303" s="4" t="str">
        <f t="shared" si="341"/>
        <v>+</v>
      </c>
      <c r="H303" s="4"/>
      <c r="I303" s="4" t="str">
        <f t="shared" si="364"/>
        <v>!!!</v>
      </c>
      <c r="J303" s="4" t="e">
        <f t="shared" si="365"/>
        <v>#VALUE!</v>
      </c>
      <c r="K303" s="4" t="e">
        <f t="shared" si="366"/>
        <v>#VALUE!</v>
      </c>
      <c r="L303" s="4" t="e">
        <f t="shared" si="367"/>
        <v>#VALUE!</v>
      </c>
      <c r="M303" s="4">
        <f t="shared" si="342"/>
        <v>1000</v>
      </c>
      <c r="N303" s="4">
        <f t="shared" ref="N303:O303" si="399">MIN(IFERROR(FIND(" ",$C303,M303+1),1000))</f>
        <v>1000</v>
      </c>
      <c r="O303" s="4">
        <f t="shared" si="399"/>
        <v>1000</v>
      </c>
      <c r="P303" s="4">
        <f t="shared" si="344"/>
        <v>0</v>
      </c>
      <c r="Q303" s="4" t="str">
        <f t="shared" si="373"/>
        <v/>
      </c>
      <c r="R303" s="4" t="str">
        <f t="shared" si="389"/>
        <v/>
      </c>
      <c r="S303" s="4" t="str">
        <f t="shared" si="379"/>
        <v/>
      </c>
      <c r="T303" s="4" t="e">
        <f t="shared" si="345"/>
        <v>#VALUE!</v>
      </c>
      <c r="U303" s="4" t="e">
        <f t="shared" si="346"/>
        <v>#VALUE!</v>
      </c>
      <c r="V303" s="4" t="b">
        <f t="shared" si="337"/>
        <v>0</v>
      </c>
      <c r="W303" s="13" t="str">
        <f t="shared" si="338"/>
        <v>Да</v>
      </c>
      <c r="X303" s="4" t="e">
        <f>(IF(COUNTIFS($G$2:G303,"+",$W$2:W303,"Да")&gt;1,"&amp; ","")&amp;D303&amp;J303&amp;E303&amp;SUBSTITUTE(L303,"""",""))</f>
        <v>#VALUE!</v>
      </c>
      <c r="Y303" s="4" t="e">
        <f t="shared" si="376"/>
        <v>#VALUE!</v>
      </c>
    </row>
    <row r="304" spans="1:25" x14ac:dyDescent="0.3">
      <c r="A304" s="11"/>
      <c r="B304" s="5" t="str">
        <f t="shared" si="339"/>
        <v/>
      </c>
      <c r="C304" s="5" t="str">
        <f t="shared" si="340"/>
        <v/>
      </c>
      <c r="D304" s="4" t="s">
        <v>10</v>
      </c>
      <c r="E304" s="4" t="s">
        <v>11</v>
      </c>
      <c r="F304" s="4" t="str">
        <f t="shared" si="363"/>
        <v>!!!</v>
      </c>
      <c r="G304" s="4" t="str">
        <f t="shared" si="341"/>
        <v>+</v>
      </c>
      <c r="H304" s="4"/>
      <c r="I304" s="4" t="str">
        <f t="shared" si="364"/>
        <v>!!!</v>
      </c>
      <c r="J304" s="4" t="e">
        <f t="shared" si="365"/>
        <v>#VALUE!</v>
      </c>
      <c r="K304" s="4" t="e">
        <f t="shared" si="366"/>
        <v>#VALUE!</v>
      </c>
      <c r="L304" s="4" t="e">
        <f t="shared" si="367"/>
        <v>#VALUE!</v>
      </c>
      <c r="M304" s="4">
        <f t="shared" si="342"/>
        <v>1000</v>
      </c>
      <c r="N304" s="4">
        <f t="shared" ref="N304:O304" si="400">MIN(IFERROR(FIND(" ",$C304,M304+1),1000))</f>
        <v>1000</v>
      </c>
      <c r="O304" s="4">
        <f t="shared" si="400"/>
        <v>1000</v>
      </c>
      <c r="P304" s="4">
        <f t="shared" si="344"/>
        <v>0</v>
      </c>
      <c r="Q304" s="4" t="str">
        <f t="shared" si="373"/>
        <v/>
      </c>
      <c r="R304" s="4" t="str">
        <f t="shared" si="389"/>
        <v/>
      </c>
      <c r="S304" s="4" t="str">
        <f t="shared" si="379"/>
        <v/>
      </c>
      <c r="T304" s="4" t="e">
        <f t="shared" si="345"/>
        <v>#VALUE!</v>
      </c>
      <c r="U304" s="4" t="e">
        <f t="shared" si="346"/>
        <v>#VALUE!</v>
      </c>
      <c r="V304" s="4" t="b">
        <f t="shared" si="337"/>
        <v>0</v>
      </c>
      <c r="W304" s="13" t="str">
        <f t="shared" si="338"/>
        <v>Да</v>
      </c>
      <c r="X304" s="4" t="e">
        <f>(IF(COUNTIFS($G$2:G304,"+",$W$2:W304,"Да")&gt;1,"&amp; ","")&amp;D304&amp;J304&amp;E304&amp;SUBSTITUTE(L304,"""",""))</f>
        <v>#VALUE!</v>
      </c>
      <c r="Y304" s="4" t="e">
        <f t="shared" si="376"/>
        <v>#VALUE!</v>
      </c>
    </row>
    <row r="305" spans="1:25" x14ac:dyDescent="0.3">
      <c r="A305" s="11"/>
      <c r="B305" s="5" t="str">
        <f t="shared" si="339"/>
        <v/>
      </c>
      <c r="C305" s="5" t="str">
        <f t="shared" si="340"/>
        <v/>
      </c>
      <c r="D305" s="4" t="s">
        <v>10</v>
      </c>
      <c r="E305" s="4" t="s">
        <v>11</v>
      </c>
      <c r="F305" s="4" t="str">
        <f t="shared" si="363"/>
        <v>!!!</v>
      </c>
      <c r="G305" s="4" t="str">
        <f t="shared" si="341"/>
        <v>+</v>
      </c>
      <c r="H305" s="4"/>
      <c r="I305" s="4" t="str">
        <f t="shared" si="364"/>
        <v>!!!</v>
      </c>
      <c r="J305" s="4" t="e">
        <f t="shared" si="365"/>
        <v>#VALUE!</v>
      </c>
      <c r="K305" s="4" t="e">
        <f t="shared" si="366"/>
        <v>#VALUE!</v>
      </c>
      <c r="L305" s="4" t="e">
        <f t="shared" si="367"/>
        <v>#VALUE!</v>
      </c>
      <c r="M305" s="4">
        <f t="shared" si="342"/>
        <v>1000</v>
      </c>
      <c r="N305" s="4">
        <f t="shared" ref="N305:O305" si="401">MIN(IFERROR(FIND(" ",$C305,M305+1),1000))</f>
        <v>1000</v>
      </c>
      <c r="O305" s="4">
        <f t="shared" si="401"/>
        <v>1000</v>
      </c>
      <c r="P305" s="4">
        <f t="shared" si="344"/>
        <v>0</v>
      </c>
      <c r="Q305" s="4" t="str">
        <f t="shared" si="373"/>
        <v/>
      </c>
      <c r="R305" s="4" t="str">
        <f t="shared" si="389"/>
        <v/>
      </c>
      <c r="S305" s="4" t="str">
        <f t="shared" si="379"/>
        <v/>
      </c>
      <c r="T305" s="4" t="e">
        <f t="shared" si="345"/>
        <v>#VALUE!</v>
      </c>
      <c r="U305" s="4" t="e">
        <f t="shared" si="346"/>
        <v>#VALUE!</v>
      </c>
      <c r="V305" s="4" t="b">
        <f t="shared" si="337"/>
        <v>0</v>
      </c>
      <c r="W305" s="13" t="str">
        <f t="shared" si="338"/>
        <v>Да</v>
      </c>
      <c r="X305" s="4" t="e">
        <f>(IF(COUNTIFS($G$2:G305,"+",$W$2:W305,"Да")&gt;1,"&amp; ","")&amp;D305&amp;J305&amp;E305&amp;SUBSTITUTE(L305,"""",""))</f>
        <v>#VALUE!</v>
      </c>
      <c r="Y305" s="4" t="e">
        <f t="shared" si="376"/>
        <v>#VALUE!</v>
      </c>
    </row>
    <row r="306" spans="1:25" x14ac:dyDescent="0.3">
      <c r="A306" s="11"/>
      <c r="B306" s="5" t="str">
        <f t="shared" si="339"/>
        <v/>
      </c>
      <c r="C306" s="5" t="str">
        <f t="shared" si="340"/>
        <v/>
      </c>
      <c r="D306" s="4" t="s">
        <v>10</v>
      </c>
      <c r="E306" s="4" t="s">
        <v>11</v>
      </c>
      <c r="F306" s="4" t="str">
        <f t="shared" si="363"/>
        <v>!!!</v>
      </c>
      <c r="G306" s="4" t="str">
        <f t="shared" si="341"/>
        <v>+</v>
      </c>
      <c r="H306" s="4"/>
      <c r="I306" s="4" t="str">
        <f t="shared" si="364"/>
        <v>!!!</v>
      </c>
      <c r="J306" s="4" t="e">
        <f t="shared" si="365"/>
        <v>#VALUE!</v>
      </c>
      <c r="K306" s="4" t="e">
        <f t="shared" si="366"/>
        <v>#VALUE!</v>
      </c>
      <c r="L306" s="4" t="e">
        <f t="shared" si="367"/>
        <v>#VALUE!</v>
      </c>
      <c r="M306" s="4">
        <f t="shared" si="342"/>
        <v>1000</v>
      </c>
      <c r="N306" s="4">
        <f t="shared" ref="N306:O306" si="402">MIN(IFERROR(FIND(" ",$C306,M306+1),1000))</f>
        <v>1000</v>
      </c>
      <c r="O306" s="4">
        <f t="shared" si="402"/>
        <v>1000</v>
      </c>
      <c r="P306" s="4">
        <f t="shared" si="344"/>
        <v>0</v>
      </c>
      <c r="Q306" s="4" t="str">
        <f t="shared" si="373"/>
        <v/>
      </c>
      <c r="R306" s="4" t="str">
        <f t="shared" si="389"/>
        <v/>
      </c>
      <c r="S306" s="4" t="str">
        <f t="shared" si="379"/>
        <v/>
      </c>
      <c r="T306" s="4" t="e">
        <f t="shared" si="345"/>
        <v>#VALUE!</v>
      </c>
      <c r="U306" s="4" t="e">
        <f t="shared" si="346"/>
        <v>#VALUE!</v>
      </c>
      <c r="V306" s="4" t="b">
        <f t="shared" si="337"/>
        <v>0</v>
      </c>
      <c r="W306" s="13" t="str">
        <f t="shared" si="338"/>
        <v>Да</v>
      </c>
      <c r="X306" s="4" t="e">
        <f>(IF(COUNTIFS($G$2:G306,"+",$W$2:W306,"Да")&gt;1,"&amp; ","")&amp;D306&amp;J306&amp;E306&amp;SUBSTITUTE(L306,"""",""))</f>
        <v>#VALUE!</v>
      </c>
      <c r="Y306" s="4" t="e">
        <f t="shared" si="376"/>
        <v>#VALUE!</v>
      </c>
    </row>
    <row r="307" spans="1:25" x14ac:dyDescent="0.3">
      <c r="A307" s="11"/>
      <c r="B307" s="5" t="str">
        <f t="shared" si="339"/>
        <v/>
      </c>
      <c r="C307" s="5" t="str">
        <f t="shared" si="340"/>
        <v/>
      </c>
      <c r="D307" s="4" t="s">
        <v>10</v>
      </c>
      <c r="E307" s="4" t="s">
        <v>11</v>
      </c>
      <c r="F307" s="4" t="str">
        <f t="shared" si="363"/>
        <v>!!!</v>
      </c>
      <c r="G307" s="4" t="str">
        <f t="shared" si="341"/>
        <v>+</v>
      </c>
      <c r="H307" s="4"/>
      <c r="I307" s="4" t="str">
        <f t="shared" si="364"/>
        <v>!!!</v>
      </c>
      <c r="J307" s="4" t="e">
        <f t="shared" si="365"/>
        <v>#VALUE!</v>
      </c>
      <c r="K307" s="4" t="e">
        <f t="shared" si="366"/>
        <v>#VALUE!</v>
      </c>
      <c r="L307" s="4" t="e">
        <f t="shared" si="367"/>
        <v>#VALUE!</v>
      </c>
      <c r="M307" s="4">
        <f t="shared" si="342"/>
        <v>1000</v>
      </c>
      <c r="N307" s="4">
        <f t="shared" ref="N307:O307" si="403">MIN(IFERROR(FIND(" ",$C307,M307+1),1000))</f>
        <v>1000</v>
      </c>
      <c r="O307" s="4">
        <f t="shared" si="403"/>
        <v>1000</v>
      </c>
      <c r="P307" s="4">
        <f t="shared" si="344"/>
        <v>0</v>
      </c>
      <c r="Q307" s="4" t="str">
        <f t="shared" si="373"/>
        <v/>
      </c>
      <c r="R307" s="4" t="str">
        <f t="shared" si="389"/>
        <v/>
      </c>
      <c r="S307" s="4" t="str">
        <f t="shared" si="379"/>
        <v/>
      </c>
      <c r="T307" s="4" t="e">
        <f t="shared" si="345"/>
        <v>#VALUE!</v>
      </c>
      <c r="U307" s="4" t="e">
        <f t="shared" si="346"/>
        <v>#VALUE!</v>
      </c>
      <c r="V307" s="4" t="b">
        <f t="shared" si="337"/>
        <v>0</v>
      </c>
      <c r="W307" s="13" t="str">
        <f t="shared" si="338"/>
        <v>Да</v>
      </c>
      <c r="X307" s="4" t="e">
        <f>(IF(COUNTIFS($G$2:G307,"+",$W$2:W307,"Да")&gt;1,"&amp; ","")&amp;D307&amp;J307&amp;E307&amp;SUBSTITUTE(L307,"""",""))</f>
        <v>#VALUE!</v>
      </c>
      <c r="Y307" s="4" t="e">
        <f t="shared" si="376"/>
        <v>#VALUE!</v>
      </c>
    </row>
    <row r="308" spans="1:25" x14ac:dyDescent="0.3">
      <c r="A308" s="11"/>
      <c r="B308" s="5" t="str">
        <f t="shared" si="339"/>
        <v/>
      </c>
      <c r="C308" s="5" t="str">
        <f t="shared" si="340"/>
        <v/>
      </c>
      <c r="D308" s="4" t="s">
        <v>10</v>
      </c>
      <c r="E308" s="4" t="s">
        <v>11</v>
      </c>
      <c r="F308" s="4" t="str">
        <f t="shared" si="363"/>
        <v>!!!</v>
      </c>
      <c r="G308" s="4" t="str">
        <f t="shared" si="341"/>
        <v>+</v>
      </c>
      <c r="H308" s="4"/>
      <c r="I308" s="4" t="str">
        <f t="shared" si="364"/>
        <v>!!!</v>
      </c>
      <c r="J308" s="4" t="e">
        <f t="shared" si="365"/>
        <v>#VALUE!</v>
      </c>
      <c r="K308" s="4" t="e">
        <f t="shared" si="366"/>
        <v>#VALUE!</v>
      </c>
      <c r="L308" s="4" t="e">
        <f t="shared" si="367"/>
        <v>#VALUE!</v>
      </c>
      <c r="M308" s="4">
        <f t="shared" si="342"/>
        <v>1000</v>
      </c>
      <c r="N308" s="4">
        <f t="shared" ref="N308:O308" si="404">MIN(IFERROR(FIND(" ",$C308,M308+1),1000))</f>
        <v>1000</v>
      </c>
      <c r="O308" s="4">
        <f t="shared" si="404"/>
        <v>1000</v>
      </c>
      <c r="P308" s="4">
        <f t="shared" si="344"/>
        <v>0</v>
      </c>
      <c r="Q308" s="4" t="str">
        <f t="shared" si="373"/>
        <v/>
      </c>
      <c r="R308" s="4" t="str">
        <f t="shared" si="389"/>
        <v/>
      </c>
      <c r="S308" s="4" t="str">
        <f t="shared" si="379"/>
        <v/>
      </c>
      <c r="T308" s="4" t="e">
        <f t="shared" si="345"/>
        <v>#VALUE!</v>
      </c>
      <c r="U308" s="4" t="e">
        <f t="shared" si="346"/>
        <v>#VALUE!</v>
      </c>
      <c r="V308" s="4" t="b">
        <f t="shared" si="337"/>
        <v>0</v>
      </c>
      <c r="W308" s="13" t="str">
        <f t="shared" si="338"/>
        <v>Да</v>
      </c>
      <c r="X308" s="4" t="e">
        <f>(IF(COUNTIFS($G$2:G308,"+",$W$2:W308,"Да")&gt;1,"&amp; ","")&amp;D308&amp;J308&amp;E308&amp;SUBSTITUTE(L308,"""",""))</f>
        <v>#VALUE!</v>
      </c>
      <c r="Y308" s="4" t="e">
        <f t="shared" si="376"/>
        <v>#VALUE!</v>
      </c>
    </row>
    <row r="309" spans="1:25" x14ac:dyDescent="0.3">
      <c r="A309" s="11"/>
      <c r="B309" s="5" t="str">
        <f t="shared" si="339"/>
        <v/>
      </c>
      <c r="C309" s="5" t="str">
        <f t="shared" si="340"/>
        <v/>
      </c>
      <c r="D309" s="4" t="s">
        <v>10</v>
      </c>
      <c r="E309" s="4" t="s">
        <v>11</v>
      </c>
      <c r="F309" s="4" t="str">
        <f t="shared" si="363"/>
        <v>!!!</v>
      </c>
      <c r="G309" s="4" t="str">
        <f t="shared" si="341"/>
        <v>+</v>
      </c>
      <c r="H309" s="4"/>
      <c r="I309" s="4" t="str">
        <f t="shared" si="364"/>
        <v>!!!</v>
      </c>
      <c r="J309" s="4" t="e">
        <f t="shared" si="365"/>
        <v>#VALUE!</v>
      </c>
      <c r="K309" s="4" t="e">
        <f t="shared" si="366"/>
        <v>#VALUE!</v>
      </c>
      <c r="L309" s="4" t="e">
        <f t="shared" si="367"/>
        <v>#VALUE!</v>
      </c>
      <c r="M309" s="4">
        <f t="shared" si="342"/>
        <v>1000</v>
      </c>
      <c r="N309" s="4">
        <f t="shared" ref="N309:O309" si="405">MIN(IFERROR(FIND(" ",$C309,M309+1),1000))</f>
        <v>1000</v>
      </c>
      <c r="O309" s="4">
        <f t="shared" si="405"/>
        <v>1000</v>
      </c>
      <c r="P309" s="4">
        <f t="shared" si="344"/>
        <v>0</v>
      </c>
      <c r="Q309" s="4" t="str">
        <f t="shared" si="373"/>
        <v/>
      </c>
      <c r="R309" s="4" t="str">
        <f t="shared" si="389"/>
        <v/>
      </c>
      <c r="S309" s="4" t="str">
        <f t="shared" si="379"/>
        <v/>
      </c>
      <c r="T309" s="4" t="e">
        <f t="shared" si="345"/>
        <v>#VALUE!</v>
      </c>
      <c r="U309" s="4" t="e">
        <f t="shared" si="346"/>
        <v>#VALUE!</v>
      </c>
      <c r="V309" s="4" t="b">
        <f t="shared" si="337"/>
        <v>0</v>
      </c>
      <c r="W309" s="13" t="str">
        <f t="shared" si="338"/>
        <v>Да</v>
      </c>
      <c r="X309" s="4" t="e">
        <f>(IF(COUNTIFS($G$2:G309,"+",$W$2:W309,"Да")&gt;1,"&amp; ","")&amp;D309&amp;J309&amp;E309&amp;SUBSTITUTE(L309,"""",""))</f>
        <v>#VALUE!</v>
      </c>
      <c r="Y309" s="4" t="e">
        <f t="shared" si="376"/>
        <v>#VALUE!</v>
      </c>
    </row>
    <row r="310" spans="1:25" x14ac:dyDescent="0.3">
      <c r="A310" s="11"/>
      <c r="B310" s="5" t="str">
        <f t="shared" si="339"/>
        <v/>
      </c>
      <c r="C310" s="5" t="str">
        <f t="shared" si="340"/>
        <v/>
      </c>
      <c r="D310" s="4" t="s">
        <v>10</v>
      </c>
      <c r="E310" s="4" t="s">
        <v>11</v>
      </c>
      <c r="F310" s="4" t="str">
        <f t="shared" si="363"/>
        <v>!!!</v>
      </c>
      <c r="G310" s="4" t="str">
        <f t="shared" si="341"/>
        <v>+</v>
      </c>
      <c r="H310" s="4"/>
      <c r="I310" s="4" t="str">
        <f t="shared" si="364"/>
        <v>!!!</v>
      </c>
      <c r="J310" s="4" t="e">
        <f t="shared" si="365"/>
        <v>#VALUE!</v>
      </c>
      <c r="K310" s="4" t="e">
        <f t="shared" si="366"/>
        <v>#VALUE!</v>
      </c>
      <c r="L310" s="4" t="e">
        <f t="shared" si="367"/>
        <v>#VALUE!</v>
      </c>
      <c r="M310" s="4">
        <f t="shared" si="342"/>
        <v>1000</v>
      </c>
      <c r="N310" s="4">
        <f t="shared" ref="N310:O310" si="406">MIN(IFERROR(FIND(" ",$C310,M310+1),1000))</f>
        <v>1000</v>
      </c>
      <c r="O310" s="4">
        <f t="shared" si="406"/>
        <v>1000</v>
      </c>
      <c r="P310" s="4">
        <f t="shared" si="344"/>
        <v>0</v>
      </c>
      <c r="Q310" s="4" t="str">
        <f t="shared" si="373"/>
        <v/>
      </c>
      <c r="R310" s="4" t="str">
        <f t="shared" si="389"/>
        <v/>
      </c>
      <c r="S310" s="4" t="str">
        <f t="shared" si="379"/>
        <v/>
      </c>
      <c r="T310" s="4" t="e">
        <f t="shared" si="345"/>
        <v>#VALUE!</v>
      </c>
      <c r="U310" s="4" t="e">
        <f t="shared" si="346"/>
        <v>#VALUE!</v>
      </c>
      <c r="V310" s="4" t="b">
        <f t="shared" si="337"/>
        <v>0</v>
      </c>
      <c r="W310" s="13" t="str">
        <f t="shared" si="338"/>
        <v>Да</v>
      </c>
      <c r="X310" s="4" t="e">
        <f>(IF(COUNTIFS($G$2:G310,"+",$W$2:W310,"Да")&gt;1,"&amp; ","")&amp;D310&amp;J310&amp;E310&amp;SUBSTITUTE(L310,"""",""))</f>
        <v>#VALUE!</v>
      </c>
      <c r="Y310" s="4" t="e">
        <f t="shared" si="376"/>
        <v>#VALUE!</v>
      </c>
    </row>
    <row r="311" spans="1:25" x14ac:dyDescent="0.3">
      <c r="A311" s="11"/>
      <c r="B311" s="5" t="str">
        <f t="shared" si="339"/>
        <v/>
      </c>
      <c r="C311" s="5" t="str">
        <f t="shared" si="340"/>
        <v/>
      </c>
      <c r="D311" s="4" t="s">
        <v>10</v>
      </c>
      <c r="E311" s="4" t="s">
        <v>11</v>
      </c>
      <c r="F311" s="4" t="str">
        <f t="shared" si="363"/>
        <v>!!!</v>
      </c>
      <c r="G311" s="4" t="str">
        <f t="shared" si="341"/>
        <v>+</v>
      </c>
      <c r="H311" s="4"/>
      <c r="I311" s="4" t="str">
        <f t="shared" si="364"/>
        <v>!!!</v>
      </c>
      <c r="J311" s="4" t="e">
        <f t="shared" si="365"/>
        <v>#VALUE!</v>
      </c>
      <c r="K311" s="4" t="e">
        <f t="shared" si="366"/>
        <v>#VALUE!</v>
      </c>
      <c r="L311" s="4" t="e">
        <f t="shared" si="367"/>
        <v>#VALUE!</v>
      </c>
      <c r="M311" s="4">
        <f t="shared" si="342"/>
        <v>1000</v>
      </c>
      <c r="N311" s="4">
        <f t="shared" ref="N311:O311" si="407">MIN(IFERROR(FIND(" ",$C311,M311+1),1000))</f>
        <v>1000</v>
      </c>
      <c r="O311" s="4">
        <f t="shared" si="407"/>
        <v>1000</v>
      </c>
      <c r="P311" s="4">
        <f t="shared" si="344"/>
        <v>0</v>
      </c>
      <c r="Q311" s="4" t="str">
        <f t="shared" si="373"/>
        <v/>
      </c>
      <c r="R311" s="4" t="str">
        <f t="shared" si="389"/>
        <v/>
      </c>
      <c r="S311" s="4" t="str">
        <f t="shared" si="379"/>
        <v/>
      </c>
      <c r="T311" s="4" t="e">
        <f t="shared" si="345"/>
        <v>#VALUE!</v>
      </c>
      <c r="U311" s="4" t="e">
        <f t="shared" si="346"/>
        <v>#VALUE!</v>
      </c>
      <c r="V311" s="4" t="b">
        <f t="shared" si="337"/>
        <v>0</v>
      </c>
      <c r="W311" s="13" t="str">
        <f t="shared" si="338"/>
        <v>Да</v>
      </c>
      <c r="X311" s="4" t="e">
        <f>(IF(COUNTIFS($G$2:G311,"+",$W$2:W311,"Да")&gt;1,"&amp; ","")&amp;D311&amp;J311&amp;E311&amp;SUBSTITUTE(L311,"""",""))</f>
        <v>#VALUE!</v>
      </c>
      <c r="Y311" s="4" t="e">
        <f t="shared" si="376"/>
        <v>#VALUE!</v>
      </c>
    </row>
    <row r="312" spans="1:25" x14ac:dyDescent="0.3">
      <c r="A312" s="11"/>
      <c r="B312" s="5" t="str">
        <f t="shared" si="339"/>
        <v/>
      </c>
      <c r="C312" s="5" t="str">
        <f t="shared" si="340"/>
        <v/>
      </c>
      <c r="D312" s="4" t="s">
        <v>10</v>
      </c>
      <c r="E312" s="4" t="s">
        <v>11</v>
      </c>
      <c r="F312" s="4" t="str">
        <f t="shared" si="363"/>
        <v>!!!</v>
      </c>
      <c r="G312" s="4" t="str">
        <f t="shared" si="341"/>
        <v>+</v>
      </c>
      <c r="H312" s="4"/>
      <c r="I312" s="4" t="str">
        <f t="shared" si="364"/>
        <v>!!!</v>
      </c>
      <c r="J312" s="4" t="e">
        <f t="shared" si="365"/>
        <v>#VALUE!</v>
      </c>
      <c r="K312" s="4" t="e">
        <f t="shared" si="366"/>
        <v>#VALUE!</v>
      </c>
      <c r="L312" s="4" t="e">
        <f t="shared" si="367"/>
        <v>#VALUE!</v>
      </c>
      <c r="M312" s="4">
        <f t="shared" si="342"/>
        <v>1000</v>
      </c>
      <c r="N312" s="4">
        <f t="shared" ref="N312:O312" si="408">MIN(IFERROR(FIND(" ",$C312,M312+1),1000))</f>
        <v>1000</v>
      </c>
      <c r="O312" s="4">
        <f t="shared" si="408"/>
        <v>1000</v>
      </c>
      <c r="P312" s="4">
        <f t="shared" si="344"/>
        <v>0</v>
      </c>
      <c r="Q312" s="4" t="str">
        <f t="shared" si="373"/>
        <v/>
      </c>
      <c r="R312" s="4" t="str">
        <f t="shared" si="389"/>
        <v/>
      </c>
      <c r="S312" s="4" t="str">
        <f t="shared" si="379"/>
        <v/>
      </c>
      <c r="T312" s="4" t="e">
        <f t="shared" si="345"/>
        <v>#VALUE!</v>
      </c>
      <c r="U312" s="4" t="e">
        <f t="shared" si="346"/>
        <v>#VALUE!</v>
      </c>
      <c r="V312" s="4" t="b">
        <f t="shared" si="337"/>
        <v>0</v>
      </c>
      <c r="W312" s="13" t="str">
        <f t="shared" si="338"/>
        <v>Да</v>
      </c>
      <c r="X312" s="4" t="e">
        <f>(IF(COUNTIFS($G$2:G312,"+",$W$2:W312,"Да")&gt;1,"&amp; ","")&amp;D312&amp;J312&amp;E312&amp;SUBSTITUTE(L312,"""",""))</f>
        <v>#VALUE!</v>
      </c>
      <c r="Y312" s="4" t="e">
        <f t="shared" si="376"/>
        <v>#VALUE!</v>
      </c>
    </row>
    <row r="313" spans="1:25" x14ac:dyDescent="0.3">
      <c r="A313" s="11"/>
      <c r="B313" s="5" t="str">
        <f t="shared" si="339"/>
        <v/>
      </c>
      <c r="C313" s="5" t="str">
        <f t="shared" si="340"/>
        <v/>
      </c>
      <c r="D313" s="4" t="s">
        <v>10</v>
      </c>
      <c r="E313" s="4" t="s">
        <v>11</v>
      </c>
      <c r="F313" s="4" t="str">
        <f t="shared" si="363"/>
        <v>!!!</v>
      </c>
      <c r="G313" s="4" t="str">
        <f t="shared" si="341"/>
        <v>+</v>
      </c>
      <c r="H313" s="4"/>
      <c r="I313" s="4" t="str">
        <f t="shared" si="364"/>
        <v>!!!</v>
      </c>
      <c r="J313" s="4" t="e">
        <f t="shared" si="365"/>
        <v>#VALUE!</v>
      </c>
      <c r="K313" s="4" t="e">
        <f t="shared" si="366"/>
        <v>#VALUE!</v>
      </c>
      <c r="L313" s="4" t="e">
        <f t="shared" si="367"/>
        <v>#VALUE!</v>
      </c>
      <c r="M313" s="4">
        <f t="shared" si="342"/>
        <v>1000</v>
      </c>
      <c r="N313" s="4">
        <f t="shared" ref="N313:O313" si="409">MIN(IFERROR(FIND(" ",$C313,M313+1),1000))</f>
        <v>1000</v>
      </c>
      <c r="O313" s="4">
        <f t="shared" si="409"/>
        <v>1000</v>
      </c>
      <c r="P313" s="4">
        <f t="shared" si="344"/>
        <v>0</v>
      </c>
      <c r="Q313" s="4" t="str">
        <f t="shared" si="373"/>
        <v/>
      </c>
      <c r="R313" s="4" t="str">
        <f t="shared" si="389"/>
        <v/>
      </c>
      <c r="S313" s="4" t="str">
        <f t="shared" si="379"/>
        <v/>
      </c>
      <c r="T313" s="4" t="e">
        <f t="shared" si="345"/>
        <v>#VALUE!</v>
      </c>
      <c r="U313" s="4" t="e">
        <f t="shared" si="346"/>
        <v>#VALUE!</v>
      </c>
      <c r="V313" s="4" t="b">
        <f t="shared" si="337"/>
        <v>0</v>
      </c>
      <c r="W313" s="13" t="str">
        <f t="shared" si="338"/>
        <v>Да</v>
      </c>
      <c r="X313" s="4" t="e">
        <f>(IF(COUNTIFS($G$2:G313,"+",$W$2:W313,"Да")&gt;1,"&amp; ","")&amp;D313&amp;J313&amp;E313&amp;SUBSTITUTE(L313,"""",""))</f>
        <v>#VALUE!</v>
      </c>
      <c r="Y313" s="4" t="e">
        <f t="shared" si="376"/>
        <v>#VALUE!</v>
      </c>
    </row>
    <row r="314" spans="1:25" x14ac:dyDescent="0.3">
      <c r="A314" s="11"/>
      <c r="B314" s="5" t="str">
        <f t="shared" si="339"/>
        <v/>
      </c>
      <c r="C314" s="5" t="str">
        <f t="shared" si="340"/>
        <v/>
      </c>
      <c r="D314" s="4" t="s">
        <v>10</v>
      </c>
      <c r="E314" s="4" t="s">
        <v>11</v>
      </c>
      <c r="F314" s="4" t="str">
        <f t="shared" si="363"/>
        <v>!!!</v>
      </c>
      <c r="G314" s="4" t="str">
        <f t="shared" si="341"/>
        <v>+</v>
      </c>
      <c r="H314" s="4"/>
      <c r="I314" s="4" t="str">
        <f t="shared" si="364"/>
        <v>!!!</v>
      </c>
      <c r="J314" s="4" t="e">
        <f t="shared" si="365"/>
        <v>#VALUE!</v>
      </c>
      <c r="K314" s="4" t="e">
        <f t="shared" si="366"/>
        <v>#VALUE!</v>
      </c>
      <c r="L314" s="4" t="e">
        <f t="shared" si="367"/>
        <v>#VALUE!</v>
      </c>
      <c r="M314" s="4">
        <f t="shared" si="342"/>
        <v>1000</v>
      </c>
      <c r="N314" s="4">
        <f t="shared" ref="N314:O314" si="410">MIN(IFERROR(FIND(" ",$C314,M314+1),1000))</f>
        <v>1000</v>
      </c>
      <c r="O314" s="4">
        <f t="shared" si="410"/>
        <v>1000</v>
      </c>
      <c r="P314" s="4">
        <f t="shared" si="344"/>
        <v>0</v>
      </c>
      <c r="Q314" s="4" t="str">
        <f t="shared" si="373"/>
        <v/>
      </c>
      <c r="R314" s="4" t="str">
        <f t="shared" si="389"/>
        <v/>
      </c>
      <c r="S314" s="4" t="str">
        <f t="shared" si="379"/>
        <v/>
      </c>
      <c r="T314" s="4" t="e">
        <f t="shared" si="345"/>
        <v>#VALUE!</v>
      </c>
      <c r="U314" s="4" t="e">
        <f t="shared" si="346"/>
        <v>#VALUE!</v>
      </c>
      <c r="V314" s="4" t="b">
        <f t="shared" si="337"/>
        <v>0</v>
      </c>
      <c r="W314" s="13" t="str">
        <f t="shared" si="338"/>
        <v>Да</v>
      </c>
      <c r="X314" s="4" t="e">
        <f>(IF(COUNTIFS($G$2:G314,"+",$W$2:W314,"Да")&gt;1,"&amp; ","")&amp;D314&amp;J314&amp;E314&amp;SUBSTITUTE(L314,"""",""))</f>
        <v>#VALUE!</v>
      </c>
      <c r="Y314" s="4" t="e">
        <f t="shared" si="376"/>
        <v>#VALUE!</v>
      </c>
    </row>
    <row r="315" spans="1:25" x14ac:dyDescent="0.3">
      <c r="A315" s="11"/>
      <c r="B315" s="5" t="str">
        <f t="shared" si="339"/>
        <v/>
      </c>
      <c r="C315" s="5" t="str">
        <f t="shared" si="340"/>
        <v/>
      </c>
      <c r="D315" s="4" t="s">
        <v>10</v>
      </c>
      <c r="E315" s="4" t="s">
        <v>11</v>
      </c>
      <c r="F315" s="4" t="str">
        <f t="shared" si="363"/>
        <v>!!!</v>
      </c>
      <c r="G315" s="4" t="str">
        <f t="shared" si="341"/>
        <v>+</v>
      </c>
      <c r="H315" s="4"/>
      <c r="I315" s="4" t="str">
        <f t="shared" si="364"/>
        <v>!!!</v>
      </c>
      <c r="J315" s="4" t="e">
        <f t="shared" si="365"/>
        <v>#VALUE!</v>
      </c>
      <c r="K315" s="4" t="e">
        <f t="shared" si="366"/>
        <v>#VALUE!</v>
      </c>
      <c r="L315" s="4" t="e">
        <f t="shared" si="367"/>
        <v>#VALUE!</v>
      </c>
      <c r="M315" s="4">
        <f t="shared" si="342"/>
        <v>1000</v>
      </c>
      <c r="N315" s="4">
        <f t="shared" ref="N315:O315" si="411">MIN(IFERROR(FIND(" ",$C315,M315+1),1000))</f>
        <v>1000</v>
      </c>
      <c r="O315" s="4">
        <f t="shared" si="411"/>
        <v>1000</v>
      </c>
      <c r="P315" s="4">
        <f t="shared" si="344"/>
        <v>0</v>
      </c>
      <c r="Q315" s="4" t="str">
        <f t="shared" si="373"/>
        <v/>
      </c>
      <c r="R315" s="4" t="str">
        <f t="shared" si="389"/>
        <v/>
      </c>
      <c r="S315" s="4" t="str">
        <f t="shared" si="379"/>
        <v/>
      </c>
      <c r="T315" s="4" t="e">
        <f t="shared" si="345"/>
        <v>#VALUE!</v>
      </c>
      <c r="U315" s="4" t="e">
        <f t="shared" si="346"/>
        <v>#VALUE!</v>
      </c>
      <c r="V315" s="4" t="b">
        <f t="shared" si="337"/>
        <v>0</v>
      </c>
      <c r="W315" s="13" t="str">
        <f t="shared" si="338"/>
        <v>Да</v>
      </c>
      <c r="X315" s="4" t="e">
        <f>(IF(COUNTIFS($G$2:G315,"+",$W$2:W315,"Да")&gt;1,"&amp; ","")&amp;D315&amp;J315&amp;E315&amp;SUBSTITUTE(L315,"""",""))</f>
        <v>#VALUE!</v>
      </c>
      <c r="Y315" s="4" t="e">
        <f t="shared" si="376"/>
        <v>#VALUE!</v>
      </c>
    </row>
    <row r="316" spans="1:25" x14ac:dyDescent="0.3">
      <c r="A316" s="11"/>
      <c r="B316" s="5" t="str">
        <f t="shared" si="339"/>
        <v/>
      </c>
      <c r="C316" s="5" t="str">
        <f t="shared" si="340"/>
        <v/>
      </c>
      <c r="D316" s="4" t="s">
        <v>10</v>
      </c>
      <c r="E316" s="4" t="s">
        <v>11</v>
      </c>
      <c r="F316" s="4" t="str">
        <f t="shared" si="363"/>
        <v>!!!</v>
      </c>
      <c r="G316" s="4" t="str">
        <f t="shared" si="341"/>
        <v>+</v>
      </c>
      <c r="H316" s="4"/>
      <c r="I316" s="4" t="str">
        <f t="shared" si="364"/>
        <v>!!!</v>
      </c>
      <c r="J316" s="4" t="e">
        <f t="shared" si="365"/>
        <v>#VALUE!</v>
      </c>
      <c r="K316" s="4" t="e">
        <f t="shared" si="366"/>
        <v>#VALUE!</v>
      </c>
      <c r="L316" s="4" t="e">
        <f t="shared" si="367"/>
        <v>#VALUE!</v>
      </c>
      <c r="M316" s="4">
        <f t="shared" si="342"/>
        <v>1000</v>
      </c>
      <c r="N316" s="4">
        <f t="shared" ref="N316:O316" si="412">MIN(IFERROR(FIND(" ",$C316,M316+1),1000))</f>
        <v>1000</v>
      </c>
      <c r="O316" s="4">
        <f t="shared" si="412"/>
        <v>1000</v>
      </c>
      <c r="P316" s="4">
        <f t="shared" si="344"/>
        <v>0</v>
      </c>
      <c r="Q316" s="4" t="str">
        <f t="shared" si="373"/>
        <v/>
      </c>
      <c r="R316" s="4" t="str">
        <f t="shared" si="389"/>
        <v/>
      </c>
      <c r="S316" s="4" t="str">
        <f t="shared" si="379"/>
        <v/>
      </c>
      <c r="T316" s="4" t="e">
        <f t="shared" si="345"/>
        <v>#VALUE!</v>
      </c>
      <c r="U316" s="4" t="e">
        <f t="shared" si="346"/>
        <v>#VALUE!</v>
      </c>
      <c r="V316" s="4" t="b">
        <f t="shared" si="337"/>
        <v>0</v>
      </c>
      <c r="W316" s="13" t="str">
        <f t="shared" si="338"/>
        <v>Да</v>
      </c>
      <c r="X316" s="4" t="e">
        <f>(IF(COUNTIFS($G$2:G316,"+",$W$2:W316,"Да")&gt;1,"&amp; ","")&amp;D316&amp;J316&amp;E316&amp;SUBSTITUTE(L316,"""",""))</f>
        <v>#VALUE!</v>
      </c>
      <c r="Y316" s="4" t="e">
        <f t="shared" si="376"/>
        <v>#VALUE!</v>
      </c>
    </row>
    <row r="317" spans="1:25" x14ac:dyDescent="0.3">
      <c r="A317" s="11"/>
      <c r="B317" s="5" t="str">
        <f t="shared" si="339"/>
        <v/>
      </c>
      <c r="C317" s="5" t="str">
        <f t="shared" si="340"/>
        <v/>
      </c>
      <c r="D317" s="4" t="s">
        <v>10</v>
      </c>
      <c r="E317" s="4" t="s">
        <v>11</v>
      </c>
      <c r="F317" s="4" t="str">
        <f t="shared" si="363"/>
        <v>!!!</v>
      </c>
      <c r="G317" s="4" t="str">
        <f t="shared" si="341"/>
        <v>+</v>
      </c>
      <c r="H317" s="4"/>
      <c r="I317" s="4" t="str">
        <f t="shared" si="364"/>
        <v>!!!</v>
      </c>
      <c r="J317" s="4" t="e">
        <f t="shared" si="365"/>
        <v>#VALUE!</v>
      </c>
      <c r="K317" s="4" t="e">
        <f t="shared" si="366"/>
        <v>#VALUE!</v>
      </c>
      <c r="L317" s="4" t="e">
        <f t="shared" si="367"/>
        <v>#VALUE!</v>
      </c>
      <c r="M317" s="4">
        <f t="shared" si="342"/>
        <v>1000</v>
      </c>
      <c r="N317" s="4">
        <f t="shared" ref="N317:O317" si="413">MIN(IFERROR(FIND(" ",$C317,M317+1),1000))</f>
        <v>1000</v>
      </c>
      <c r="O317" s="4">
        <f t="shared" si="413"/>
        <v>1000</v>
      </c>
      <c r="P317" s="4">
        <f t="shared" si="344"/>
        <v>0</v>
      </c>
      <c r="Q317" s="4" t="str">
        <f t="shared" si="373"/>
        <v/>
      </c>
      <c r="R317" s="4" t="str">
        <f t="shared" si="389"/>
        <v/>
      </c>
      <c r="S317" s="4" t="str">
        <f t="shared" si="379"/>
        <v/>
      </c>
      <c r="T317" s="4" t="e">
        <f t="shared" si="345"/>
        <v>#VALUE!</v>
      </c>
      <c r="U317" s="4" t="e">
        <f t="shared" si="346"/>
        <v>#VALUE!</v>
      </c>
      <c r="V317" s="4" t="b">
        <f t="shared" si="337"/>
        <v>0</v>
      </c>
      <c r="W317" s="13" t="str">
        <f t="shared" si="338"/>
        <v>Да</v>
      </c>
      <c r="X317" s="4" t="e">
        <f>(IF(COUNTIFS($G$2:G317,"+",$W$2:W317,"Да")&gt;1,"&amp; ","")&amp;D317&amp;J317&amp;E317&amp;SUBSTITUTE(L317,"""",""))</f>
        <v>#VALUE!</v>
      </c>
      <c r="Y317" s="4" t="e">
        <f t="shared" si="376"/>
        <v>#VALUE!</v>
      </c>
    </row>
    <row r="318" spans="1:25" x14ac:dyDescent="0.3">
      <c r="A318" s="11"/>
      <c r="B318" s="5" t="str">
        <f t="shared" si="339"/>
        <v/>
      </c>
      <c r="C318" s="5" t="str">
        <f t="shared" si="340"/>
        <v/>
      </c>
      <c r="D318" s="4" t="s">
        <v>10</v>
      </c>
      <c r="E318" s="4" t="s">
        <v>11</v>
      </c>
      <c r="F318" s="4" t="str">
        <f t="shared" si="363"/>
        <v>!!!</v>
      </c>
      <c r="G318" s="4" t="str">
        <f t="shared" si="341"/>
        <v>+</v>
      </c>
      <c r="H318" s="4"/>
      <c r="I318" s="4" t="str">
        <f t="shared" si="364"/>
        <v>!!!</v>
      </c>
      <c r="J318" s="4" t="e">
        <f t="shared" si="365"/>
        <v>#VALUE!</v>
      </c>
      <c r="K318" s="4" t="e">
        <f t="shared" si="366"/>
        <v>#VALUE!</v>
      </c>
      <c r="L318" s="4" t="e">
        <f t="shared" si="367"/>
        <v>#VALUE!</v>
      </c>
      <c r="M318" s="4">
        <f t="shared" si="342"/>
        <v>1000</v>
      </c>
      <c r="N318" s="4">
        <f t="shared" ref="N318:O318" si="414">MIN(IFERROR(FIND(" ",$C318,M318+1),1000))</f>
        <v>1000</v>
      </c>
      <c r="O318" s="4">
        <f t="shared" si="414"/>
        <v>1000</v>
      </c>
      <c r="P318" s="4">
        <f t="shared" si="344"/>
        <v>0</v>
      </c>
      <c r="Q318" s="4" t="str">
        <f t="shared" si="373"/>
        <v/>
      </c>
      <c r="R318" s="4" t="str">
        <f t="shared" si="389"/>
        <v/>
      </c>
      <c r="S318" s="4" t="str">
        <f t="shared" si="379"/>
        <v/>
      </c>
      <c r="T318" s="4" t="e">
        <f t="shared" si="345"/>
        <v>#VALUE!</v>
      </c>
      <c r="U318" s="4" t="e">
        <f t="shared" si="346"/>
        <v>#VALUE!</v>
      </c>
      <c r="V318" s="4" t="b">
        <f t="shared" si="337"/>
        <v>0</v>
      </c>
      <c r="W318" s="13" t="str">
        <f t="shared" si="338"/>
        <v>Да</v>
      </c>
      <c r="X318" s="4" t="e">
        <f>(IF(COUNTIFS($G$2:G318,"+",$W$2:W318,"Да")&gt;1,"&amp; ","")&amp;D318&amp;J318&amp;E318&amp;SUBSTITUTE(L318,"""",""))</f>
        <v>#VALUE!</v>
      </c>
      <c r="Y318" s="4" t="e">
        <f t="shared" si="376"/>
        <v>#VALUE!</v>
      </c>
    </row>
    <row r="319" spans="1:25" x14ac:dyDescent="0.3">
      <c r="A319" s="11"/>
      <c r="B319" s="5" t="str">
        <f t="shared" si="339"/>
        <v/>
      </c>
      <c r="C319" s="5" t="str">
        <f t="shared" si="340"/>
        <v/>
      </c>
      <c r="D319" s="4" t="s">
        <v>10</v>
      </c>
      <c r="E319" s="4" t="s">
        <v>11</v>
      </c>
      <c r="F319" s="4" t="str">
        <f t="shared" si="363"/>
        <v>!!!</v>
      </c>
      <c r="G319" s="4" t="str">
        <f t="shared" si="341"/>
        <v>+</v>
      </c>
      <c r="H319" s="4"/>
      <c r="I319" s="4" t="str">
        <f t="shared" si="364"/>
        <v>!!!</v>
      </c>
      <c r="J319" s="4" t="e">
        <f t="shared" si="365"/>
        <v>#VALUE!</v>
      </c>
      <c r="K319" s="4" t="e">
        <f t="shared" si="366"/>
        <v>#VALUE!</v>
      </c>
      <c r="L319" s="4" t="e">
        <f t="shared" si="367"/>
        <v>#VALUE!</v>
      </c>
      <c r="M319" s="4">
        <f t="shared" si="342"/>
        <v>1000</v>
      </c>
      <c r="N319" s="4">
        <f t="shared" ref="N319:O319" si="415">MIN(IFERROR(FIND(" ",$C319,M319+1),1000))</f>
        <v>1000</v>
      </c>
      <c r="O319" s="4">
        <f t="shared" si="415"/>
        <v>1000</v>
      </c>
      <c r="P319" s="4">
        <f t="shared" si="344"/>
        <v>0</v>
      </c>
      <c r="Q319" s="4" t="str">
        <f t="shared" si="373"/>
        <v/>
      </c>
      <c r="R319" s="4" t="str">
        <f t="shared" si="389"/>
        <v/>
      </c>
      <c r="S319" s="4" t="str">
        <f t="shared" si="379"/>
        <v/>
      </c>
      <c r="T319" s="4" t="e">
        <f t="shared" si="345"/>
        <v>#VALUE!</v>
      </c>
      <c r="U319" s="4" t="e">
        <f t="shared" si="346"/>
        <v>#VALUE!</v>
      </c>
      <c r="V319" s="4" t="b">
        <f t="shared" si="337"/>
        <v>0</v>
      </c>
      <c r="W319" s="13" t="str">
        <f t="shared" si="338"/>
        <v>Да</v>
      </c>
      <c r="X319" s="4" t="e">
        <f>(IF(COUNTIFS($G$2:G319,"+",$W$2:W319,"Да")&gt;1,"&amp; ","")&amp;D319&amp;J319&amp;E319&amp;SUBSTITUTE(L319,"""",""))</f>
        <v>#VALUE!</v>
      </c>
      <c r="Y319" s="4" t="e">
        <f t="shared" si="376"/>
        <v>#VALUE!</v>
      </c>
    </row>
    <row r="320" spans="1:25" x14ac:dyDescent="0.3">
      <c r="A320" s="11"/>
      <c r="B320" s="5" t="str">
        <f t="shared" si="339"/>
        <v/>
      </c>
      <c r="C320" s="5" t="str">
        <f t="shared" si="340"/>
        <v/>
      </c>
      <c r="D320" s="4" t="s">
        <v>10</v>
      </c>
      <c r="E320" s="4" t="s">
        <v>11</v>
      </c>
      <c r="F320" s="4" t="str">
        <f t="shared" si="363"/>
        <v>!!!</v>
      </c>
      <c r="G320" s="4" t="str">
        <f t="shared" si="341"/>
        <v>+</v>
      </c>
      <c r="H320" s="4"/>
      <c r="I320" s="4" t="str">
        <f t="shared" si="364"/>
        <v>!!!</v>
      </c>
      <c r="J320" s="4" t="e">
        <f t="shared" si="365"/>
        <v>#VALUE!</v>
      </c>
      <c r="K320" s="4" t="e">
        <f t="shared" si="366"/>
        <v>#VALUE!</v>
      </c>
      <c r="L320" s="4" t="e">
        <f t="shared" si="367"/>
        <v>#VALUE!</v>
      </c>
      <c r="M320" s="4">
        <f t="shared" si="342"/>
        <v>1000</v>
      </c>
      <c r="N320" s="4">
        <f t="shared" ref="N320:O320" si="416">MIN(IFERROR(FIND(" ",$C320,M320+1),1000))</f>
        <v>1000</v>
      </c>
      <c r="O320" s="4">
        <f t="shared" si="416"/>
        <v>1000</v>
      </c>
      <c r="P320" s="4">
        <f t="shared" si="344"/>
        <v>0</v>
      </c>
      <c r="Q320" s="4" t="str">
        <f t="shared" si="373"/>
        <v/>
      </c>
      <c r="R320" s="4" t="str">
        <f t="shared" si="389"/>
        <v/>
      </c>
      <c r="S320" s="4" t="str">
        <f t="shared" si="379"/>
        <v/>
      </c>
      <c r="T320" s="4" t="e">
        <f t="shared" si="345"/>
        <v>#VALUE!</v>
      </c>
      <c r="U320" s="4" t="e">
        <f t="shared" si="346"/>
        <v>#VALUE!</v>
      </c>
      <c r="V320" s="4" t="b">
        <f t="shared" si="337"/>
        <v>0</v>
      </c>
      <c r="W320" s="13" t="str">
        <f t="shared" si="338"/>
        <v>Да</v>
      </c>
      <c r="X320" s="4" t="e">
        <f>(IF(COUNTIFS($G$2:G320,"+",$W$2:W320,"Да")&gt;1,"&amp; ","")&amp;D320&amp;J320&amp;E320&amp;SUBSTITUTE(L320,"""",""))</f>
        <v>#VALUE!</v>
      </c>
      <c r="Y320" s="4" t="e">
        <f t="shared" si="376"/>
        <v>#VALUE!</v>
      </c>
    </row>
    <row r="321" spans="1:25" x14ac:dyDescent="0.3">
      <c r="A321" s="11"/>
      <c r="B321" s="5" t="str">
        <f t="shared" si="339"/>
        <v/>
      </c>
      <c r="C321" s="5" t="str">
        <f t="shared" si="340"/>
        <v/>
      </c>
      <c r="D321" s="4" t="s">
        <v>10</v>
      </c>
      <c r="E321" s="4" t="s">
        <v>11</v>
      </c>
      <c r="F321" s="4" t="str">
        <f t="shared" si="363"/>
        <v>!!!</v>
      </c>
      <c r="G321" s="4" t="str">
        <f t="shared" si="341"/>
        <v>+</v>
      </c>
      <c r="H321" s="4"/>
      <c r="I321" s="4" t="str">
        <f t="shared" si="364"/>
        <v>!!!</v>
      </c>
      <c r="J321" s="4" t="e">
        <f t="shared" si="365"/>
        <v>#VALUE!</v>
      </c>
      <c r="K321" s="4" t="e">
        <f t="shared" si="366"/>
        <v>#VALUE!</v>
      </c>
      <c r="L321" s="4" t="e">
        <f t="shared" si="367"/>
        <v>#VALUE!</v>
      </c>
      <c r="M321" s="4">
        <f t="shared" si="342"/>
        <v>1000</v>
      </c>
      <c r="N321" s="4">
        <f t="shared" ref="N321:O321" si="417">MIN(IFERROR(FIND(" ",$C321,M321+1),1000))</f>
        <v>1000</v>
      </c>
      <c r="O321" s="4">
        <f t="shared" si="417"/>
        <v>1000</v>
      </c>
      <c r="P321" s="4">
        <f t="shared" si="344"/>
        <v>0</v>
      </c>
      <c r="Q321" s="4" t="str">
        <f t="shared" si="373"/>
        <v/>
      </c>
      <c r="R321" s="4" t="str">
        <f t="shared" si="389"/>
        <v/>
      </c>
      <c r="S321" s="4" t="str">
        <f t="shared" si="379"/>
        <v/>
      </c>
      <c r="T321" s="4" t="e">
        <f t="shared" si="345"/>
        <v>#VALUE!</v>
      </c>
      <c r="U321" s="4" t="e">
        <f t="shared" si="346"/>
        <v>#VALUE!</v>
      </c>
      <c r="V321" s="4" t="b">
        <f t="shared" si="337"/>
        <v>0</v>
      </c>
      <c r="W321" s="13" t="str">
        <f t="shared" si="338"/>
        <v>Да</v>
      </c>
      <c r="X321" s="4" t="e">
        <f>(IF(COUNTIFS($G$2:G321,"+",$W$2:W321,"Да")&gt;1,"&amp; ","")&amp;D321&amp;J321&amp;E321&amp;SUBSTITUTE(L321,"""",""))</f>
        <v>#VALUE!</v>
      </c>
      <c r="Y321" s="4" t="e">
        <f t="shared" si="376"/>
        <v>#VALUE!</v>
      </c>
    </row>
    <row r="322" spans="1:25" x14ac:dyDescent="0.3">
      <c r="A322" s="11"/>
      <c r="B322" s="5" t="str">
        <f t="shared" si="339"/>
        <v/>
      </c>
      <c r="C322" s="5" t="str">
        <f t="shared" si="340"/>
        <v/>
      </c>
      <c r="D322" s="4" t="s">
        <v>10</v>
      </c>
      <c r="E322" s="4" t="s">
        <v>11</v>
      </c>
      <c r="F322" s="4" t="str">
        <f t="shared" si="363"/>
        <v>!!!</v>
      </c>
      <c r="G322" s="4" t="str">
        <f t="shared" si="341"/>
        <v>+</v>
      </c>
      <c r="H322" s="4"/>
      <c r="I322" s="4" t="str">
        <f t="shared" si="364"/>
        <v>!!!</v>
      </c>
      <c r="J322" s="4" t="e">
        <f t="shared" si="365"/>
        <v>#VALUE!</v>
      </c>
      <c r="K322" s="4" t="e">
        <f t="shared" si="366"/>
        <v>#VALUE!</v>
      </c>
      <c r="L322" s="4" t="e">
        <f t="shared" si="367"/>
        <v>#VALUE!</v>
      </c>
      <c r="M322" s="4">
        <f t="shared" si="342"/>
        <v>1000</v>
      </c>
      <c r="N322" s="4">
        <f t="shared" ref="N322:O322" si="418">MIN(IFERROR(FIND(" ",$C322,M322+1),1000))</f>
        <v>1000</v>
      </c>
      <c r="O322" s="4">
        <f t="shared" si="418"/>
        <v>1000</v>
      </c>
      <c r="P322" s="4">
        <f t="shared" si="344"/>
        <v>0</v>
      </c>
      <c r="Q322" s="4" t="str">
        <f t="shared" si="373"/>
        <v/>
      </c>
      <c r="R322" s="4" t="str">
        <f t="shared" si="389"/>
        <v/>
      </c>
      <c r="S322" s="4" t="str">
        <f t="shared" si="379"/>
        <v/>
      </c>
      <c r="T322" s="4" t="e">
        <f t="shared" si="345"/>
        <v>#VALUE!</v>
      </c>
      <c r="U322" s="4" t="e">
        <f t="shared" si="346"/>
        <v>#VALUE!</v>
      </c>
      <c r="V322" s="4" t="b">
        <f t="shared" ref="V322:V385" si="419">OR(IFERROR(MATCH(U322,Q:Q,0),0)&lt;&gt;0,IFERROR(MATCH(U322,R:R,0),0)&lt;&gt;0)</f>
        <v>0</v>
      </c>
      <c r="W322" s="13" t="str">
        <f t="shared" ref="W322:W385" si="420">IF(A322="","Да",IF(OR(F322="!!!",NOT(V322)),"Нет","Да"))</f>
        <v>Да</v>
      </c>
      <c r="X322" s="4" t="e">
        <f>(IF(COUNTIFS($G$2:G322,"+",$W$2:W322,"Да")&gt;1,"&amp; ","")&amp;D322&amp;J322&amp;E322&amp;SUBSTITUTE(L322,"""",""))</f>
        <v>#VALUE!</v>
      </c>
      <c r="Y322" s="4" t="e">
        <f t="shared" si="376"/>
        <v>#VALUE!</v>
      </c>
    </row>
    <row r="323" spans="1:25" x14ac:dyDescent="0.3">
      <c r="A323" s="11"/>
      <c r="B323" s="5" t="str">
        <f t="shared" ref="B323:B386" si="421">TRIM(LEFT(A323,IFERROR(FIND("'",A323)-1,1000)))</f>
        <v/>
      </c>
      <c r="C323" s="5" t="str">
        <f t="shared" ref="C323:C386" si="422">SUBSTITUTE(SUBSTITUTE(SUBSTITUTE(SUBSTITUTE(TRIM(LEFT(A323,IFERROR(FIND("'",A323)-1,1000))),"&lt;&lt;","&lt;"),"--","-"),"&gt;&gt;","&gt;"),"&amp;","")</f>
        <v/>
      </c>
      <c r="D323" s="4" t="s">
        <v>10</v>
      </c>
      <c r="E323" s="4" t="s">
        <v>11</v>
      </c>
      <c r="F323" s="4" t="str">
        <f t="shared" si="363"/>
        <v>!!!</v>
      </c>
      <c r="G323" s="4" t="str">
        <f t="shared" ref="G323:G386" si="423">IF(AND($A$2="",$A$3="",$A$4="",$A$5=""),"+",IF(F323="!!!","X","+"))</f>
        <v>+</v>
      </c>
      <c r="H323" s="4"/>
      <c r="I323" s="4" t="str">
        <f t="shared" si="364"/>
        <v>!!!</v>
      </c>
      <c r="J323" s="4" t="e">
        <f t="shared" si="365"/>
        <v>#VALUE!</v>
      </c>
      <c r="K323" s="4" t="e">
        <f t="shared" si="366"/>
        <v>#VALUE!</v>
      </c>
      <c r="L323" s="4" t="e">
        <f t="shared" si="367"/>
        <v>#VALUE!</v>
      </c>
      <c r="M323" s="4">
        <f t="shared" ref="M323:M386" si="424">MIN(IFERROR(FIND(" ",$C323),1000))</f>
        <v>1000</v>
      </c>
      <c r="N323" s="4">
        <f t="shared" ref="N323:O323" si="425">MIN(IFERROR(FIND(" ",$C323,M323+1),1000))</f>
        <v>1000</v>
      </c>
      <c r="O323" s="4">
        <f t="shared" si="425"/>
        <v>1000</v>
      </c>
      <c r="P323" s="4">
        <f t="shared" ref="P323:P386" si="426">MIN(IFERROR(FIND(" ",C323,O323+1),0),IFERROR(FIND("&lt;",C323,O323+1),0),IFERROR(FIND(":",C323,O323+1),0))</f>
        <v>0</v>
      </c>
      <c r="Q323" s="4" t="str">
        <f t="shared" si="373"/>
        <v/>
      </c>
      <c r="R323" s="4" t="str">
        <f t="shared" si="389"/>
        <v/>
      </c>
      <c r="S323" s="4" t="str">
        <f t="shared" si="379"/>
        <v/>
      </c>
      <c r="T323" s="4" t="e">
        <f t="shared" ref="T323:T386" si="427">FIND(" ",C323,FIND("as",C323))+1</f>
        <v>#VALUE!</v>
      </c>
      <c r="U323" s="4" t="e">
        <f t="shared" ref="U323:U386" si="428">MID(C323,T323,MIN(FIND(" ",C323,T323),FIND("&lt;",C323,T323))-T323)</f>
        <v>#VALUE!</v>
      </c>
      <c r="V323" s="4" t="b">
        <f t="shared" si="419"/>
        <v>0</v>
      </c>
      <c r="W323" s="13" t="str">
        <f t="shared" si="420"/>
        <v>Да</v>
      </c>
      <c r="X323" s="4" t="e">
        <f>(IF(COUNTIFS($G$2:G323,"+",$W$2:W323,"Да")&gt;1,"&amp; ","")&amp;D323&amp;J323&amp;E323&amp;SUBSTITUTE(L323,"""",""))</f>
        <v>#VALUE!</v>
      </c>
      <c r="Y323" s="4" t="e">
        <f t="shared" si="376"/>
        <v>#VALUE!</v>
      </c>
    </row>
    <row r="324" spans="1:25" x14ac:dyDescent="0.3">
      <c r="A324" s="11"/>
      <c r="B324" s="5" t="str">
        <f t="shared" si="421"/>
        <v/>
      </c>
      <c r="C324" s="5" t="str">
        <f t="shared" si="422"/>
        <v/>
      </c>
      <c r="D324" s="4" t="s">
        <v>10</v>
      </c>
      <c r="E324" s="4" t="s">
        <v>11</v>
      </c>
      <c r="F324" s="4" t="str">
        <f t="shared" si="363"/>
        <v>!!!</v>
      </c>
      <c r="G324" s="4" t="str">
        <f t="shared" si="423"/>
        <v>+</v>
      </c>
      <c r="H324" s="4"/>
      <c r="I324" s="4" t="str">
        <f t="shared" si="364"/>
        <v>!!!</v>
      </c>
      <c r="J324" s="4" t="e">
        <f t="shared" si="365"/>
        <v>#VALUE!</v>
      </c>
      <c r="K324" s="4" t="e">
        <f t="shared" si="366"/>
        <v>#VALUE!</v>
      </c>
      <c r="L324" s="4" t="e">
        <f t="shared" si="367"/>
        <v>#VALUE!</v>
      </c>
      <c r="M324" s="4">
        <f t="shared" si="424"/>
        <v>1000</v>
      </c>
      <c r="N324" s="4">
        <f t="shared" ref="N324:O324" si="429">MIN(IFERROR(FIND(" ",$C324,M324+1),1000))</f>
        <v>1000</v>
      </c>
      <c r="O324" s="4">
        <f t="shared" si="429"/>
        <v>1000</v>
      </c>
      <c r="P324" s="4">
        <f t="shared" si="426"/>
        <v>0</v>
      </c>
      <c r="Q324" s="4" t="str">
        <f t="shared" si="373"/>
        <v/>
      </c>
      <c r="R324" s="4" t="str">
        <f t="shared" si="389"/>
        <v/>
      </c>
      <c r="S324" s="4" t="str">
        <f t="shared" si="379"/>
        <v/>
      </c>
      <c r="T324" s="4" t="e">
        <f t="shared" si="427"/>
        <v>#VALUE!</v>
      </c>
      <c r="U324" s="4" t="e">
        <f t="shared" si="428"/>
        <v>#VALUE!</v>
      </c>
      <c r="V324" s="4" t="b">
        <f t="shared" si="419"/>
        <v>0</v>
      </c>
      <c r="W324" s="13" t="str">
        <f t="shared" si="420"/>
        <v>Да</v>
      </c>
      <c r="X324" s="4" t="e">
        <f>(IF(COUNTIFS($G$2:G324,"+",$W$2:W324,"Да")&gt;1,"&amp; ","")&amp;D324&amp;J324&amp;E324&amp;SUBSTITUTE(L324,"""",""))</f>
        <v>#VALUE!</v>
      </c>
      <c r="Y324" s="4" t="e">
        <f t="shared" si="376"/>
        <v>#VALUE!</v>
      </c>
    </row>
    <row r="325" spans="1:25" x14ac:dyDescent="0.3">
      <c r="A325" s="11"/>
      <c r="B325" s="5" t="str">
        <f t="shared" si="421"/>
        <v/>
      </c>
      <c r="C325" s="5" t="str">
        <f t="shared" si="422"/>
        <v/>
      </c>
      <c r="D325" s="4" t="s">
        <v>10</v>
      </c>
      <c r="E325" s="4" t="s">
        <v>11</v>
      </c>
      <c r="F325" s="4" t="str">
        <f t="shared" si="363"/>
        <v>!!!</v>
      </c>
      <c r="G325" s="4" t="str">
        <f t="shared" si="423"/>
        <v>+</v>
      </c>
      <c r="H325" s="4"/>
      <c r="I325" s="4" t="str">
        <f t="shared" si="364"/>
        <v>!!!</v>
      </c>
      <c r="J325" s="4" t="e">
        <f t="shared" si="365"/>
        <v>#VALUE!</v>
      </c>
      <c r="K325" s="4" t="e">
        <f t="shared" si="366"/>
        <v>#VALUE!</v>
      </c>
      <c r="L325" s="4" t="e">
        <f t="shared" si="367"/>
        <v>#VALUE!</v>
      </c>
      <c r="M325" s="4">
        <f t="shared" si="424"/>
        <v>1000</v>
      </c>
      <c r="N325" s="4">
        <f t="shared" ref="N325:O325" si="430">MIN(IFERROR(FIND(" ",$C325,M325+1),1000))</f>
        <v>1000</v>
      </c>
      <c r="O325" s="4">
        <f t="shared" si="430"/>
        <v>1000</v>
      </c>
      <c r="P325" s="4">
        <f t="shared" si="426"/>
        <v>0</v>
      </c>
      <c r="Q325" s="4" t="str">
        <f t="shared" si="373"/>
        <v/>
      </c>
      <c r="R325" s="4" t="str">
        <f t="shared" si="389"/>
        <v/>
      </c>
      <c r="S325" s="4" t="str">
        <f t="shared" si="379"/>
        <v/>
      </c>
      <c r="T325" s="4" t="e">
        <f t="shared" si="427"/>
        <v>#VALUE!</v>
      </c>
      <c r="U325" s="4" t="e">
        <f t="shared" si="428"/>
        <v>#VALUE!</v>
      </c>
      <c r="V325" s="4" t="b">
        <f t="shared" si="419"/>
        <v>0</v>
      </c>
      <c r="W325" s="13" t="str">
        <f t="shared" si="420"/>
        <v>Да</v>
      </c>
      <c r="X325" s="4" t="e">
        <f>(IF(COUNTIFS($G$2:G325,"+",$W$2:W325,"Да")&gt;1,"&amp; ","")&amp;D325&amp;J325&amp;E325&amp;SUBSTITUTE(L325,"""",""))</f>
        <v>#VALUE!</v>
      </c>
      <c r="Y325" s="4" t="e">
        <f t="shared" si="376"/>
        <v>#VALUE!</v>
      </c>
    </row>
    <row r="326" spans="1:25" x14ac:dyDescent="0.3">
      <c r="A326" s="11"/>
      <c r="B326" s="5" t="str">
        <f t="shared" si="421"/>
        <v/>
      </c>
      <c r="C326" s="5" t="str">
        <f t="shared" si="422"/>
        <v/>
      </c>
      <c r="D326" s="4" t="s">
        <v>10</v>
      </c>
      <c r="E326" s="4" t="s">
        <v>11</v>
      </c>
      <c r="F326" s="4" t="str">
        <f t="shared" si="363"/>
        <v>!!!</v>
      </c>
      <c r="G326" s="4" t="str">
        <f t="shared" si="423"/>
        <v>+</v>
      </c>
      <c r="H326" s="4"/>
      <c r="I326" s="4" t="str">
        <f t="shared" si="364"/>
        <v>!!!</v>
      </c>
      <c r="J326" s="4" t="e">
        <f t="shared" si="365"/>
        <v>#VALUE!</v>
      </c>
      <c r="K326" s="4" t="e">
        <f t="shared" si="366"/>
        <v>#VALUE!</v>
      </c>
      <c r="L326" s="4" t="e">
        <f t="shared" si="367"/>
        <v>#VALUE!</v>
      </c>
      <c r="M326" s="4">
        <f t="shared" si="424"/>
        <v>1000</v>
      </c>
      <c r="N326" s="4">
        <f t="shared" ref="N326:O326" si="431">MIN(IFERROR(FIND(" ",$C326,M326+1),1000))</f>
        <v>1000</v>
      </c>
      <c r="O326" s="4">
        <f t="shared" si="431"/>
        <v>1000</v>
      </c>
      <c r="P326" s="4">
        <f t="shared" si="426"/>
        <v>0</v>
      </c>
      <c r="Q326" s="4" t="str">
        <f t="shared" si="373"/>
        <v/>
      </c>
      <c r="R326" s="4" t="str">
        <f t="shared" si="389"/>
        <v/>
      </c>
      <c r="S326" s="4" t="str">
        <f t="shared" si="379"/>
        <v/>
      </c>
      <c r="T326" s="4" t="e">
        <f t="shared" si="427"/>
        <v>#VALUE!</v>
      </c>
      <c r="U326" s="4" t="e">
        <f t="shared" si="428"/>
        <v>#VALUE!</v>
      </c>
      <c r="V326" s="4" t="b">
        <f t="shared" si="419"/>
        <v>0</v>
      </c>
      <c r="W326" s="13" t="str">
        <f t="shared" si="420"/>
        <v>Да</v>
      </c>
      <c r="X326" s="4" t="e">
        <f>(IF(COUNTIFS($G$2:G326,"+",$W$2:W326,"Да")&gt;1,"&amp; ","")&amp;D326&amp;J326&amp;E326&amp;SUBSTITUTE(L326,"""",""))</f>
        <v>#VALUE!</v>
      </c>
      <c r="Y326" s="4" t="e">
        <f t="shared" si="376"/>
        <v>#VALUE!</v>
      </c>
    </row>
    <row r="327" spans="1:25" x14ac:dyDescent="0.3">
      <c r="A327" s="11"/>
      <c r="B327" s="5" t="str">
        <f t="shared" si="421"/>
        <v/>
      </c>
      <c r="C327" s="5" t="str">
        <f t="shared" si="422"/>
        <v/>
      </c>
      <c r="D327" s="4" t="s">
        <v>10</v>
      </c>
      <c r="E327" s="4" t="s">
        <v>11</v>
      </c>
      <c r="F327" s="4" t="str">
        <f t="shared" si="363"/>
        <v>!!!</v>
      </c>
      <c r="G327" s="4" t="str">
        <f t="shared" si="423"/>
        <v>+</v>
      </c>
      <c r="H327" s="4"/>
      <c r="I327" s="4" t="str">
        <f t="shared" si="364"/>
        <v>!!!</v>
      </c>
      <c r="J327" s="4" t="e">
        <f t="shared" si="365"/>
        <v>#VALUE!</v>
      </c>
      <c r="K327" s="4" t="e">
        <f t="shared" si="366"/>
        <v>#VALUE!</v>
      </c>
      <c r="L327" s="4" t="e">
        <f t="shared" si="367"/>
        <v>#VALUE!</v>
      </c>
      <c r="M327" s="4">
        <f t="shared" si="424"/>
        <v>1000</v>
      </c>
      <c r="N327" s="4">
        <f t="shared" ref="N327:O327" si="432">MIN(IFERROR(FIND(" ",$C327,M327+1),1000))</f>
        <v>1000</v>
      </c>
      <c r="O327" s="4">
        <f t="shared" si="432"/>
        <v>1000</v>
      </c>
      <c r="P327" s="4">
        <f t="shared" si="426"/>
        <v>0</v>
      </c>
      <c r="Q327" s="4" t="str">
        <f t="shared" si="373"/>
        <v/>
      </c>
      <c r="R327" s="4" t="str">
        <f t="shared" si="389"/>
        <v/>
      </c>
      <c r="S327" s="4" t="str">
        <f t="shared" si="379"/>
        <v/>
      </c>
      <c r="T327" s="4" t="e">
        <f t="shared" si="427"/>
        <v>#VALUE!</v>
      </c>
      <c r="U327" s="4" t="e">
        <f t="shared" si="428"/>
        <v>#VALUE!</v>
      </c>
      <c r="V327" s="4" t="b">
        <f t="shared" si="419"/>
        <v>0</v>
      </c>
      <c r="W327" s="13" t="str">
        <f t="shared" si="420"/>
        <v>Да</v>
      </c>
      <c r="X327" s="4" t="e">
        <f>(IF(COUNTIFS($G$2:G327,"+",$W$2:W327,"Да")&gt;1,"&amp; ","")&amp;D327&amp;J327&amp;E327&amp;SUBSTITUTE(L327,"""",""))</f>
        <v>#VALUE!</v>
      </c>
      <c r="Y327" s="4" t="e">
        <f t="shared" si="376"/>
        <v>#VALUE!</v>
      </c>
    </row>
    <row r="328" spans="1:25" x14ac:dyDescent="0.3">
      <c r="A328" s="11"/>
      <c r="B328" s="5" t="str">
        <f t="shared" si="421"/>
        <v/>
      </c>
      <c r="C328" s="5" t="str">
        <f t="shared" si="422"/>
        <v/>
      </c>
      <c r="D328" s="4" t="s">
        <v>10</v>
      </c>
      <c r="E328" s="4" t="s">
        <v>11</v>
      </c>
      <c r="F328" s="4" t="str">
        <f t="shared" si="363"/>
        <v>!!!</v>
      </c>
      <c r="G328" s="4" t="str">
        <f t="shared" si="423"/>
        <v>+</v>
      </c>
      <c r="H328" s="4"/>
      <c r="I328" s="4" t="str">
        <f t="shared" si="364"/>
        <v>!!!</v>
      </c>
      <c r="J328" s="4" t="e">
        <f t="shared" si="365"/>
        <v>#VALUE!</v>
      </c>
      <c r="K328" s="4" t="e">
        <f t="shared" si="366"/>
        <v>#VALUE!</v>
      </c>
      <c r="L328" s="4" t="e">
        <f t="shared" si="367"/>
        <v>#VALUE!</v>
      </c>
      <c r="M328" s="4">
        <f t="shared" si="424"/>
        <v>1000</v>
      </c>
      <c r="N328" s="4">
        <f t="shared" ref="N328:O328" si="433">MIN(IFERROR(FIND(" ",$C328,M328+1),1000))</f>
        <v>1000</v>
      </c>
      <c r="O328" s="4">
        <f t="shared" si="433"/>
        <v>1000</v>
      </c>
      <c r="P328" s="4">
        <f t="shared" si="426"/>
        <v>0</v>
      </c>
      <c r="Q328" s="4" t="str">
        <f t="shared" si="373"/>
        <v/>
      </c>
      <c r="R328" s="4" t="str">
        <f t="shared" si="389"/>
        <v/>
      </c>
      <c r="S328" s="4" t="str">
        <f t="shared" si="379"/>
        <v/>
      </c>
      <c r="T328" s="4" t="e">
        <f t="shared" si="427"/>
        <v>#VALUE!</v>
      </c>
      <c r="U328" s="4" t="e">
        <f t="shared" si="428"/>
        <v>#VALUE!</v>
      </c>
      <c r="V328" s="4" t="b">
        <f t="shared" si="419"/>
        <v>0</v>
      </c>
      <c r="W328" s="13" t="str">
        <f t="shared" si="420"/>
        <v>Да</v>
      </c>
      <c r="X328" s="4" t="e">
        <f>(IF(COUNTIFS($G$2:G328,"+",$W$2:W328,"Да")&gt;1,"&amp; ","")&amp;D328&amp;J328&amp;E328&amp;SUBSTITUTE(L328,"""",""))</f>
        <v>#VALUE!</v>
      </c>
      <c r="Y328" s="4" t="e">
        <f t="shared" si="376"/>
        <v>#VALUE!</v>
      </c>
    </row>
    <row r="329" spans="1:25" x14ac:dyDescent="0.3">
      <c r="A329" s="11"/>
      <c r="B329" s="5" t="str">
        <f t="shared" si="421"/>
        <v/>
      </c>
      <c r="C329" s="5" t="str">
        <f t="shared" si="422"/>
        <v/>
      </c>
      <c r="D329" s="4" t="s">
        <v>10</v>
      </c>
      <c r="E329" s="4" t="s">
        <v>11</v>
      </c>
      <c r="F329" s="4" t="str">
        <f t="shared" si="363"/>
        <v>!!!</v>
      </c>
      <c r="G329" s="4" t="str">
        <f t="shared" si="423"/>
        <v>+</v>
      </c>
      <c r="H329" s="4"/>
      <c r="I329" s="4" t="str">
        <f t="shared" si="364"/>
        <v>!!!</v>
      </c>
      <c r="J329" s="4" t="e">
        <f t="shared" si="365"/>
        <v>#VALUE!</v>
      </c>
      <c r="K329" s="4" t="e">
        <f t="shared" si="366"/>
        <v>#VALUE!</v>
      </c>
      <c r="L329" s="4" t="e">
        <f t="shared" si="367"/>
        <v>#VALUE!</v>
      </c>
      <c r="M329" s="4">
        <f t="shared" si="424"/>
        <v>1000</v>
      </c>
      <c r="N329" s="4">
        <f t="shared" ref="N329:O329" si="434">MIN(IFERROR(FIND(" ",$C329,M329+1),1000))</f>
        <v>1000</v>
      </c>
      <c r="O329" s="4">
        <f t="shared" si="434"/>
        <v>1000</v>
      </c>
      <c r="P329" s="4">
        <f t="shared" si="426"/>
        <v>0</v>
      </c>
      <c r="Q329" s="4" t="str">
        <f t="shared" si="373"/>
        <v/>
      </c>
      <c r="R329" s="4" t="str">
        <f t="shared" si="389"/>
        <v/>
      </c>
      <c r="S329" s="4" t="str">
        <f t="shared" si="379"/>
        <v/>
      </c>
      <c r="T329" s="4" t="e">
        <f t="shared" si="427"/>
        <v>#VALUE!</v>
      </c>
      <c r="U329" s="4" t="e">
        <f t="shared" si="428"/>
        <v>#VALUE!</v>
      </c>
      <c r="V329" s="4" t="b">
        <f t="shared" si="419"/>
        <v>0</v>
      </c>
      <c r="W329" s="13" t="str">
        <f t="shared" si="420"/>
        <v>Да</v>
      </c>
      <c r="X329" s="4" t="e">
        <f>(IF(COUNTIFS($G$2:G329,"+",$W$2:W329,"Да")&gt;1,"&amp; ","")&amp;D329&amp;J329&amp;E329&amp;SUBSTITUTE(L329,"""",""))</f>
        <v>#VALUE!</v>
      </c>
      <c r="Y329" s="4" t="e">
        <f t="shared" si="376"/>
        <v>#VALUE!</v>
      </c>
    </row>
    <row r="330" spans="1:25" x14ac:dyDescent="0.3">
      <c r="A330" s="11"/>
      <c r="B330" s="5" t="str">
        <f t="shared" si="421"/>
        <v/>
      </c>
      <c r="C330" s="5" t="str">
        <f t="shared" si="422"/>
        <v/>
      </c>
      <c r="D330" s="4" t="s">
        <v>10</v>
      </c>
      <c r="E330" s="4" t="s">
        <v>11</v>
      </c>
      <c r="F330" s="4" t="str">
        <f t="shared" si="363"/>
        <v>!!!</v>
      </c>
      <c r="G330" s="4" t="str">
        <f t="shared" si="423"/>
        <v>+</v>
      </c>
      <c r="H330" s="4"/>
      <c r="I330" s="4" t="str">
        <f t="shared" si="364"/>
        <v>!!!</v>
      </c>
      <c r="J330" s="4" t="e">
        <f t="shared" si="365"/>
        <v>#VALUE!</v>
      </c>
      <c r="K330" s="4" t="e">
        <f t="shared" si="366"/>
        <v>#VALUE!</v>
      </c>
      <c r="L330" s="4" t="e">
        <f t="shared" si="367"/>
        <v>#VALUE!</v>
      </c>
      <c r="M330" s="4">
        <f t="shared" si="424"/>
        <v>1000</v>
      </c>
      <c r="N330" s="4">
        <f t="shared" ref="N330:O330" si="435">MIN(IFERROR(FIND(" ",$C330,M330+1),1000))</f>
        <v>1000</v>
      </c>
      <c r="O330" s="4">
        <f t="shared" si="435"/>
        <v>1000</v>
      </c>
      <c r="P330" s="4">
        <f t="shared" si="426"/>
        <v>0</v>
      </c>
      <c r="Q330" s="4" t="str">
        <f t="shared" si="373"/>
        <v/>
      </c>
      <c r="R330" s="4" t="str">
        <f t="shared" si="389"/>
        <v/>
      </c>
      <c r="S330" s="4" t="str">
        <f t="shared" si="379"/>
        <v/>
      </c>
      <c r="T330" s="4" t="e">
        <f t="shared" si="427"/>
        <v>#VALUE!</v>
      </c>
      <c r="U330" s="4" t="e">
        <f t="shared" si="428"/>
        <v>#VALUE!</v>
      </c>
      <c r="V330" s="4" t="b">
        <f t="shared" si="419"/>
        <v>0</v>
      </c>
      <c r="W330" s="13" t="str">
        <f t="shared" si="420"/>
        <v>Да</v>
      </c>
      <c r="X330" s="4" t="e">
        <f>(IF(COUNTIFS($G$2:G330,"+",$W$2:W330,"Да")&gt;1,"&amp; ","")&amp;D330&amp;J330&amp;E330&amp;SUBSTITUTE(L330,"""",""))</f>
        <v>#VALUE!</v>
      </c>
      <c r="Y330" s="4" t="e">
        <f t="shared" si="376"/>
        <v>#VALUE!</v>
      </c>
    </row>
    <row r="331" spans="1:25" x14ac:dyDescent="0.3">
      <c r="A331" s="11"/>
      <c r="B331" s="5" t="str">
        <f t="shared" si="421"/>
        <v/>
      </c>
      <c r="C331" s="5" t="str">
        <f t="shared" si="422"/>
        <v/>
      </c>
      <c r="D331" s="4" t="s">
        <v>10</v>
      </c>
      <c r="E331" s="4" t="s">
        <v>11</v>
      </c>
      <c r="F331" s="4" t="str">
        <f t="shared" si="363"/>
        <v>!!!</v>
      </c>
      <c r="G331" s="4" t="str">
        <f t="shared" si="423"/>
        <v>+</v>
      </c>
      <c r="H331" s="4"/>
      <c r="I331" s="4" t="str">
        <f t="shared" si="364"/>
        <v>!!!</v>
      </c>
      <c r="J331" s="4" t="e">
        <f t="shared" si="365"/>
        <v>#VALUE!</v>
      </c>
      <c r="K331" s="4" t="e">
        <f t="shared" si="366"/>
        <v>#VALUE!</v>
      </c>
      <c r="L331" s="4" t="e">
        <f t="shared" si="367"/>
        <v>#VALUE!</v>
      </c>
      <c r="M331" s="4">
        <f t="shared" si="424"/>
        <v>1000</v>
      </c>
      <c r="N331" s="4">
        <f t="shared" ref="N331:O331" si="436">MIN(IFERROR(FIND(" ",$C331,M331+1),1000))</f>
        <v>1000</v>
      </c>
      <c r="O331" s="4">
        <f t="shared" si="436"/>
        <v>1000</v>
      </c>
      <c r="P331" s="4">
        <f t="shared" si="426"/>
        <v>0</v>
      </c>
      <c r="Q331" s="4" t="str">
        <f t="shared" si="373"/>
        <v/>
      </c>
      <c r="R331" s="4" t="str">
        <f t="shared" si="389"/>
        <v/>
      </c>
      <c r="S331" s="4" t="str">
        <f t="shared" si="379"/>
        <v/>
      </c>
      <c r="T331" s="4" t="e">
        <f t="shared" si="427"/>
        <v>#VALUE!</v>
      </c>
      <c r="U331" s="4" t="e">
        <f t="shared" si="428"/>
        <v>#VALUE!</v>
      </c>
      <c r="V331" s="4" t="b">
        <f t="shared" si="419"/>
        <v>0</v>
      </c>
      <c r="W331" s="13" t="str">
        <f t="shared" si="420"/>
        <v>Да</v>
      </c>
      <c r="X331" s="4" t="e">
        <f>(IF(COUNTIFS($G$2:G331,"+",$W$2:W331,"Да")&gt;1,"&amp; ","")&amp;D331&amp;J331&amp;E331&amp;SUBSTITUTE(L331,"""",""))</f>
        <v>#VALUE!</v>
      </c>
      <c r="Y331" s="4" t="e">
        <f t="shared" si="376"/>
        <v>#VALUE!</v>
      </c>
    </row>
    <row r="332" spans="1:25" x14ac:dyDescent="0.3">
      <c r="A332" s="11"/>
      <c r="B332" s="5" t="str">
        <f t="shared" si="421"/>
        <v/>
      </c>
      <c r="C332" s="5" t="str">
        <f t="shared" si="422"/>
        <v/>
      </c>
      <c r="D332" s="4" t="s">
        <v>10</v>
      </c>
      <c r="E332" s="4" t="s">
        <v>11</v>
      </c>
      <c r="F332" s="4" t="str">
        <f t="shared" si="363"/>
        <v>!!!</v>
      </c>
      <c r="G332" s="4" t="str">
        <f t="shared" si="423"/>
        <v>+</v>
      </c>
      <c r="H332" s="4"/>
      <c r="I332" s="4" t="str">
        <f t="shared" si="364"/>
        <v>!!!</v>
      </c>
      <c r="J332" s="4" t="e">
        <f t="shared" si="365"/>
        <v>#VALUE!</v>
      </c>
      <c r="K332" s="4" t="e">
        <f t="shared" si="366"/>
        <v>#VALUE!</v>
      </c>
      <c r="L332" s="4" t="e">
        <f t="shared" si="367"/>
        <v>#VALUE!</v>
      </c>
      <c r="M332" s="4">
        <f t="shared" si="424"/>
        <v>1000</v>
      </c>
      <c r="N332" s="4">
        <f t="shared" ref="N332:O332" si="437">MIN(IFERROR(FIND(" ",$C332,M332+1),1000))</f>
        <v>1000</v>
      </c>
      <c r="O332" s="4">
        <f t="shared" si="437"/>
        <v>1000</v>
      </c>
      <c r="P332" s="4">
        <f t="shared" si="426"/>
        <v>0</v>
      </c>
      <c r="Q332" s="4" t="str">
        <f t="shared" si="373"/>
        <v/>
      </c>
      <c r="R332" s="4" t="str">
        <f t="shared" si="389"/>
        <v/>
      </c>
      <c r="S332" s="4" t="str">
        <f t="shared" si="379"/>
        <v/>
      </c>
      <c r="T332" s="4" t="e">
        <f t="shared" si="427"/>
        <v>#VALUE!</v>
      </c>
      <c r="U332" s="4" t="e">
        <f t="shared" si="428"/>
        <v>#VALUE!</v>
      </c>
      <c r="V332" s="4" t="b">
        <f t="shared" si="419"/>
        <v>0</v>
      </c>
      <c r="W332" s="13" t="str">
        <f t="shared" si="420"/>
        <v>Да</v>
      </c>
      <c r="X332" s="4" t="e">
        <f>(IF(COUNTIFS($G$2:G332,"+",$W$2:W332,"Да")&gt;1,"&amp; ","")&amp;D332&amp;J332&amp;E332&amp;SUBSTITUTE(L332,"""",""))</f>
        <v>#VALUE!</v>
      </c>
      <c r="Y332" s="4" t="e">
        <f t="shared" si="376"/>
        <v>#VALUE!</v>
      </c>
    </row>
    <row r="333" spans="1:25" x14ac:dyDescent="0.3">
      <c r="A333" s="11"/>
      <c r="B333" s="5" t="str">
        <f t="shared" si="421"/>
        <v/>
      </c>
      <c r="C333" s="5" t="str">
        <f t="shared" si="422"/>
        <v/>
      </c>
      <c r="D333" s="4" t="s">
        <v>10</v>
      </c>
      <c r="E333" s="4" t="s">
        <v>11</v>
      </c>
      <c r="F333" s="4" t="str">
        <f t="shared" si="363"/>
        <v>!!!</v>
      </c>
      <c r="G333" s="4" t="str">
        <f t="shared" si="423"/>
        <v>+</v>
      </c>
      <c r="H333" s="4"/>
      <c r="I333" s="4" t="str">
        <f t="shared" si="364"/>
        <v>!!!</v>
      </c>
      <c r="J333" s="4" t="e">
        <f t="shared" si="365"/>
        <v>#VALUE!</v>
      </c>
      <c r="K333" s="4" t="e">
        <f t="shared" si="366"/>
        <v>#VALUE!</v>
      </c>
      <c r="L333" s="4" t="e">
        <f t="shared" si="367"/>
        <v>#VALUE!</v>
      </c>
      <c r="M333" s="4">
        <f t="shared" si="424"/>
        <v>1000</v>
      </c>
      <c r="N333" s="4">
        <f t="shared" ref="N333:O333" si="438">MIN(IFERROR(FIND(" ",$C333,M333+1),1000))</f>
        <v>1000</v>
      </c>
      <c r="O333" s="4">
        <f t="shared" si="438"/>
        <v>1000</v>
      </c>
      <c r="P333" s="4">
        <f t="shared" si="426"/>
        <v>0</v>
      </c>
      <c r="Q333" s="4" t="str">
        <f t="shared" si="373"/>
        <v/>
      </c>
      <c r="R333" s="4" t="str">
        <f t="shared" si="389"/>
        <v/>
      </c>
      <c r="S333" s="4" t="str">
        <f t="shared" si="379"/>
        <v/>
      </c>
      <c r="T333" s="4" t="e">
        <f t="shared" si="427"/>
        <v>#VALUE!</v>
      </c>
      <c r="U333" s="4" t="e">
        <f t="shared" si="428"/>
        <v>#VALUE!</v>
      </c>
      <c r="V333" s="4" t="b">
        <f t="shared" si="419"/>
        <v>0</v>
      </c>
      <c r="W333" s="13" t="str">
        <f t="shared" si="420"/>
        <v>Да</v>
      </c>
      <c r="X333" s="4" t="e">
        <f>(IF(COUNTIFS($G$2:G333,"+",$W$2:W333,"Да")&gt;1,"&amp; ","")&amp;D333&amp;J333&amp;E333&amp;SUBSTITUTE(L333,"""",""))</f>
        <v>#VALUE!</v>
      </c>
      <c r="Y333" s="4" t="e">
        <f t="shared" si="376"/>
        <v>#VALUE!</v>
      </c>
    </row>
    <row r="334" spans="1:25" x14ac:dyDescent="0.3">
      <c r="A334" s="11"/>
      <c r="B334" s="5" t="str">
        <f t="shared" si="421"/>
        <v/>
      </c>
      <c r="C334" s="5" t="str">
        <f t="shared" si="422"/>
        <v/>
      </c>
      <c r="D334" s="4" t="s">
        <v>10</v>
      </c>
      <c r="E334" s="4" t="s">
        <v>11</v>
      </c>
      <c r="F334" s="4" t="str">
        <f t="shared" si="363"/>
        <v>!!!</v>
      </c>
      <c r="G334" s="4" t="str">
        <f t="shared" si="423"/>
        <v>+</v>
      </c>
      <c r="H334" s="4"/>
      <c r="I334" s="4" t="str">
        <f t="shared" si="364"/>
        <v>!!!</v>
      </c>
      <c r="J334" s="4" t="e">
        <f t="shared" si="365"/>
        <v>#VALUE!</v>
      </c>
      <c r="K334" s="4" t="e">
        <f t="shared" si="366"/>
        <v>#VALUE!</v>
      </c>
      <c r="L334" s="4" t="e">
        <f t="shared" si="367"/>
        <v>#VALUE!</v>
      </c>
      <c r="M334" s="4">
        <f t="shared" si="424"/>
        <v>1000</v>
      </c>
      <c r="N334" s="4">
        <f t="shared" ref="N334:O334" si="439">MIN(IFERROR(FIND(" ",$C334,M334+1),1000))</f>
        <v>1000</v>
      </c>
      <c r="O334" s="4">
        <f t="shared" si="439"/>
        <v>1000</v>
      </c>
      <c r="P334" s="4">
        <f t="shared" si="426"/>
        <v>0</v>
      </c>
      <c r="Q334" s="4" t="str">
        <f t="shared" si="373"/>
        <v/>
      </c>
      <c r="R334" s="4" t="str">
        <f t="shared" si="389"/>
        <v/>
      </c>
      <c r="S334" s="4" t="str">
        <f t="shared" si="379"/>
        <v/>
      </c>
      <c r="T334" s="4" t="e">
        <f t="shared" si="427"/>
        <v>#VALUE!</v>
      </c>
      <c r="U334" s="4" t="e">
        <f t="shared" si="428"/>
        <v>#VALUE!</v>
      </c>
      <c r="V334" s="4" t="b">
        <f t="shared" si="419"/>
        <v>0</v>
      </c>
      <c r="W334" s="13" t="str">
        <f t="shared" si="420"/>
        <v>Да</v>
      </c>
      <c r="X334" s="4" t="e">
        <f>(IF(COUNTIFS($G$2:G334,"+",$W$2:W334,"Да")&gt;1,"&amp; ","")&amp;D334&amp;J334&amp;E334&amp;SUBSTITUTE(L334,"""",""))</f>
        <v>#VALUE!</v>
      </c>
      <c r="Y334" s="4" t="e">
        <f t="shared" si="376"/>
        <v>#VALUE!</v>
      </c>
    </row>
    <row r="335" spans="1:25" x14ac:dyDescent="0.3">
      <c r="A335" s="11"/>
      <c r="B335" s="5" t="str">
        <f t="shared" si="421"/>
        <v/>
      </c>
      <c r="C335" s="5" t="str">
        <f t="shared" si="422"/>
        <v/>
      </c>
      <c r="D335" s="4" t="s">
        <v>10</v>
      </c>
      <c r="E335" s="4" t="s">
        <v>11</v>
      </c>
      <c r="F335" s="4" t="str">
        <f t="shared" si="363"/>
        <v>!!!</v>
      </c>
      <c r="G335" s="4" t="str">
        <f t="shared" si="423"/>
        <v>+</v>
      </c>
      <c r="H335" s="4"/>
      <c r="I335" s="4" t="str">
        <f t="shared" si="364"/>
        <v>!!!</v>
      </c>
      <c r="J335" s="4" t="e">
        <f t="shared" si="365"/>
        <v>#VALUE!</v>
      </c>
      <c r="K335" s="4" t="e">
        <f t="shared" si="366"/>
        <v>#VALUE!</v>
      </c>
      <c r="L335" s="4" t="e">
        <f t="shared" si="367"/>
        <v>#VALUE!</v>
      </c>
      <c r="M335" s="4">
        <f t="shared" si="424"/>
        <v>1000</v>
      </c>
      <c r="N335" s="4">
        <f t="shared" ref="N335:O335" si="440">MIN(IFERROR(FIND(" ",$C335,M335+1),1000))</f>
        <v>1000</v>
      </c>
      <c r="O335" s="4">
        <f t="shared" si="440"/>
        <v>1000</v>
      </c>
      <c r="P335" s="4">
        <f t="shared" si="426"/>
        <v>0</v>
      </c>
      <c r="Q335" s="4" t="str">
        <f t="shared" si="373"/>
        <v/>
      </c>
      <c r="R335" s="4" t="str">
        <f t="shared" si="389"/>
        <v/>
      </c>
      <c r="S335" s="4" t="str">
        <f t="shared" si="379"/>
        <v/>
      </c>
      <c r="T335" s="4" t="e">
        <f t="shared" si="427"/>
        <v>#VALUE!</v>
      </c>
      <c r="U335" s="4" t="e">
        <f t="shared" si="428"/>
        <v>#VALUE!</v>
      </c>
      <c r="V335" s="4" t="b">
        <f t="shared" si="419"/>
        <v>0</v>
      </c>
      <c r="W335" s="13" t="str">
        <f t="shared" si="420"/>
        <v>Да</v>
      </c>
      <c r="X335" s="4" t="e">
        <f>(IF(COUNTIFS($G$2:G335,"+",$W$2:W335,"Да")&gt;1,"&amp; ","")&amp;D335&amp;J335&amp;E335&amp;SUBSTITUTE(L335,"""",""))</f>
        <v>#VALUE!</v>
      </c>
      <c r="Y335" s="4" t="e">
        <f t="shared" si="376"/>
        <v>#VALUE!</v>
      </c>
    </row>
    <row r="336" spans="1:25" x14ac:dyDescent="0.3">
      <c r="A336" s="11"/>
      <c r="B336" s="5" t="str">
        <f t="shared" si="421"/>
        <v/>
      </c>
      <c r="C336" s="5" t="str">
        <f t="shared" si="422"/>
        <v/>
      </c>
      <c r="D336" s="4" t="s">
        <v>10</v>
      </c>
      <c r="E336" s="4" t="s">
        <v>11</v>
      </c>
      <c r="F336" s="4" t="str">
        <f t="shared" si="363"/>
        <v>!!!</v>
      </c>
      <c r="G336" s="4" t="str">
        <f t="shared" si="423"/>
        <v>+</v>
      </c>
      <c r="H336" s="4"/>
      <c r="I336" s="4" t="str">
        <f t="shared" si="364"/>
        <v>!!!</v>
      </c>
      <c r="J336" s="4" t="e">
        <f t="shared" si="365"/>
        <v>#VALUE!</v>
      </c>
      <c r="K336" s="4" t="e">
        <f t="shared" si="366"/>
        <v>#VALUE!</v>
      </c>
      <c r="L336" s="4" t="e">
        <f t="shared" si="367"/>
        <v>#VALUE!</v>
      </c>
      <c r="M336" s="4">
        <f t="shared" si="424"/>
        <v>1000</v>
      </c>
      <c r="N336" s="4">
        <f t="shared" ref="N336:O336" si="441">MIN(IFERROR(FIND(" ",$C336,M336+1),1000))</f>
        <v>1000</v>
      </c>
      <c r="O336" s="4">
        <f t="shared" si="441"/>
        <v>1000</v>
      </c>
      <c r="P336" s="4">
        <f t="shared" si="426"/>
        <v>0</v>
      </c>
      <c r="Q336" s="4" t="str">
        <f t="shared" si="373"/>
        <v/>
      </c>
      <c r="R336" s="4" t="str">
        <f t="shared" si="389"/>
        <v/>
      </c>
      <c r="S336" s="4" t="str">
        <f t="shared" si="379"/>
        <v/>
      </c>
      <c r="T336" s="4" t="e">
        <f t="shared" si="427"/>
        <v>#VALUE!</v>
      </c>
      <c r="U336" s="4" t="e">
        <f t="shared" si="428"/>
        <v>#VALUE!</v>
      </c>
      <c r="V336" s="4" t="b">
        <f t="shared" si="419"/>
        <v>0</v>
      </c>
      <c r="W336" s="13" t="str">
        <f t="shared" si="420"/>
        <v>Да</v>
      </c>
      <c r="X336" s="4" t="e">
        <f>(IF(COUNTIFS($G$2:G336,"+",$W$2:W336,"Да")&gt;1,"&amp; ","")&amp;D336&amp;J336&amp;E336&amp;SUBSTITUTE(L336,"""",""))</f>
        <v>#VALUE!</v>
      </c>
      <c r="Y336" s="4" t="e">
        <f t="shared" si="376"/>
        <v>#VALUE!</v>
      </c>
    </row>
    <row r="337" spans="1:25" x14ac:dyDescent="0.3">
      <c r="A337" s="11"/>
      <c r="B337" s="5" t="str">
        <f t="shared" si="421"/>
        <v/>
      </c>
      <c r="C337" s="5" t="str">
        <f t="shared" si="422"/>
        <v/>
      </c>
      <c r="D337" s="4" t="s">
        <v>10</v>
      </c>
      <c r="E337" s="4" t="s">
        <v>11</v>
      </c>
      <c r="F337" s="4" t="str">
        <f t="shared" si="363"/>
        <v>!!!</v>
      </c>
      <c r="G337" s="4" t="str">
        <f t="shared" si="423"/>
        <v>+</v>
      </c>
      <c r="H337" s="4"/>
      <c r="I337" s="4" t="str">
        <f t="shared" si="364"/>
        <v>!!!</v>
      </c>
      <c r="J337" s="4" t="e">
        <f t="shared" si="365"/>
        <v>#VALUE!</v>
      </c>
      <c r="K337" s="4" t="e">
        <f t="shared" si="366"/>
        <v>#VALUE!</v>
      </c>
      <c r="L337" s="4" t="e">
        <f t="shared" si="367"/>
        <v>#VALUE!</v>
      </c>
      <c r="M337" s="4">
        <f t="shared" si="424"/>
        <v>1000</v>
      </c>
      <c r="N337" s="4">
        <f t="shared" ref="N337:O337" si="442">MIN(IFERROR(FIND(" ",$C337,M337+1),1000))</f>
        <v>1000</v>
      </c>
      <c r="O337" s="4">
        <f t="shared" si="442"/>
        <v>1000</v>
      </c>
      <c r="P337" s="4">
        <f t="shared" si="426"/>
        <v>0</v>
      </c>
      <c r="Q337" s="4" t="str">
        <f t="shared" si="373"/>
        <v/>
      </c>
      <c r="R337" s="4" t="str">
        <f t="shared" si="389"/>
        <v/>
      </c>
      <c r="S337" s="4" t="str">
        <f t="shared" si="379"/>
        <v/>
      </c>
      <c r="T337" s="4" t="e">
        <f t="shared" si="427"/>
        <v>#VALUE!</v>
      </c>
      <c r="U337" s="4" t="e">
        <f t="shared" si="428"/>
        <v>#VALUE!</v>
      </c>
      <c r="V337" s="4" t="b">
        <f t="shared" si="419"/>
        <v>0</v>
      </c>
      <c r="W337" s="13" t="str">
        <f t="shared" si="420"/>
        <v>Да</v>
      </c>
      <c r="X337" s="4" t="e">
        <f>(IF(COUNTIFS($G$2:G337,"+",$W$2:W337,"Да")&gt;1,"&amp; ","")&amp;D337&amp;J337&amp;E337&amp;SUBSTITUTE(L337,"""",""))</f>
        <v>#VALUE!</v>
      </c>
      <c r="Y337" s="4" t="e">
        <f t="shared" si="376"/>
        <v>#VALUE!</v>
      </c>
    </row>
    <row r="338" spans="1:25" x14ac:dyDescent="0.3">
      <c r="A338" s="11"/>
      <c r="B338" s="5" t="str">
        <f t="shared" si="421"/>
        <v/>
      </c>
      <c r="C338" s="5" t="str">
        <f t="shared" si="422"/>
        <v/>
      </c>
      <c r="D338" s="4" t="s">
        <v>10</v>
      </c>
      <c r="E338" s="4" t="s">
        <v>11</v>
      </c>
      <c r="F338" s="4" t="str">
        <f t="shared" si="363"/>
        <v>!!!</v>
      </c>
      <c r="G338" s="4" t="str">
        <f t="shared" si="423"/>
        <v>+</v>
      </c>
      <c r="H338" s="4"/>
      <c r="I338" s="4" t="str">
        <f t="shared" si="364"/>
        <v>!!!</v>
      </c>
      <c r="J338" s="4" t="e">
        <f t="shared" si="365"/>
        <v>#VALUE!</v>
      </c>
      <c r="K338" s="4" t="e">
        <f t="shared" si="366"/>
        <v>#VALUE!</v>
      </c>
      <c r="L338" s="4" t="e">
        <f t="shared" si="367"/>
        <v>#VALUE!</v>
      </c>
      <c r="M338" s="4">
        <f t="shared" si="424"/>
        <v>1000</v>
      </c>
      <c r="N338" s="4">
        <f t="shared" ref="N338:O338" si="443">MIN(IFERROR(FIND(" ",$C338,M338+1),1000))</f>
        <v>1000</v>
      </c>
      <c r="O338" s="4">
        <f t="shared" si="443"/>
        <v>1000</v>
      </c>
      <c r="P338" s="4">
        <f t="shared" si="426"/>
        <v>0</v>
      </c>
      <c r="Q338" s="4" t="str">
        <f t="shared" si="373"/>
        <v/>
      </c>
      <c r="R338" s="4" t="str">
        <f t="shared" si="389"/>
        <v/>
      </c>
      <c r="S338" s="4" t="str">
        <f t="shared" si="379"/>
        <v/>
      </c>
      <c r="T338" s="4" t="e">
        <f t="shared" si="427"/>
        <v>#VALUE!</v>
      </c>
      <c r="U338" s="4" t="e">
        <f t="shared" si="428"/>
        <v>#VALUE!</v>
      </c>
      <c r="V338" s="4" t="b">
        <f t="shared" si="419"/>
        <v>0</v>
      </c>
      <c r="W338" s="13" t="str">
        <f t="shared" si="420"/>
        <v>Да</v>
      </c>
      <c r="X338" s="4" t="e">
        <f>(IF(COUNTIFS($G$2:G338,"+",$W$2:W338,"Да")&gt;1,"&amp; ","")&amp;D338&amp;J338&amp;E338&amp;SUBSTITUTE(L338,"""",""))</f>
        <v>#VALUE!</v>
      </c>
      <c r="Y338" s="4" t="e">
        <f t="shared" si="376"/>
        <v>#VALUE!</v>
      </c>
    </row>
    <row r="339" spans="1:25" x14ac:dyDescent="0.3">
      <c r="A339" s="11"/>
      <c r="B339" s="5" t="str">
        <f t="shared" si="421"/>
        <v/>
      </c>
      <c r="C339" s="5" t="str">
        <f t="shared" si="422"/>
        <v/>
      </c>
      <c r="D339" s="4" t="s">
        <v>10</v>
      </c>
      <c r="E339" s="4" t="s">
        <v>11</v>
      </c>
      <c r="F339" s="4" t="str">
        <f t="shared" si="363"/>
        <v>!!!</v>
      </c>
      <c r="G339" s="4" t="str">
        <f t="shared" si="423"/>
        <v>+</v>
      </c>
      <c r="H339" s="4"/>
      <c r="I339" s="4" t="str">
        <f t="shared" si="364"/>
        <v>!!!</v>
      </c>
      <c r="J339" s="4" t="e">
        <f t="shared" si="365"/>
        <v>#VALUE!</v>
      </c>
      <c r="K339" s="4" t="e">
        <f t="shared" si="366"/>
        <v>#VALUE!</v>
      </c>
      <c r="L339" s="4" t="e">
        <f t="shared" si="367"/>
        <v>#VALUE!</v>
      </c>
      <c r="M339" s="4">
        <f t="shared" si="424"/>
        <v>1000</v>
      </c>
      <c r="N339" s="4">
        <f t="shared" ref="N339:O339" si="444">MIN(IFERROR(FIND(" ",$C339,M339+1),1000))</f>
        <v>1000</v>
      </c>
      <c r="O339" s="4">
        <f t="shared" si="444"/>
        <v>1000</v>
      </c>
      <c r="P339" s="4">
        <f t="shared" si="426"/>
        <v>0</v>
      </c>
      <c r="Q339" s="4" t="str">
        <f t="shared" si="373"/>
        <v/>
      </c>
      <c r="R339" s="4" t="str">
        <f t="shared" si="389"/>
        <v/>
      </c>
      <c r="S339" s="4" t="str">
        <f t="shared" si="379"/>
        <v/>
      </c>
      <c r="T339" s="4" t="e">
        <f t="shared" si="427"/>
        <v>#VALUE!</v>
      </c>
      <c r="U339" s="4" t="e">
        <f t="shared" si="428"/>
        <v>#VALUE!</v>
      </c>
      <c r="V339" s="4" t="b">
        <f t="shared" si="419"/>
        <v>0</v>
      </c>
      <c r="W339" s="13" t="str">
        <f t="shared" si="420"/>
        <v>Да</v>
      </c>
      <c r="X339" s="4" t="e">
        <f>(IF(COUNTIFS($G$2:G339,"+",$W$2:W339,"Да")&gt;1,"&amp; ","")&amp;D339&amp;J339&amp;E339&amp;SUBSTITUTE(L339,"""",""))</f>
        <v>#VALUE!</v>
      </c>
      <c r="Y339" s="4" t="e">
        <f t="shared" si="376"/>
        <v>#VALUE!</v>
      </c>
    </row>
    <row r="340" spans="1:25" x14ac:dyDescent="0.3">
      <c r="A340" s="11"/>
      <c r="B340" s="5" t="str">
        <f t="shared" si="421"/>
        <v/>
      </c>
      <c r="C340" s="5" t="str">
        <f t="shared" si="422"/>
        <v/>
      </c>
      <c r="D340" s="4" t="s">
        <v>10</v>
      </c>
      <c r="E340" s="4" t="s">
        <v>11</v>
      </c>
      <c r="F340" s="4" t="str">
        <f t="shared" ref="F340:F403" si="445">IFERROR(SEARCH(" as ",B340),"!!!")</f>
        <v>!!!</v>
      </c>
      <c r="G340" s="4" t="str">
        <f t="shared" si="423"/>
        <v>+</v>
      </c>
      <c r="H340" s="4"/>
      <c r="I340" s="4" t="str">
        <f t="shared" ref="I340:I403" si="446">IFERROR(SEARCH(" ",B340),"!!!")</f>
        <v>!!!</v>
      </c>
      <c r="J340" s="4" t="e">
        <f t="shared" ref="J340:J403" si="447">RIGHT(B340,LEN(B340)-F340-3)</f>
        <v>#VALUE!</v>
      </c>
      <c r="K340" s="4" t="e">
        <f t="shared" ref="K340:K403" si="448">MID(B340,I340+1,F340-I340)</f>
        <v>#VALUE!</v>
      </c>
      <c r="L340" s="4" t="e">
        <f t="shared" ref="L340:L403" si="449">MID(B340,I340+1,F340-I340)</f>
        <v>#VALUE!</v>
      </c>
      <c r="M340" s="4">
        <f t="shared" si="424"/>
        <v>1000</v>
      </c>
      <c r="N340" s="4">
        <f t="shared" ref="N340:O340" si="450">MIN(IFERROR(FIND(" ",$C340,M340+1),1000))</f>
        <v>1000</v>
      </c>
      <c r="O340" s="4">
        <f t="shared" si="450"/>
        <v>1000</v>
      </c>
      <c r="P340" s="4">
        <f t="shared" si="426"/>
        <v>0</v>
      </c>
      <c r="Q340" s="4" t="str">
        <f t="shared" si="373"/>
        <v/>
      </c>
      <c r="R340" s="4" t="str">
        <f t="shared" si="389"/>
        <v/>
      </c>
      <c r="S340" s="4" t="str">
        <f t="shared" si="379"/>
        <v/>
      </c>
      <c r="T340" s="4" t="e">
        <f t="shared" si="427"/>
        <v>#VALUE!</v>
      </c>
      <c r="U340" s="4" t="e">
        <f t="shared" si="428"/>
        <v>#VALUE!</v>
      </c>
      <c r="V340" s="4" t="b">
        <f t="shared" si="419"/>
        <v>0</v>
      </c>
      <c r="W340" s="13" t="str">
        <f t="shared" si="420"/>
        <v>Да</v>
      </c>
      <c r="X340" s="4" t="e">
        <f>(IF(COUNTIFS($G$2:G340,"+",$W$2:W340,"Да")&gt;1,"&amp; ","")&amp;D340&amp;J340&amp;E340&amp;SUBSTITUTE(L340,"""",""))</f>
        <v>#VALUE!</v>
      </c>
      <c r="Y340" s="4" t="e">
        <f t="shared" si="376"/>
        <v>#VALUE!</v>
      </c>
    </row>
    <row r="341" spans="1:25" x14ac:dyDescent="0.3">
      <c r="A341" s="11"/>
      <c r="B341" s="5" t="str">
        <f t="shared" si="421"/>
        <v/>
      </c>
      <c r="C341" s="5" t="str">
        <f t="shared" si="422"/>
        <v/>
      </c>
      <c r="D341" s="4" t="s">
        <v>10</v>
      </c>
      <c r="E341" s="4" t="s">
        <v>11</v>
      </c>
      <c r="F341" s="4" t="str">
        <f t="shared" si="445"/>
        <v>!!!</v>
      </c>
      <c r="G341" s="4" t="str">
        <f t="shared" si="423"/>
        <v>+</v>
      </c>
      <c r="H341" s="4"/>
      <c r="I341" s="4" t="str">
        <f t="shared" si="446"/>
        <v>!!!</v>
      </c>
      <c r="J341" s="4" t="e">
        <f t="shared" si="447"/>
        <v>#VALUE!</v>
      </c>
      <c r="K341" s="4" t="e">
        <f t="shared" si="448"/>
        <v>#VALUE!</v>
      </c>
      <c r="L341" s="4" t="e">
        <f t="shared" si="449"/>
        <v>#VALUE!</v>
      </c>
      <c r="M341" s="4">
        <f t="shared" si="424"/>
        <v>1000</v>
      </c>
      <c r="N341" s="4">
        <f t="shared" ref="N341:O341" si="451">MIN(IFERROR(FIND(" ",$C341,M341+1),1000))</f>
        <v>1000</v>
      </c>
      <c r="O341" s="4">
        <f t="shared" si="451"/>
        <v>1000</v>
      </c>
      <c r="P341" s="4">
        <f t="shared" si="426"/>
        <v>0</v>
      </c>
      <c r="Q341" s="4" t="str">
        <f t="shared" si="373"/>
        <v/>
      </c>
      <c r="R341" s="4" t="str">
        <f t="shared" si="389"/>
        <v/>
      </c>
      <c r="S341" s="4" t="str">
        <f t="shared" si="379"/>
        <v/>
      </c>
      <c r="T341" s="4" t="e">
        <f t="shared" si="427"/>
        <v>#VALUE!</v>
      </c>
      <c r="U341" s="4" t="e">
        <f t="shared" si="428"/>
        <v>#VALUE!</v>
      </c>
      <c r="V341" s="4" t="b">
        <f t="shared" si="419"/>
        <v>0</v>
      </c>
      <c r="W341" s="13" t="str">
        <f t="shared" si="420"/>
        <v>Да</v>
      </c>
      <c r="X341" s="4" t="e">
        <f>(IF(COUNTIFS($G$2:G341,"+",$W$2:W341,"Да")&gt;1,"&amp; ","")&amp;D341&amp;J341&amp;E341&amp;SUBSTITUTE(L341,"""",""))</f>
        <v>#VALUE!</v>
      </c>
      <c r="Y341" s="4" t="e">
        <f t="shared" si="376"/>
        <v>#VALUE!</v>
      </c>
    </row>
    <row r="342" spans="1:25" x14ac:dyDescent="0.3">
      <c r="A342" s="11"/>
      <c r="B342" s="5" t="str">
        <f t="shared" si="421"/>
        <v/>
      </c>
      <c r="C342" s="5" t="str">
        <f t="shared" si="422"/>
        <v/>
      </c>
      <c r="D342" s="4" t="s">
        <v>10</v>
      </c>
      <c r="E342" s="4" t="s">
        <v>11</v>
      </c>
      <c r="F342" s="4" t="str">
        <f t="shared" si="445"/>
        <v>!!!</v>
      </c>
      <c r="G342" s="4" t="str">
        <f t="shared" si="423"/>
        <v>+</v>
      </c>
      <c r="H342" s="4"/>
      <c r="I342" s="4" t="str">
        <f t="shared" si="446"/>
        <v>!!!</v>
      </c>
      <c r="J342" s="4" t="e">
        <f t="shared" si="447"/>
        <v>#VALUE!</v>
      </c>
      <c r="K342" s="4" t="e">
        <f t="shared" si="448"/>
        <v>#VALUE!</v>
      </c>
      <c r="L342" s="4" t="e">
        <f t="shared" si="449"/>
        <v>#VALUE!</v>
      </c>
      <c r="M342" s="4">
        <f t="shared" si="424"/>
        <v>1000</v>
      </c>
      <c r="N342" s="4">
        <f t="shared" ref="N342:O342" si="452">MIN(IFERROR(FIND(" ",$C342,M342+1),1000))</f>
        <v>1000</v>
      </c>
      <c r="O342" s="4">
        <f t="shared" si="452"/>
        <v>1000</v>
      </c>
      <c r="P342" s="4">
        <f t="shared" si="426"/>
        <v>0</v>
      </c>
      <c r="Q342" s="4" t="str">
        <f t="shared" si="373"/>
        <v/>
      </c>
      <c r="R342" s="4" t="str">
        <f t="shared" si="389"/>
        <v/>
      </c>
      <c r="S342" s="4" t="str">
        <f t="shared" si="379"/>
        <v/>
      </c>
      <c r="T342" s="4" t="e">
        <f t="shared" si="427"/>
        <v>#VALUE!</v>
      </c>
      <c r="U342" s="4" t="e">
        <f t="shared" si="428"/>
        <v>#VALUE!</v>
      </c>
      <c r="V342" s="4" t="b">
        <f t="shared" si="419"/>
        <v>0</v>
      </c>
      <c r="W342" s="13" t="str">
        <f t="shared" si="420"/>
        <v>Да</v>
      </c>
      <c r="X342" s="4" t="e">
        <f>(IF(COUNTIFS($G$2:G342,"+",$W$2:W342,"Да")&gt;1,"&amp; ","")&amp;D342&amp;J342&amp;E342&amp;SUBSTITUTE(L342,"""",""))</f>
        <v>#VALUE!</v>
      </c>
      <c r="Y342" s="4" t="e">
        <f t="shared" si="376"/>
        <v>#VALUE!</v>
      </c>
    </row>
    <row r="343" spans="1:25" x14ac:dyDescent="0.3">
      <c r="A343" s="11"/>
      <c r="B343" s="5" t="str">
        <f t="shared" si="421"/>
        <v/>
      </c>
      <c r="C343" s="5" t="str">
        <f t="shared" si="422"/>
        <v/>
      </c>
      <c r="D343" s="4" t="s">
        <v>10</v>
      </c>
      <c r="E343" s="4" t="s">
        <v>11</v>
      </c>
      <c r="F343" s="4" t="str">
        <f t="shared" si="445"/>
        <v>!!!</v>
      </c>
      <c r="G343" s="4" t="str">
        <f t="shared" si="423"/>
        <v>+</v>
      </c>
      <c r="H343" s="4"/>
      <c r="I343" s="4" t="str">
        <f t="shared" si="446"/>
        <v>!!!</v>
      </c>
      <c r="J343" s="4" t="e">
        <f t="shared" si="447"/>
        <v>#VALUE!</v>
      </c>
      <c r="K343" s="4" t="e">
        <f t="shared" si="448"/>
        <v>#VALUE!</v>
      </c>
      <c r="L343" s="4" t="e">
        <f t="shared" si="449"/>
        <v>#VALUE!</v>
      </c>
      <c r="M343" s="4">
        <f t="shared" si="424"/>
        <v>1000</v>
      </c>
      <c r="N343" s="4">
        <f t="shared" ref="N343:O343" si="453">MIN(IFERROR(FIND(" ",$C343,M343+1),1000))</f>
        <v>1000</v>
      </c>
      <c r="O343" s="4">
        <f t="shared" si="453"/>
        <v>1000</v>
      </c>
      <c r="P343" s="4">
        <f t="shared" si="426"/>
        <v>0</v>
      </c>
      <c r="Q343" s="4" t="str">
        <f t="shared" si="373"/>
        <v/>
      </c>
      <c r="R343" s="4" t="str">
        <f t="shared" si="389"/>
        <v/>
      </c>
      <c r="S343" s="4" t="str">
        <f t="shared" si="379"/>
        <v/>
      </c>
      <c r="T343" s="4" t="e">
        <f t="shared" si="427"/>
        <v>#VALUE!</v>
      </c>
      <c r="U343" s="4" t="e">
        <f t="shared" si="428"/>
        <v>#VALUE!</v>
      </c>
      <c r="V343" s="4" t="b">
        <f t="shared" si="419"/>
        <v>0</v>
      </c>
      <c r="W343" s="13" t="str">
        <f t="shared" si="420"/>
        <v>Да</v>
      </c>
      <c r="X343" s="4" t="e">
        <f>(IF(COUNTIFS($G$2:G343,"+",$W$2:W343,"Да")&gt;1,"&amp; ","")&amp;D343&amp;J343&amp;E343&amp;SUBSTITUTE(L343,"""",""))</f>
        <v>#VALUE!</v>
      </c>
      <c r="Y343" s="4" t="e">
        <f t="shared" si="376"/>
        <v>#VALUE!</v>
      </c>
    </row>
    <row r="344" spans="1:25" x14ac:dyDescent="0.3">
      <c r="A344" s="11"/>
      <c r="B344" s="5" t="str">
        <f t="shared" si="421"/>
        <v/>
      </c>
      <c r="C344" s="5" t="str">
        <f t="shared" si="422"/>
        <v/>
      </c>
      <c r="D344" s="4" t="s">
        <v>10</v>
      </c>
      <c r="E344" s="4" t="s">
        <v>11</v>
      </c>
      <c r="F344" s="4" t="str">
        <f t="shared" si="445"/>
        <v>!!!</v>
      </c>
      <c r="G344" s="4" t="str">
        <f t="shared" si="423"/>
        <v>+</v>
      </c>
      <c r="H344" s="4"/>
      <c r="I344" s="4" t="str">
        <f t="shared" si="446"/>
        <v>!!!</v>
      </c>
      <c r="J344" s="4" t="e">
        <f t="shared" si="447"/>
        <v>#VALUE!</v>
      </c>
      <c r="K344" s="4" t="e">
        <f t="shared" si="448"/>
        <v>#VALUE!</v>
      </c>
      <c r="L344" s="4" t="e">
        <f t="shared" si="449"/>
        <v>#VALUE!</v>
      </c>
      <c r="M344" s="4">
        <f t="shared" si="424"/>
        <v>1000</v>
      </c>
      <c r="N344" s="4">
        <f t="shared" ref="N344:O344" si="454">MIN(IFERROR(FIND(" ",$C344,M344+1),1000))</f>
        <v>1000</v>
      </c>
      <c r="O344" s="4">
        <f t="shared" si="454"/>
        <v>1000</v>
      </c>
      <c r="P344" s="4">
        <f t="shared" si="426"/>
        <v>0</v>
      </c>
      <c r="Q344" s="4" t="str">
        <f t="shared" ref="Q344:Q407" si="455">LEFT(C344,M344-1)</f>
        <v/>
      </c>
      <c r="R344" s="4" t="str">
        <f t="shared" si="389"/>
        <v/>
      </c>
      <c r="S344" s="4" t="str">
        <f t="shared" si="379"/>
        <v/>
      </c>
      <c r="T344" s="4" t="e">
        <f t="shared" si="427"/>
        <v>#VALUE!</v>
      </c>
      <c r="U344" s="4" t="e">
        <f t="shared" si="428"/>
        <v>#VALUE!</v>
      </c>
      <c r="V344" s="4" t="b">
        <f t="shared" si="419"/>
        <v>0</v>
      </c>
      <c r="W344" s="13" t="str">
        <f t="shared" si="420"/>
        <v>Да</v>
      </c>
      <c r="X344" s="4" t="e">
        <f>(IF(COUNTIFS($G$2:G344,"+",$W$2:W344,"Да")&gt;1,"&amp; ","")&amp;D344&amp;J344&amp;E344&amp;SUBSTITUTE(L344,"""",""))</f>
        <v>#VALUE!</v>
      </c>
      <c r="Y344" s="4" t="e">
        <f t="shared" si="376"/>
        <v>#VALUE!</v>
      </c>
    </row>
    <row r="345" spans="1:25" x14ac:dyDescent="0.3">
      <c r="A345" s="11"/>
      <c r="B345" s="5" t="str">
        <f t="shared" si="421"/>
        <v/>
      </c>
      <c r="C345" s="5" t="str">
        <f t="shared" si="422"/>
        <v/>
      </c>
      <c r="D345" s="4" t="s">
        <v>10</v>
      </c>
      <c r="E345" s="4" t="s">
        <v>11</v>
      </c>
      <c r="F345" s="4" t="str">
        <f t="shared" si="445"/>
        <v>!!!</v>
      </c>
      <c r="G345" s="4" t="str">
        <f t="shared" si="423"/>
        <v>+</v>
      </c>
      <c r="H345" s="4"/>
      <c r="I345" s="4" t="str">
        <f t="shared" si="446"/>
        <v>!!!</v>
      </c>
      <c r="J345" s="4" t="e">
        <f t="shared" si="447"/>
        <v>#VALUE!</v>
      </c>
      <c r="K345" s="4" t="e">
        <f t="shared" si="448"/>
        <v>#VALUE!</v>
      </c>
      <c r="L345" s="4" t="e">
        <f t="shared" si="449"/>
        <v>#VALUE!</v>
      </c>
      <c r="M345" s="4">
        <f t="shared" si="424"/>
        <v>1000</v>
      </c>
      <c r="N345" s="4">
        <f t="shared" ref="N345:O345" si="456">MIN(IFERROR(FIND(" ",$C345,M345+1),1000))</f>
        <v>1000</v>
      </c>
      <c r="O345" s="4">
        <f t="shared" si="456"/>
        <v>1000</v>
      </c>
      <c r="P345" s="4">
        <f t="shared" si="426"/>
        <v>0</v>
      </c>
      <c r="Q345" s="4" t="str">
        <f t="shared" si="455"/>
        <v/>
      </c>
      <c r="R345" s="4" t="str">
        <f t="shared" si="389"/>
        <v/>
      </c>
      <c r="S345" s="4" t="str">
        <f t="shared" si="379"/>
        <v/>
      </c>
      <c r="T345" s="4" t="e">
        <f t="shared" si="427"/>
        <v>#VALUE!</v>
      </c>
      <c r="U345" s="4" t="e">
        <f t="shared" si="428"/>
        <v>#VALUE!</v>
      </c>
      <c r="V345" s="4" t="b">
        <f t="shared" si="419"/>
        <v>0</v>
      </c>
      <c r="W345" s="13" t="str">
        <f t="shared" si="420"/>
        <v>Да</v>
      </c>
      <c r="X345" s="4" t="e">
        <f>(IF(COUNTIFS($G$2:G345,"+",$W$2:W345,"Да")&gt;1,"&amp; ","")&amp;D345&amp;J345&amp;E345&amp;SUBSTITUTE(L345,"""",""))</f>
        <v>#VALUE!</v>
      </c>
      <c r="Y345" s="4" t="e">
        <f t="shared" si="376"/>
        <v>#VALUE!</v>
      </c>
    </row>
    <row r="346" spans="1:25" x14ac:dyDescent="0.3">
      <c r="A346" s="11"/>
      <c r="B346" s="5" t="str">
        <f t="shared" si="421"/>
        <v/>
      </c>
      <c r="C346" s="5" t="str">
        <f t="shared" si="422"/>
        <v/>
      </c>
      <c r="D346" s="4" t="s">
        <v>10</v>
      </c>
      <c r="E346" s="4" t="s">
        <v>11</v>
      </c>
      <c r="F346" s="4" t="str">
        <f t="shared" si="445"/>
        <v>!!!</v>
      </c>
      <c r="G346" s="4" t="str">
        <f t="shared" si="423"/>
        <v>+</v>
      </c>
      <c r="H346" s="4"/>
      <c r="I346" s="4" t="str">
        <f t="shared" si="446"/>
        <v>!!!</v>
      </c>
      <c r="J346" s="4" t="e">
        <f t="shared" si="447"/>
        <v>#VALUE!</v>
      </c>
      <c r="K346" s="4" t="e">
        <f t="shared" si="448"/>
        <v>#VALUE!</v>
      </c>
      <c r="L346" s="4" t="e">
        <f t="shared" si="449"/>
        <v>#VALUE!</v>
      </c>
      <c r="M346" s="4">
        <f t="shared" si="424"/>
        <v>1000</v>
      </c>
      <c r="N346" s="4">
        <f t="shared" ref="N346:O346" si="457">MIN(IFERROR(FIND(" ",$C346,M346+1),1000))</f>
        <v>1000</v>
      </c>
      <c r="O346" s="4">
        <f t="shared" si="457"/>
        <v>1000</v>
      </c>
      <c r="P346" s="4">
        <f t="shared" si="426"/>
        <v>0</v>
      </c>
      <c r="Q346" s="4" t="str">
        <f t="shared" si="455"/>
        <v/>
      </c>
      <c r="R346" s="4" t="str">
        <f t="shared" si="389"/>
        <v/>
      </c>
      <c r="S346" s="4" t="str">
        <f t="shared" si="379"/>
        <v/>
      </c>
      <c r="T346" s="4" t="e">
        <f t="shared" si="427"/>
        <v>#VALUE!</v>
      </c>
      <c r="U346" s="4" t="e">
        <f t="shared" si="428"/>
        <v>#VALUE!</v>
      </c>
      <c r="V346" s="4" t="b">
        <f t="shared" si="419"/>
        <v>0</v>
      </c>
      <c r="W346" s="13" t="str">
        <f t="shared" si="420"/>
        <v>Да</v>
      </c>
      <c r="X346" s="4" t="e">
        <f>(IF(COUNTIFS($G$2:G346,"+",$W$2:W346,"Да")&gt;1,"&amp; ","")&amp;D346&amp;J346&amp;E346&amp;SUBSTITUTE(L346,"""",""))</f>
        <v>#VALUE!</v>
      </c>
      <c r="Y346" s="4" t="e">
        <f t="shared" ref="Y346:Y409" si="458">IF(S346="",X346,LEFT(X346,FIND(":",X346))&amp;" "&amp;S346)</f>
        <v>#VALUE!</v>
      </c>
    </row>
    <row r="347" spans="1:25" x14ac:dyDescent="0.3">
      <c r="A347" s="11"/>
      <c r="B347" s="5" t="str">
        <f t="shared" si="421"/>
        <v/>
      </c>
      <c r="C347" s="5" t="str">
        <f t="shared" si="422"/>
        <v/>
      </c>
      <c r="D347" s="4" t="s">
        <v>10</v>
      </c>
      <c r="E347" s="4" t="s">
        <v>11</v>
      </c>
      <c r="F347" s="4" t="str">
        <f t="shared" si="445"/>
        <v>!!!</v>
      </c>
      <c r="G347" s="4" t="str">
        <f t="shared" si="423"/>
        <v>+</v>
      </c>
      <c r="H347" s="4"/>
      <c r="I347" s="4" t="str">
        <f t="shared" si="446"/>
        <v>!!!</v>
      </c>
      <c r="J347" s="4" t="e">
        <f t="shared" si="447"/>
        <v>#VALUE!</v>
      </c>
      <c r="K347" s="4" t="e">
        <f t="shared" si="448"/>
        <v>#VALUE!</v>
      </c>
      <c r="L347" s="4" t="e">
        <f t="shared" si="449"/>
        <v>#VALUE!</v>
      </c>
      <c r="M347" s="4">
        <f t="shared" si="424"/>
        <v>1000</v>
      </c>
      <c r="N347" s="4">
        <f t="shared" ref="N347:O347" si="459">MIN(IFERROR(FIND(" ",$C347,M347+1),1000))</f>
        <v>1000</v>
      </c>
      <c r="O347" s="4">
        <f t="shared" si="459"/>
        <v>1000</v>
      </c>
      <c r="P347" s="4">
        <f t="shared" si="426"/>
        <v>0</v>
      </c>
      <c r="Q347" s="4" t="str">
        <f t="shared" si="455"/>
        <v/>
      </c>
      <c r="R347" s="4" t="str">
        <f t="shared" si="389"/>
        <v/>
      </c>
      <c r="S347" s="4" t="str">
        <f t="shared" si="379"/>
        <v/>
      </c>
      <c r="T347" s="4" t="e">
        <f t="shared" si="427"/>
        <v>#VALUE!</v>
      </c>
      <c r="U347" s="4" t="e">
        <f t="shared" si="428"/>
        <v>#VALUE!</v>
      </c>
      <c r="V347" s="4" t="b">
        <f t="shared" si="419"/>
        <v>0</v>
      </c>
      <c r="W347" s="13" t="str">
        <f t="shared" si="420"/>
        <v>Да</v>
      </c>
      <c r="X347" s="4" t="e">
        <f>(IF(COUNTIFS($G$2:G347,"+",$W$2:W347,"Да")&gt;1,"&amp; ","")&amp;D347&amp;J347&amp;E347&amp;SUBSTITUTE(L347,"""",""))</f>
        <v>#VALUE!</v>
      </c>
      <c r="Y347" s="4" t="e">
        <f t="shared" si="458"/>
        <v>#VALUE!</v>
      </c>
    </row>
    <row r="348" spans="1:25" x14ac:dyDescent="0.3">
      <c r="A348" s="11"/>
      <c r="B348" s="5" t="str">
        <f t="shared" si="421"/>
        <v/>
      </c>
      <c r="C348" s="5" t="str">
        <f t="shared" si="422"/>
        <v/>
      </c>
      <c r="D348" s="4" t="s">
        <v>10</v>
      </c>
      <c r="E348" s="4" t="s">
        <v>11</v>
      </c>
      <c r="F348" s="4" t="str">
        <f t="shared" si="445"/>
        <v>!!!</v>
      </c>
      <c r="G348" s="4" t="str">
        <f t="shared" si="423"/>
        <v>+</v>
      </c>
      <c r="H348" s="4"/>
      <c r="I348" s="4" t="str">
        <f t="shared" si="446"/>
        <v>!!!</v>
      </c>
      <c r="J348" s="4" t="e">
        <f t="shared" si="447"/>
        <v>#VALUE!</v>
      </c>
      <c r="K348" s="4" t="e">
        <f t="shared" si="448"/>
        <v>#VALUE!</v>
      </c>
      <c r="L348" s="4" t="e">
        <f t="shared" si="449"/>
        <v>#VALUE!</v>
      </c>
      <c r="M348" s="4">
        <f t="shared" si="424"/>
        <v>1000</v>
      </c>
      <c r="N348" s="4">
        <f t="shared" ref="N348:O348" si="460">MIN(IFERROR(FIND(" ",$C348,M348+1),1000))</f>
        <v>1000</v>
      </c>
      <c r="O348" s="4">
        <f t="shared" si="460"/>
        <v>1000</v>
      </c>
      <c r="P348" s="4">
        <f t="shared" si="426"/>
        <v>0</v>
      </c>
      <c r="Q348" s="4" t="str">
        <f t="shared" si="455"/>
        <v/>
      </c>
      <c r="R348" s="4" t="str">
        <f t="shared" si="389"/>
        <v/>
      </c>
      <c r="S348" s="4" t="str">
        <f t="shared" ref="S348:S411" si="461">IFERROR(IF(LEFT(A347,1)="'",SUBSTITUTE(A347,"'",""),""),"")</f>
        <v/>
      </c>
      <c r="T348" s="4" t="e">
        <f t="shared" si="427"/>
        <v>#VALUE!</v>
      </c>
      <c r="U348" s="4" t="e">
        <f t="shared" si="428"/>
        <v>#VALUE!</v>
      </c>
      <c r="V348" s="4" t="b">
        <f t="shared" si="419"/>
        <v>0</v>
      </c>
      <c r="W348" s="13" t="str">
        <f t="shared" si="420"/>
        <v>Да</v>
      </c>
      <c r="X348" s="4" t="e">
        <f>(IF(COUNTIFS($G$2:G348,"+",$W$2:W348,"Да")&gt;1,"&amp; ","")&amp;D348&amp;J348&amp;E348&amp;SUBSTITUTE(L348,"""",""))</f>
        <v>#VALUE!</v>
      </c>
      <c r="Y348" s="4" t="e">
        <f t="shared" si="458"/>
        <v>#VALUE!</v>
      </c>
    </row>
    <row r="349" spans="1:25" x14ac:dyDescent="0.3">
      <c r="A349" s="11"/>
      <c r="B349" s="5" t="str">
        <f t="shared" si="421"/>
        <v/>
      </c>
      <c r="C349" s="5" t="str">
        <f t="shared" si="422"/>
        <v/>
      </c>
      <c r="D349" s="4" t="s">
        <v>10</v>
      </c>
      <c r="E349" s="4" t="s">
        <v>11</v>
      </c>
      <c r="F349" s="4" t="str">
        <f t="shared" si="445"/>
        <v>!!!</v>
      </c>
      <c r="G349" s="4" t="str">
        <f t="shared" si="423"/>
        <v>+</v>
      </c>
      <c r="H349" s="4"/>
      <c r="I349" s="4" t="str">
        <f t="shared" si="446"/>
        <v>!!!</v>
      </c>
      <c r="J349" s="4" t="e">
        <f t="shared" si="447"/>
        <v>#VALUE!</v>
      </c>
      <c r="K349" s="4" t="e">
        <f t="shared" si="448"/>
        <v>#VALUE!</v>
      </c>
      <c r="L349" s="4" t="e">
        <f t="shared" si="449"/>
        <v>#VALUE!</v>
      </c>
      <c r="M349" s="4">
        <f t="shared" si="424"/>
        <v>1000</v>
      </c>
      <c r="N349" s="4">
        <f t="shared" ref="N349:O349" si="462">MIN(IFERROR(FIND(" ",$C349,M349+1),1000))</f>
        <v>1000</v>
      </c>
      <c r="O349" s="4">
        <f t="shared" si="462"/>
        <v>1000</v>
      </c>
      <c r="P349" s="4">
        <f t="shared" si="426"/>
        <v>0</v>
      </c>
      <c r="Q349" s="4" t="str">
        <f t="shared" si="455"/>
        <v/>
      </c>
      <c r="R349" s="4" t="str">
        <f t="shared" si="389"/>
        <v/>
      </c>
      <c r="S349" s="4" t="str">
        <f t="shared" si="461"/>
        <v/>
      </c>
      <c r="T349" s="4" t="e">
        <f t="shared" si="427"/>
        <v>#VALUE!</v>
      </c>
      <c r="U349" s="4" t="e">
        <f t="shared" si="428"/>
        <v>#VALUE!</v>
      </c>
      <c r="V349" s="4" t="b">
        <f t="shared" si="419"/>
        <v>0</v>
      </c>
      <c r="W349" s="13" t="str">
        <f t="shared" si="420"/>
        <v>Да</v>
      </c>
      <c r="X349" s="4" t="e">
        <f>(IF(COUNTIFS($G$2:G349,"+",$W$2:W349,"Да")&gt;1,"&amp; ","")&amp;D349&amp;J349&amp;E349&amp;SUBSTITUTE(L349,"""",""))</f>
        <v>#VALUE!</v>
      </c>
      <c r="Y349" s="4" t="e">
        <f t="shared" si="458"/>
        <v>#VALUE!</v>
      </c>
    </row>
    <row r="350" spans="1:25" x14ac:dyDescent="0.3">
      <c r="A350" s="11"/>
      <c r="B350" s="5" t="str">
        <f t="shared" si="421"/>
        <v/>
      </c>
      <c r="C350" s="5" t="str">
        <f t="shared" si="422"/>
        <v/>
      </c>
      <c r="D350" s="4" t="s">
        <v>10</v>
      </c>
      <c r="E350" s="4" t="s">
        <v>11</v>
      </c>
      <c r="F350" s="4" t="str">
        <f t="shared" si="445"/>
        <v>!!!</v>
      </c>
      <c r="G350" s="4" t="str">
        <f t="shared" si="423"/>
        <v>+</v>
      </c>
      <c r="H350" s="4"/>
      <c r="I350" s="4" t="str">
        <f t="shared" si="446"/>
        <v>!!!</v>
      </c>
      <c r="J350" s="4" t="e">
        <f t="shared" si="447"/>
        <v>#VALUE!</v>
      </c>
      <c r="K350" s="4" t="e">
        <f t="shared" si="448"/>
        <v>#VALUE!</v>
      </c>
      <c r="L350" s="4" t="e">
        <f t="shared" si="449"/>
        <v>#VALUE!</v>
      </c>
      <c r="M350" s="4">
        <f t="shared" si="424"/>
        <v>1000</v>
      </c>
      <c r="N350" s="4">
        <f t="shared" ref="N350:O350" si="463">MIN(IFERROR(FIND(" ",$C350,M350+1),1000))</f>
        <v>1000</v>
      </c>
      <c r="O350" s="4">
        <f t="shared" si="463"/>
        <v>1000</v>
      </c>
      <c r="P350" s="4">
        <f t="shared" si="426"/>
        <v>0</v>
      </c>
      <c r="Q350" s="4" t="str">
        <f t="shared" si="455"/>
        <v/>
      </c>
      <c r="R350" s="4" t="str">
        <f t="shared" si="389"/>
        <v/>
      </c>
      <c r="S350" s="4" t="str">
        <f t="shared" si="461"/>
        <v/>
      </c>
      <c r="T350" s="4" t="e">
        <f t="shared" si="427"/>
        <v>#VALUE!</v>
      </c>
      <c r="U350" s="4" t="e">
        <f t="shared" si="428"/>
        <v>#VALUE!</v>
      </c>
      <c r="V350" s="4" t="b">
        <f t="shared" si="419"/>
        <v>0</v>
      </c>
      <c r="W350" s="13" t="str">
        <f t="shared" si="420"/>
        <v>Да</v>
      </c>
      <c r="X350" s="4" t="e">
        <f>(IF(COUNTIFS($G$2:G350,"+",$W$2:W350,"Да")&gt;1,"&amp; ","")&amp;D350&amp;J350&amp;E350&amp;SUBSTITUTE(L350,"""",""))</f>
        <v>#VALUE!</v>
      </c>
      <c r="Y350" s="4" t="e">
        <f t="shared" si="458"/>
        <v>#VALUE!</v>
      </c>
    </row>
    <row r="351" spans="1:25" x14ac:dyDescent="0.3">
      <c r="A351" s="11"/>
      <c r="B351" s="5" t="str">
        <f t="shared" si="421"/>
        <v/>
      </c>
      <c r="C351" s="5" t="str">
        <f t="shared" si="422"/>
        <v/>
      </c>
      <c r="D351" s="4" t="s">
        <v>10</v>
      </c>
      <c r="E351" s="4" t="s">
        <v>11</v>
      </c>
      <c r="F351" s="4" t="str">
        <f t="shared" si="445"/>
        <v>!!!</v>
      </c>
      <c r="G351" s="4" t="str">
        <f t="shared" si="423"/>
        <v>+</v>
      </c>
      <c r="H351" s="4"/>
      <c r="I351" s="4" t="str">
        <f t="shared" si="446"/>
        <v>!!!</v>
      </c>
      <c r="J351" s="4" t="e">
        <f t="shared" si="447"/>
        <v>#VALUE!</v>
      </c>
      <c r="K351" s="4" t="e">
        <f t="shared" si="448"/>
        <v>#VALUE!</v>
      </c>
      <c r="L351" s="4" t="e">
        <f t="shared" si="449"/>
        <v>#VALUE!</v>
      </c>
      <c r="M351" s="4">
        <f t="shared" si="424"/>
        <v>1000</v>
      </c>
      <c r="N351" s="4">
        <f t="shared" ref="N351:O351" si="464">MIN(IFERROR(FIND(" ",$C351,M351+1),1000))</f>
        <v>1000</v>
      </c>
      <c r="O351" s="4">
        <f t="shared" si="464"/>
        <v>1000</v>
      </c>
      <c r="P351" s="4">
        <f t="shared" si="426"/>
        <v>0</v>
      </c>
      <c r="Q351" s="4" t="str">
        <f t="shared" si="455"/>
        <v/>
      </c>
      <c r="R351" s="4" t="str">
        <f t="shared" si="389"/>
        <v/>
      </c>
      <c r="S351" s="4" t="str">
        <f t="shared" si="461"/>
        <v/>
      </c>
      <c r="T351" s="4" t="e">
        <f t="shared" si="427"/>
        <v>#VALUE!</v>
      </c>
      <c r="U351" s="4" t="e">
        <f t="shared" si="428"/>
        <v>#VALUE!</v>
      </c>
      <c r="V351" s="4" t="b">
        <f t="shared" si="419"/>
        <v>0</v>
      </c>
      <c r="W351" s="13" t="str">
        <f t="shared" si="420"/>
        <v>Да</v>
      </c>
      <c r="X351" s="4" t="e">
        <f>(IF(COUNTIFS($G$2:G351,"+",$W$2:W351,"Да")&gt;1,"&amp; ","")&amp;D351&amp;J351&amp;E351&amp;SUBSTITUTE(L351,"""",""))</f>
        <v>#VALUE!</v>
      </c>
      <c r="Y351" s="4" t="e">
        <f t="shared" si="458"/>
        <v>#VALUE!</v>
      </c>
    </row>
    <row r="352" spans="1:25" x14ac:dyDescent="0.3">
      <c r="A352" s="11"/>
      <c r="B352" s="5" t="str">
        <f t="shared" si="421"/>
        <v/>
      </c>
      <c r="C352" s="5" t="str">
        <f t="shared" si="422"/>
        <v/>
      </c>
      <c r="D352" s="4" t="s">
        <v>10</v>
      </c>
      <c r="E352" s="4" t="s">
        <v>11</v>
      </c>
      <c r="F352" s="4" t="str">
        <f t="shared" si="445"/>
        <v>!!!</v>
      </c>
      <c r="G352" s="4" t="str">
        <f t="shared" si="423"/>
        <v>+</v>
      </c>
      <c r="H352" s="4"/>
      <c r="I352" s="4" t="str">
        <f t="shared" si="446"/>
        <v>!!!</v>
      </c>
      <c r="J352" s="4" t="e">
        <f t="shared" si="447"/>
        <v>#VALUE!</v>
      </c>
      <c r="K352" s="4" t="e">
        <f t="shared" si="448"/>
        <v>#VALUE!</v>
      </c>
      <c r="L352" s="4" t="e">
        <f t="shared" si="449"/>
        <v>#VALUE!</v>
      </c>
      <c r="M352" s="4">
        <f t="shared" si="424"/>
        <v>1000</v>
      </c>
      <c r="N352" s="4">
        <f t="shared" ref="N352:O352" si="465">MIN(IFERROR(FIND(" ",$C352,M352+1),1000))</f>
        <v>1000</v>
      </c>
      <c r="O352" s="4">
        <f t="shared" si="465"/>
        <v>1000</v>
      </c>
      <c r="P352" s="4">
        <f t="shared" si="426"/>
        <v>0</v>
      </c>
      <c r="Q352" s="4" t="str">
        <f t="shared" si="455"/>
        <v/>
      </c>
      <c r="R352" s="4" t="str">
        <f t="shared" si="389"/>
        <v/>
      </c>
      <c r="S352" s="4" t="str">
        <f t="shared" si="461"/>
        <v/>
      </c>
      <c r="T352" s="4" t="e">
        <f t="shared" si="427"/>
        <v>#VALUE!</v>
      </c>
      <c r="U352" s="4" t="e">
        <f t="shared" si="428"/>
        <v>#VALUE!</v>
      </c>
      <c r="V352" s="4" t="b">
        <f t="shared" si="419"/>
        <v>0</v>
      </c>
      <c r="W352" s="13" t="str">
        <f t="shared" si="420"/>
        <v>Да</v>
      </c>
      <c r="X352" s="4" t="e">
        <f>(IF(COUNTIFS($G$2:G352,"+",$W$2:W352,"Да")&gt;1,"&amp; ","")&amp;D352&amp;J352&amp;E352&amp;SUBSTITUTE(L352,"""",""))</f>
        <v>#VALUE!</v>
      </c>
      <c r="Y352" s="4" t="e">
        <f t="shared" si="458"/>
        <v>#VALUE!</v>
      </c>
    </row>
    <row r="353" spans="1:25" x14ac:dyDescent="0.3">
      <c r="A353" s="11"/>
      <c r="B353" s="5" t="str">
        <f t="shared" si="421"/>
        <v/>
      </c>
      <c r="C353" s="5" t="str">
        <f t="shared" si="422"/>
        <v/>
      </c>
      <c r="D353" s="4" t="s">
        <v>10</v>
      </c>
      <c r="E353" s="4" t="s">
        <v>11</v>
      </c>
      <c r="F353" s="4" t="str">
        <f t="shared" si="445"/>
        <v>!!!</v>
      </c>
      <c r="G353" s="4" t="str">
        <f t="shared" si="423"/>
        <v>+</v>
      </c>
      <c r="H353" s="4"/>
      <c r="I353" s="4" t="str">
        <f t="shared" si="446"/>
        <v>!!!</v>
      </c>
      <c r="J353" s="4" t="e">
        <f t="shared" si="447"/>
        <v>#VALUE!</v>
      </c>
      <c r="K353" s="4" t="e">
        <f t="shared" si="448"/>
        <v>#VALUE!</v>
      </c>
      <c r="L353" s="4" t="e">
        <f t="shared" si="449"/>
        <v>#VALUE!</v>
      </c>
      <c r="M353" s="4">
        <f t="shared" si="424"/>
        <v>1000</v>
      </c>
      <c r="N353" s="4">
        <f t="shared" ref="N353:O353" si="466">MIN(IFERROR(FIND(" ",$C353,M353+1),1000))</f>
        <v>1000</v>
      </c>
      <c r="O353" s="4">
        <f t="shared" si="466"/>
        <v>1000</v>
      </c>
      <c r="P353" s="4">
        <f t="shared" si="426"/>
        <v>0</v>
      </c>
      <c r="Q353" s="4" t="str">
        <f t="shared" si="455"/>
        <v/>
      </c>
      <c r="R353" s="4" t="str">
        <f t="shared" si="389"/>
        <v/>
      </c>
      <c r="S353" s="4" t="str">
        <f t="shared" si="461"/>
        <v/>
      </c>
      <c r="T353" s="4" t="e">
        <f t="shared" si="427"/>
        <v>#VALUE!</v>
      </c>
      <c r="U353" s="4" t="e">
        <f t="shared" si="428"/>
        <v>#VALUE!</v>
      </c>
      <c r="V353" s="4" t="b">
        <f t="shared" si="419"/>
        <v>0</v>
      </c>
      <c r="W353" s="13" t="str">
        <f t="shared" si="420"/>
        <v>Да</v>
      </c>
      <c r="X353" s="4" t="e">
        <f>(IF(COUNTIFS($G$2:G353,"+",$W$2:W353,"Да")&gt;1,"&amp; ","")&amp;D353&amp;J353&amp;E353&amp;SUBSTITUTE(L353,"""",""))</f>
        <v>#VALUE!</v>
      </c>
      <c r="Y353" s="4" t="e">
        <f t="shared" si="458"/>
        <v>#VALUE!</v>
      </c>
    </row>
    <row r="354" spans="1:25" x14ac:dyDescent="0.3">
      <c r="A354" s="11"/>
      <c r="B354" s="5" t="str">
        <f t="shared" si="421"/>
        <v/>
      </c>
      <c r="C354" s="5" t="str">
        <f t="shared" si="422"/>
        <v/>
      </c>
      <c r="D354" s="4" t="s">
        <v>10</v>
      </c>
      <c r="E354" s="4" t="s">
        <v>11</v>
      </c>
      <c r="F354" s="4" t="str">
        <f t="shared" si="445"/>
        <v>!!!</v>
      </c>
      <c r="G354" s="4" t="str">
        <f t="shared" si="423"/>
        <v>+</v>
      </c>
      <c r="H354" s="4"/>
      <c r="I354" s="4" t="str">
        <f t="shared" si="446"/>
        <v>!!!</v>
      </c>
      <c r="J354" s="4" t="e">
        <f t="shared" si="447"/>
        <v>#VALUE!</v>
      </c>
      <c r="K354" s="4" t="e">
        <f t="shared" si="448"/>
        <v>#VALUE!</v>
      </c>
      <c r="L354" s="4" t="e">
        <f t="shared" si="449"/>
        <v>#VALUE!</v>
      </c>
      <c r="M354" s="4">
        <f t="shared" si="424"/>
        <v>1000</v>
      </c>
      <c r="N354" s="4">
        <f t="shared" ref="N354:O354" si="467">MIN(IFERROR(FIND(" ",$C354,M354+1),1000))</f>
        <v>1000</v>
      </c>
      <c r="O354" s="4">
        <f t="shared" si="467"/>
        <v>1000</v>
      </c>
      <c r="P354" s="4">
        <f t="shared" si="426"/>
        <v>0</v>
      </c>
      <c r="Q354" s="4" t="str">
        <f t="shared" si="455"/>
        <v/>
      </c>
      <c r="R354" s="4" t="str">
        <f t="shared" si="389"/>
        <v/>
      </c>
      <c r="S354" s="4" t="str">
        <f t="shared" si="461"/>
        <v/>
      </c>
      <c r="T354" s="4" t="e">
        <f t="shared" si="427"/>
        <v>#VALUE!</v>
      </c>
      <c r="U354" s="4" t="e">
        <f t="shared" si="428"/>
        <v>#VALUE!</v>
      </c>
      <c r="V354" s="4" t="b">
        <f t="shared" si="419"/>
        <v>0</v>
      </c>
      <c r="W354" s="13" t="str">
        <f t="shared" si="420"/>
        <v>Да</v>
      </c>
      <c r="X354" s="4" t="e">
        <f>(IF(COUNTIFS($G$2:G354,"+",$W$2:W354,"Да")&gt;1,"&amp; ","")&amp;D354&amp;J354&amp;E354&amp;SUBSTITUTE(L354,"""",""))</f>
        <v>#VALUE!</v>
      </c>
      <c r="Y354" s="4" t="e">
        <f t="shared" si="458"/>
        <v>#VALUE!</v>
      </c>
    </row>
    <row r="355" spans="1:25" x14ac:dyDescent="0.3">
      <c r="A355" s="11"/>
      <c r="B355" s="5" t="str">
        <f t="shared" si="421"/>
        <v/>
      </c>
      <c r="C355" s="5" t="str">
        <f t="shared" si="422"/>
        <v/>
      </c>
      <c r="D355" s="4" t="s">
        <v>10</v>
      </c>
      <c r="E355" s="4" t="s">
        <v>11</v>
      </c>
      <c r="F355" s="4" t="str">
        <f t="shared" si="445"/>
        <v>!!!</v>
      </c>
      <c r="G355" s="4" t="str">
        <f t="shared" si="423"/>
        <v>+</v>
      </c>
      <c r="H355" s="4"/>
      <c r="I355" s="4" t="str">
        <f t="shared" si="446"/>
        <v>!!!</v>
      </c>
      <c r="J355" s="4" t="e">
        <f t="shared" si="447"/>
        <v>#VALUE!</v>
      </c>
      <c r="K355" s="4" t="e">
        <f t="shared" si="448"/>
        <v>#VALUE!</v>
      </c>
      <c r="L355" s="4" t="e">
        <f t="shared" si="449"/>
        <v>#VALUE!</v>
      </c>
      <c r="M355" s="4">
        <f t="shared" si="424"/>
        <v>1000</v>
      </c>
      <c r="N355" s="4">
        <f t="shared" ref="N355:O355" si="468">MIN(IFERROR(FIND(" ",$C355,M355+1),1000))</f>
        <v>1000</v>
      </c>
      <c r="O355" s="4">
        <f t="shared" si="468"/>
        <v>1000</v>
      </c>
      <c r="P355" s="4">
        <f t="shared" si="426"/>
        <v>0</v>
      </c>
      <c r="Q355" s="4" t="str">
        <f t="shared" si="455"/>
        <v/>
      </c>
      <c r="R355" s="4" t="str">
        <f t="shared" si="389"/>
        <v/>
      </c>
      <c r="S355" s="4" t="str">
        <f t="shared" si="461"/>
        <v/>
      </c>
      <c r="T355" s="4" t="e">
        <f t="shared" si="427"/>
        <v>#VALUE!</v>
      </c>
      <c r="U355" s="4" t="e">
        <f t="shared" si="428"/>
        <v>#VALUE!</v>
      </c>
      <c r="V355" s="4" t="b">
        <f t="shared" si="419"/>
        <v>0</v>
      </c>
      <c r="W355" s="13" t="str">
        <f t="shared" si="420"/>
        <v>Да</v>
      </c>
      <c r="X355" s="4" t="e">
        <f>(IF(COUNTIFS($G$2:G355,"+",$W$2:W355,"Да")&gt;1,"&amp; ","")&amp;D355&amp;J355&amp;E355&amp;SUBSTITUTE(L355,"""",""))</f>
        <v>#VALUE!</v>
      </c>
      <c r="Y355" s="4" t="e">
        <f t="shared" si="458"/>
        <v>#VALUE!</v>
      </c>
    </row>
    <row r="356" spans="1:25" x14ac:dyDescent="0.3">
      <c r="A356" s="11"/>
      <c r="B356" s="5" t="str">
        <f t="shared" si="421"/>
        <v/>
      </c>
      <c r="C356" s="5" t="str">
        <f t="shared" si="422"/>
        <v/>
      </c>
      <c r="D356" s="4" t="s">
        <v>10</v>
      </c>
      <c r="E356" s="4" t="s">
        <v>11</v>
      </c>
      <c r="F356" s="4" t="str">
        <f t="shared" si="445"/>
        <v>!!!</v>
      </c>
      <c r="G356" s="4" t="str">
        <f t="shared" si="423"/>
        <v>+</v>
      </c>
      <c r="H356" s="4"/>
      <c r="I356" s="4" t="str">
        <f t="shared" si="446"/>
        <v>!!!</v>
      </c>
      <c r="J356" s="4" t="e">
        <f t="shared" si="447"/>
        <v>#VALUE!</v>
      </c>
      <c r="K356" s="4" t="e">
        <f t="shared" si="448"/>
        <v>#VALUE!</v>
      </c>
      <c r="L356" s="4" t="e">
        <f t="shared" si="449"/>
        <v>#VALUE!</v>
      </c>
      <c r="M356" s="4">
        <f t="shared" si="424"/>
        <v>1000</v>
      </c>
      <c r="N356" s="4">
        <f t="shared" ref="N356:O356" si="469">MIN(IFERROR(FIND(" ",$C356,M356+1),1000))</f>
        <v>1000</v>
      </c>
      <c r="O356" s="4">
        <f t="shared" si="469"/>
        <v>1000</v>
      </c>
      <c r="P356" s="4">
        <f t="shared" si="426"/>
        <v>0</v>
      </c>
      <c r="Q356" s="4" t="str">
        <f t="shared" si="455"/>
        <v/>
      </c>
      <c r="R356" s="4" t="str">
        <f t="shared" si="389"/>
        <v/>
      </c>
      <c r="S356" s="4" t="str">
        <f t="shared" si="461"/>
        <v/>
      </c>
      <c r="T356" s="4" t="e">
        <f t="shared" si="427"/>
        <v>#VALUE!</v>
      </c>
      <c r="U356" s="4" t="e">
        <f t="shared" si="428"/>
        <v>#VALUE!</v>
      </c>
      <c r="V356" s="4" t="b">
        <f t="shared" si="419"/>
        <v>0</v>
      </c>
      <c r="W356" s="13" t="str">
        <f t="shared" si="420"/>
        <v>Да</v>
      </c>
      <c r="X356" s="4" t="e">
        <f>(IF(COUNTIFS($G$2:G356,"+",$W$2:W356,"Да")&gt;1,"&amp; ","")&amp;D356&amp;J356&amp;E356&amp;SUBSTITUTE(L356,"""",""))</f>
        <v>#VALUE!</v>
      </c>
      <c r="Y356" s="4" t="e">
        <f t="shared" si="458"/>
        <v>#VALUE!</v>
      </c>
    </row>
    <row r="357" spans="1:25" x14ac:dyDescent="0.3">
      <c r="A357" s="11"/>
      <c r="B357" s="5" t="str">
        <f t="shared" si="421"/>
        <v/>
      </c>
      <c r="C357" s="5" t="str">
        <f t="shared" si="422"/>
        <v/>
      </c>
      <c r="D357" s="4" t="s">
        <v>10</v>
      </c>
      <c r="E357" s="4" t="s">
        <v>11</v>
      </c>
      <c r="F357" s="4" t="str">
        <f t="shared" si="445"/>
        <v>!!!</v>
      </c>
      <c r="G357" s="4" t="str">
        <f t="shared" si="423"/>
        <v>+</v>
      </c>
      <c r="H357" s="4"/>
      <c r="I357" s="4" t="str">
        <f t="shared" si="446"/>
        <v>!!!</v>
      </c>
      <c r="J357" s="4" t="e">
        <f t="shared" si="447"/>
        <v>#VALUE!</v>
      </c>
      <c r="K357" s="4" t="e">
        <f t="shared" si="448"/>
        <v>#VALUE!</v>
      </c>
      <c r="L357" s="4" t="e">
        <f t="shared" si="449"/>
        <v>#VALUE!</v>
      </c>
      <c r="M357" s="4">
        <f t="shared" si="424"/>
        <v>1000</v>
      </c>
      <c r="N357" s="4">
        <f t="shared" ref="N357:O357" si="470">MIN(IFERROR(FIND(" ",$C357,M357+1),1000))</f>
        <v>1000</v>
      </c>
      <c r="O357" s="4">
        <f t="shared" si="470"/>
        <v>1000</v>
      </c>
      <c r="P357" s="4">
        <f t="shared" si="426"/>
        <v>0</v>
      </c>
      <c r="Q357" s="4" t="str">
        <f t="shared" si="455"/>
        <v/>
      </c>
      <c r="R357" s="4" t="str">
        <f t="shared" ref="R357:R420" si="471">IFERROR(MID(C357,N357+1,O357-N357-1),"")</f>
        <v/>
      </c>
      <c r="S357" s="4" t="str">
        <f t="shared" si="461"/>
        <v/>
      </c>
      <c r="T357" s="4" t="e">
        <f t="shared" si="427"/>
        <v>#VALUE!</v>
      </c>
      <c r="U357" s="4" t="e">
        <f t="shared" si="428"/>
        <v>#VALUE!</v>
      </c>
      <c r="V357" s="4" t="b">
        <f t="shared" si="419"/>
        <v>0</v>
      </c>
      <c r="W357" s="13" t="str">
        <f t="shared" si="420"/>
        <v>Да</v>
      </c>
      <c r="X357" s="4" t="e">
        <f>(IF(COUNTIFS($G$2:G357,"+",$W$2:W357,"Да")&gt;1,"&amp; ","")&amp;D357&amp;J357&amp;E357&amp;SUBSTITUTE(L357,"""",""))</f>
        <v>#VALUE!</v>
      </c>
      <c r="Y357" s="4" t="e">
        <f t="shared" si="458"/>
        <v>#VALUE!</v>
      </c>
    </row>
    <row r="358" spans="1:25" x14ac:dyDescent="0.3">
      <c r="A358" s="11"/>
      <c r="B358" s="5" t="str">
        <f t="shared" si="421"/>
        <v/>
      </c>
      <c r="C358" s="5" t="str">
        <f t="shared" si="422"/>
        <v/>
      </c>
      <c r="D358" s="4" t="s">
        <v>10</v>
      </c>
      <c r="E358" s="4" t="s">
        <v>11</v>
      </c>
      <c r="F358" s="4" t="str">
        <f t="shared" si="445"/>
        <v>!!!</v>
      </c>
      <c r="G358" s="4" t="str">
        <f t="shared" si="423"/>
        <v>+</v>
      </c>
      <c r="H358" s="4"/>
      <c r="I358" s="4" t="str">
        <f t="shared" si="446"/>
        <v>!!!</v>
      </c>
      <c r="J358" s="4" t="e">
        <f t="shared" si="447"/>
        <v>#VALUE!</v>
      </c>
      <c r="K358" s="4" t="e">
        <f t="shared" si="448"/>
        <v>#VALUE!</v>
      </c>
      <c r="L358" s="4" t="e">
        <f t="shared" si="449"/>
        <v>#VALUE!</v>
      </c>
      <c r="M358" s="4">
        <f t="shared" si="424"/>
        <v>1000</v>
      </c>
      <c r="N358" s="4">
        <f t="shared" ref="N358:O358" si="472">MIN(IFERROR(FIND(" ",$C358,M358+1),1000))</f>
        <v>1000</v>
      </c>
      <c r="O358" s="4">
        <f t="shared" si="472"/>
        <v>1000</v>
      </c>
      <c r="P358" s="4">
        <f t="shared" si="426"/>
        <v>0</v>
      </c>
      <c r="Q358" s="4" t="str">
        <f t="shared" si="455"/>
        <v/>
      </c>
      <c r="R358" s="4" t="str">
        <f t="shared" si="471"/>
        <v/>
      </c>
      <c r="S358" s="4" t="str">
        <f t="shared" si="461"/>
        <v/>
      </c>
      <c r="T358" s="4" t="e">
        <f t="shared" si="427"/>
        <v>#VALUE!</v>
      </c>
      <c r="U358" s="4" t="e">
        <f t="shared" si="428"/>
        <v>#VALUE!</v>
      </c>
      <c r="V358" s="4" t="b">
        <f t="shared" si="419"/>
        <v>0</v>
      </c>
      <c r="W358" s="13" t="str">
        <f t="shared" si="420"/>
        <v>Да</v>
      </c>
      <c r="X358" s="4" t="e">
        <f>(IF(COUNTIFS($G$2:G358,"+",$W$2:W358,"Да")&gt;1,"&amp; ","")&amp;D358&amp;J358&amp;E358&amp;SUBSTITUTE(L358,"""",""))</f>
        <v>#VALUE!</v>
      </c>
      <c r="Y358" s="4" t="e">
        <f t="shared" si="458"/>
        <v>#VALUE!</v>
      </c>
    </row>
    <row r="359" spans="1:25" x14ac:dyDescent="0.3">
      <c r="A359" s="11"/>
      <c r="B359" s="5" t="str">
        <f t="shared" si="421"/>
        <v/>
      </c>
      <c r="C359" s="5" t="str">
        <f t="shared" si="422"/>
        <v/>
      </c>
      <c r="D359" s="4" t="s">
        <v>10</v>
      </c>
      <c r="E359" s="4" t="s">
        <v>11</v>
      </c>
      <c r="F359" s="4" t="str">
        <f t="shared" si="445"/>
        <v>!!!</v>
      </c>
      <c r="G359" s="4" t="str">
        <f t="shared" si="423"/>
        <v>+</v>
      </c>
      <c r="H359" s="4"/>
      <c r="I359" s="4" t="str">
        <f t="shared" si="446"/>
        <v>!!!</v>
      </c>
      <c r="J359" s="4" t="e">
        <f t="shared" si="447"/>
        <v>#VALUE!</v>
      </c>
      <c r="K359" s="4" t="e">
        <f t="shared" si="448"/>
        <v>#VALUE!</v>
      </c>
      <c r="L359" s="4" t="e">
        <f t="shared" si="449"/>
        <v>#VALUE!</v>
      </c>
      <c r="M359" s="4">
        <f t="shared" si="424"/>
        <v>1000</v>
      </c>
      <c r="N359" s="4">
        <f t="shared" ref="N359:O359" si="473">MIN(IFERROR(FIND(" ",$C359,M359+1),1000))</f>
        <v>1000</v>
      </c>
      <c r="O359" s="4">
        <f t="shared" si="473"/>
        <v>1000</v>
      </c>
      <c r="P359" s="4">
        <f t="shared" si="426"/>
        <v>0</v>
      </c>
      <c r="Q359" s="4" t="str">
        <f t="shared" si="455"/>
        <v/>
      </c>
      <c r="R359" s="4" t="str">
        <f t="shared" si="471"/>
        <v/>
      </c>
      <c r="S359" s="4" t="str">
        <f t="shared" si="461"/>
        <v/>
      </c>
      <c r="T359" s="4" t="e">
        <f t="shared" si="427"/>
        <v>#VALUE!</v>
      </c>
      <c r="U359" s="4" t="e">
        <f t="shared" si="428"/>
        <v>#VALUE!</v>
      </c>
      <c r="V359" s="4" t="b">
        <f t="shared" si="419"/>
        <v>0</v>
      </c>
      <c r="W359" s="13" t="str">
        <f t="shared" si="420"/>
        <v>Да</v>
      </c>
      <c r="X359" s="4" t="e">
        <f>(IF(COUNTIFS($G$2:G359,"+",$W$2:W359,"Да")&gt;1,"&amp; ","")&amp;D359&amp;J359&amp;E359&amp;SUBSTITUTE(L359,"""",""))</f>
        <v>#VALUE!</v>
      </c>
      <c r="Y359" s="4" t="e">
        <f t="shared" si="458"/>
        <v>#VALUE!</v>
      </c>
    </row>
    <row r="360" spans="1:25" x14ac:dyDescent="0.3">
      <c r="A360" s="11"/>
      <c r="B360" s="5" t="str">
        <f t="shared" si="421"/>
        <v/>
      </c>
      <c r="C360" s="5" t="str">
        <f t="shared" si="422"/>
        <v/>
      </c>
      <c r="D360" s="4" t="s">
        <v>10</v>
      </c>
      <c r="E360" s="4" t="s">
        <v>11</v>
      </c>
      <c r="F360" s="4" t="str">
        <f t="shared" si="445"/>
        <v>!!!</v>
      </c>
      <c r="G360" s="4" t="str">
        <f t="shared" si="423"/>
        <v>+</v>
      </c>
      <c r="H360" s="4"/>
      <c r="I360" s="4" t="str">
        <f t="shared" si="446"/>
        <v>!!!</v>
      </c>
      <c r="J360" s="4" t="e">
        <f t="shared" si="447"/>
        <v>#VALUE!</v>
      </c>
      <c r="K360" s="4" t="e">
        <f t="shared" si="448"/>
        <v>#VALUE!</v>
      </c>
      <c r="L360" s="4" t="e">
        <f t="shared" si="449"/>
        <v>#VALUE!</v>
      </c>
      <c r="M360" s="4">
        <f t="shared" si="424"/>
        <v>1000</v>
      </c>
      <c r="N360" s="4">
        <f t="shared" ref="N360:O360" si="474">MIN(IFERROR(FIND(" ",$C360,M360+1),1000))</f>
        <v>1000</v>
      </c>
      <c r="O360" s="4">
        <f t="shared" si="474"/>
        <v>1000</v>
      </c>
      <c r="P360" s="4">
        <f t="shared" si="426"/>
        <v>0</v>
      </c>
      <c r="Q360" s="4" t="str">
        <f t="shared" si="455"/>
        <v/>
      </c>
      <c r="R360" s="4" t="str">
        <f t="shared" si="471"/>
        <v/>
      </c>
      <c r="S360" s="4" t="str">
        <f t="shared" si="461"/>
        <v/>
      </c>
      <c r="T360" s="4" t="e">
        <f t="shared" si="427"/>
        <v>#VALUE!</v>
      </c>
      <c r="U360" s="4" t="e">
        <f t="shared" si="428"/>
        <v>#VALUE!</v>
      </c>
      <c r="V360" s="4" t="b">
        <f t="shared" si="419"/>
        <v>0</v>
      </c>
      <c r="W360" s="13" t="str">
        <f t="shared" si="420"/>
        <v>Да</v>
      </c>
      <c r="X360" s="4" t="e">
        <f>(IF(COUNTIFS($G$2:G360,"+",$W$2:W360,"Да")&gt;1,"&amp; ","")&amp;D360&amp;J360&amp;E360&amp;SUBSTITUTE(L360,"""",""))</f>
        <v>#VALUE!</v>
      </c>
      <c r="Y360" s="4" t="e">
        <f t="shared" si="458"/>
        <v>#VALUE!</v>
      </c>
    </row>
    <row r="361" spans="1:25" x14ac:dyDescent="0.3">
      <c r="A361" s="11"/>
      <c r="B361" s="5" t="str">
        <f t="shared" si="421"/>
        <v/>
      </c>
      <c r="C361" s="5" t="str">
        <f t="shared" si="422"/>
        <v/>
      </c>
      <c r="D361" s="4" t="s">
        <v>10</v>
      </c>
      <c r="E361" s="4" t="s">
        <v>11</v>
      </c>
      <c r="F361" s="4" t="str">
        <f t="shared" si="445"/>
        <v>!!!</v>
      </c>
      <c r="G361" s="4" t="str">
        <f t="shared" si="423"/>
        <v>+</v>
      </c>
      <c r="H361" s="4"/>
      <c r="I361" s="4" t="str">
        <f t="shared" si="446"/>
        <v>!!!</v>
      </c>
      <c r="J361" s="4" t="e">
        <f t="shared" si="447"/>
        <v>#VALUE!</v>
      </c>
      <c r="K361" s="4" t="e">
        <f t="shared" si="448"/>
        <v>#VALUE!</v>
      </c>
      <c r="L361" s="4" t="e">
        <f t="shared" si="449"/>
        <v>#VALUE!</v>
      </c>
      <c r="M361" s="4">
        <f t="shared" si="424"/>
        <v>1000</v>
      </c>
      <c r="N361" s="4">
        <f t="shared" ref="N361:O361" si="475">MIN(IFERROR(FIND(" ",$C361,M361+1),1000))</f>
        <v>1000</v>
      </c>
      <c r="O361" s="4">
        <f t="shared" si="475"/>
        <v>1000</v>
      </c>
      <c r="P361" s="4">
        <f t="shared" si="426"/>
        <v>0</v>
      </c>
      <c r="Q361" s="4" t="str">
        <f t="shared" si="455"/>
        <v/>
      </c>
      <c r="R361" s="4" t="str">
        <f t="shared" si="471"/>
        <v/>
      </c>
      <c r="S361" s="4" t="str">
        <f t="shared" si="461"/>
        <v/>
      </c>
      <c r="T361" s="4" t="e">
        <f t="shared" si="427"/>
        <v>#VALUE!</v>
      </c>
      <c r="U361" s="4" t="e">
        <f t="shared" si="428"/>
        <v>#VALUE!</v>
      </c>
      <c r="V361" s="4" t="b">
        <f t="shared" si="419"/>
        <v>0</v>
      </c>
      <c r="W361" s="13" t="str">
        <f t="shared" si="420"/>
        <v>Да</v>
      </c>
      <c r="X361" s="4" t="e">
        <f>(IF(COUNTIFS($G$2:G361,"+",$W$2:W361,"Да")&gt;1,"&amp; ","")&amp;D361&amp;J361&amp;E361&amp;SUBSTITUTE(L361,"""",""))</f>
        <v>#VALUE!</v>
      </c>
      <c r="Y361" s="4" t="e">
        <f t="shared" si="458"/>
        <v>#VALUE!</v>
      </c>
    </row>
    <row r="362" spans="1:25" x14ac:dyDescent="0.3">
      <c r="A362" s="11"/>
      <c r="B362" s="5" t="str">
        <f t="shared" si="421"/>
        <v/>
      </c>
      <c r="C362" s="5" t="str">
        <f t="shared" si="422"/>
        <v/>
      </c>
      <c r="D362" s="4" t="s">
        <v>10</v>
      </c>
      <c r="E362" s="4" t="s">
        <v>11</v>
      </c>
      <c r="F362" s="4" t="str">
        <f t="shared" si="445"/>
        <v>!!!</v>
      </c>
      <c r="G362" s="4" t="str">
        <f t="shared" si="423"/>
        <v>+</v>
      </c>
      <c r="H362" s="4"/>
      <c r="I362" s="4" t="str">
        <f t="shared" si="446"/>
        <v>!!!</v>
      </c>
      <c r="J362" s="4" t="e">
        <f t="shared" si="447"/>
        <v>#VALUE!</v>
      </c>
      <c r="K362" s="4" t="e">
        <f t="shared" si="448"/>
        <v>#VALUE!</v>
      </c>
      <c r="L362" s="4" t="e">
        <f t="shared" si="449"/>
        <v>#VALUE!</v>
      </c>
      <c r="M362" s="4">
        <f t="shared" si="424"/>
        <v>1000</v>
      </c>
      <c r="N362" s="4">
        <f t="shared" ref="N362:O362" si="476">MIN(IFERROR(FIND(" ",$C362,M362+1),1000))</f>
        <v>1000</v>
      </c>
      <c r="O362" s="4">
        <f t="shared" si="476"/>
        <v>1000</v>
      </c>
      <c r="P362" s="4">
        <f t="shared" si="426"/>
        <v>0</v>
      </c>
      <c r="Q362" s="4" t="str">
        <f t="shared" si="455"/>
        <v/>
      </c>
      <c r="R362" s="4" t="str">
        <f t="shared" si="471"/>
        <v/>
      </c>
      <c r="S362" s="4" t="str">
        <f t="shared" si="461"/>
        <v/>
      </c>
      <c r="T362" s="4" t="e">
        <f t="shared" si="427"/>
        <v>#VALUE!</v>
      </c>
      <c r="U362" s="4" t="e">
        <f t="shared" si="428"/>
        <v>#VALUE!</v>
      </c>
      <c r="V362" s="4" t="b">
        <f t="shared" si="419"/>
        <v>0</v>
      </c>
      <c r="W362" s="13" t="str">
        <f t="shared" si="420"/>
        <v>Да</v>
      </c>
      <c r="X362" s="4" t="e">
        <f>(IF(COUNTIFS($G$2:G362,"+",$W$2:W362,"Да")&gt;1,"&amp; ","")&amp;D362&amp;J362&amp;E362&amp;SUBSTITUTE(L362,"""",""))</f>
        <v>#VALUE!</v>
      </c>
      <c r="Y362" s="4" t="e">
        <f t="shared" si="458"/>
        <v>#VALUE!</v>
      </c>
    </row>
    <row r="363" spans="1:25" x14ac:dyDescent="0.3">
      <c r="A363" s="11"/>
      <c r="B363" s="5" t="str">
        <f t="shared" si="421"/>
        <v/>
      </c>
      <c r="C363" s="5" t="str">
        <f t="shared" si="422"/>
        <v/>
      </c>
      <c r="D363" s="4" t="s">
        <v>10</v>
      </c>
      <c r="E363" s="4" t="s">
        <v>11</v>
      </c>
      <c r="F363" s="4" t="str">
        <f t="shared" si="445"/>
        <v>!!!</v>
      </c>
      <c r="G363" s="4" t="str">
        <f t="shared" si="423"/>
        <v>+</v>
      </c>
      <c r="H363" s="4"/>
      <c r="I363" s="4" t="str">
        <f t="shared" si="446"/>
        <v>!!!</v>
      </c>
      <c r="J363" s="4" t="e">
        <f t="shared" si="447"/>
        <v>#VALUE!</v>
      </c>
      <c r="K363" s="4" t="e">
        <f t="shared" si="448"/>
        <v>#VALUE!</v>
      </c>
      <c r="L363" s="4" t="e">
        <f t="shared" si="449"/>
        <v>#VALUE!</v>
      </c>
      <c r="M363" s="4">
        <f t="shared" si="424"/>
        <v>1000</v>
      </c>
      <c r="N363" s="4">
        <f t="shared" ref="N363:O363" si="477">MIN(IFERROR(FIND(" ",$C363,M363+1),1000))</f>
        <v>1000</v>
      </c>
      <c r="O363" s="4">
        <f t="shared" si="477"/>
        <v>1000</v>
      </c>
      <c r="P363" s="4">
        <f t="shared" si="426"/>
        <v>0</v>
      </c>
      <c r="Q363" s="4" t="str">
        <f t="shared" si="455"/>
        <v/>
      </c>
      <c r="R363" s="4" t="str">
        <f t="shared" si="471"/>
        <v/>
      </c>
      <c r="S363" s="4" t="str">
        <f t="shared" si="461"/>
        <v/>
      </c>
      <c r="T363" s="4" t="e">
        <f t="shared" si="427"/>
        <v>#VALUE!</v>
      </c>
      <c r="U363" s="4" t="e">
        <f t="shared" si="428"/>
        <v>#VALUE!</v>
      </c>
      <c r="V363" s="4" t="b">
        <f t="shared" si="419"/>
        <v>0</v>
      </c>
      <c r="W363" s="13" t="str">
        <f t="shared" si="420"/>
        <v>Да</v>
      </c>
      <c r="X363" s="4" t="e">
        <f>(IF(COUNTIFS($G$2:G363,"+",$W$2:W363,"Да")&gt;1,"&amp; ","")&amp;D363&amp;J363&amp;E363&amp;SUBSTITUTE(L363,"""",""))</f>
        <v>#VALUE!</v>
      </c>
      <c r="Y363" s="4" t="e">
        <f t="shared" si="458"/>
        <v>#VALUE!</v>
      </c>
    </row>
    <row r="364" spans="1:25" x14ac:dyDescent="0.3">
      <c r="A364" s="11"/>
      <c r="B364" s="5" t="str">
        <f t="shared" si="421"/>
        <v/>
      </c>
      <c r="C364" s="5" t="str">
        <f t="shared" si="422"/>
        <v/>
      </c>
      <c r="D364" s="4" t="s">
        <v>10</v>
      </c>
      <c r="E364" s="4" t="s">
        <v>11</v>
      </c>
      <c r="F364" s="4" t="str">
        <f t="shared" si="445"/>
        <v>!!!</v>
      </c>
      <c r="G364" s="4" t="str">
        <f t="shared" si="423"/>
        <v>+</v>
      </c>
      <c r="H364" s="4"/>
      <c r="I364" s="4" t="str">
        <f t="shared" si="446"/>
        <v>!!!</v>
      </c>
      <c r="J364" s="4" t="e">
        <f t="shared" si="447"/>
        <v>#VALUE!</v>
      </c>
      <c r="K364" s="4" t="e">
        <f t="shared" si="448"/>
        <v>#VALUE!</v>
      </c>
      <c r="L364" s="4" t="e">
        <f t="shared" si="449"/>
        <v>#VALUE!</v>
      </c>
      <c r="M364" s="4">
        <f t="shared" si="424"/>
        <v>1000</v>
      </c>
      <c r="N364" s="4">
        <f t="shared" ref="N364:O364" si="478">MIN(IFERROR(FIND(" ",$C364,M364+1),1000))</f>
        <v>1000</v>
      </c>
      <c r="O364" s="4">
        <f t="shared" si="478"/>
        <v>1000</v>
      </c>
      <c r="P364" s="4">
        <f t="shared" si="426"/>
        <v>0</v>
      </c>
      <c r="Q364" s="4" t="str">
        <f t="shared" si="455"/>
        <v/>
      </c>
      <c r="R364" s="4" t="str">
        <f t="shared" si="471"/>
        <v/>
      </c>
      <c r="S364" s="4" t="str">
        <f t="shared" si="461"/>
        <v/>
      </c>
      <c r="T364" s="4" t="e">
        <f t="shared" si="427"/>
        <v>#VALUE!</v>
      </c>
      <c r="U364" s="4" t="e">
        <f t="shared" si="428"/>
        <v>#VALUE!</v>
      </c>
      <c r="V364" s="4" t="b">
        <f t="shared" si="419"/>
        <v>0</v>
      </c>
      <c r="W364" s="13" t="str">
        <f t="shared" si="420"/>
        <v>Да</v>
      </c>
      <c r="X364" s="4" t="e">
        <f>(IF(COUNTIFS($G$2:G364,"+",$W$2:W364,"Да")&gt;1,"&amp; ","")&amp;D364&amp;J364&amp;E364&amp;SUBSTITUTE(L364,"""",""))</f>
        <v>#VALUE!</v>
      </c>
      <c r="Y364" s="4" t="e">
        <f t="shared" si="458"/>
        <v>#VALUE!</v>
      </c>
    </row>
    <row r="365" spans="1:25" x14ac:dyDescent="0.3">
      <c r="A365" s="11"/>
      <c r="B365" s="5" t="str">
        <f t="shared" si="421"/>
        <v/>
      </c>
      <c r="C365" s="5" t="str">
        <f t="shared" si="422"/>
        <v/>
      </c>
      <c r="D365" s="4" t="s">
        <v>10</v>
      </c>
      <c r="E365" s="4" t="s">
        <v>11</v>
      </c>
      <c r="F365" s="4" t="str">
        <f t="shared" si="445"/>
        <v>!!!</v>
      </c>
      <c r="G365" s="4" t="str">
        <f t="shared" si="423"/>
        <v>+</v>
      </c>
      <c r="H365" s="4"/>
      <c r="I365" s="4" t="str">
        <f t="shared" si="446"/>
        <v>!!!</v>
      </c>
      <c r="J365" s="4" t="e">
        <f t="shared" si="447"/>
        <v>#VALUE!</v>
      </c>
      <c r="K365" s="4" t="e">
        <f t="shared" si="448"/>
        <v>#VALUE!</v>
      </c>
      <c r="L365" s="4" t="e">
        <f t="shared" si="449"/>
        <v>#VALUE!</v>
      </c>
      <c r="M365" s="4">
        <f t="shared" si="424"/>
        <v>1000</v>
      </c>
      <c r="N365" s="4">
        <f t="shared" ref="N365:O365" si="479">MIN(IFERROR(FIND(" ",$C365,M365+1),1000))</f>
        <v>1000</v>
      </c>
      <c r="O365" s="4">
        <f t="shared" si="479"/>
        <v>1000</v>
      </c>
      <c r="P365" s="4">
        <f t="shared" si="426"/>
        <v>0</v>
      </c>
      <c r="Q365" s="4" t="str">
        <f t="shared" si="455"/>
        <v/>
      </c>
      <c r="R365" s="4" t="str">
        <f t="shared" si="471"/>
        <v/>
      </c>
      <c r="S365" s="4" t="str">
        <f t="shared" si="461"/>
        <v/>
      </c>
      <c r="T365" s="4" t="e">
        <f t="shared" si="427"/>
        <v>#VALUE!</v>
      </c>
      <c r="U365" s="4" t="e">
        <f t="shared" si="428"/>
        <v>#VALUE!</v>
      </c>
      <c r="V365" s="4" t="b">
        <f t="shared" si="419"/>
        <v>0</v>
      </c>
      <c r="W365" s="13" t="str">
        <f t="shared" si="420"/>
        <v>Да</v>
      </c>
      <c r="X365" s="4" t="e">
        <f>(IF(COUNTIFS($G$2:G365,"+",$W$2:W365,"Да")&gt;1,"&amp; ","")&amp;D365&amp;J365&amp;E365&amp;SUBSTITUTE(L365,"""",""))</f>
        <v>#VALUE!</v>
      </c>
      <c r="Y365" s="4" t="e">
        <f t="shared" si="458"/>
        <v>#VALUE!</v>
      </c>
    </row>
    <row r="366" spans="1:25" x14ac:dyDescent="0.3">
      <c r="A366" s="11"/>
      <c r="B366" s="5" t="str">
        <f t="shared" si="421"/>
        <v/>
      </c>
      <c r="C366" s="5" t="str">
        <f t="shared" si="422"/>
        <v/>
      </c>
      <c r="D366" s="4" t="s">
        <v>10</v>
      </c>
      <c r="E366" s="4" t="s">
        <v>11</v>
      </c>
      <c r="F366" s="4" t="str">
        <f t="shared" si="445"/>
        <v>!!!</v>
      </c>
      <c r="G366" s="4" t="str">
        <f t="shared" si="423"/>
        <v>+</v>
      </c>
      <c r="H366" s="4"/>
      <c r="I366" s="4" t="str">
        <f t="shared" si="446"/>
        <v>!!!</v>
      </c>
      <c r="J366" s="4" t="e">
        <f t="shared" si="447"/>
        <v>#VALUE!</v>
      </c>
      <c r="K366" s="4" t="e">
        <f t="shared" si="448"/>
        <v>#VALUE!</v>
      </c>
      <c r="L366" s="4" t="e">
        <f t="shared" si="449"/>
        <v>#VALUE!</v>
      </c>
      <c r="M366" s="4">
        <f t="shared" si="424"/>
        <v>1000</v>
      </c>
      <c r="N366" s="4">
        <f t="shared" ref="N366:O366" si="480">MIN(IFERROR(FIND(" ",$C366,M366+1),1000))</f>
        <v>1000</v>
      </c>
      <c r="O366" s="4">
        <f t="shared" si="480"/>
        <v>1000</v>
      </c>
      <c r="P366" s="4">
        <f t="shared" si="426"/>
        <v>0</v>
      </c>
      <c r="Q366" s="4" t="str">
        <f t="shared" si="455"/>
        <v/>
      </c>
      <c r="R366" s="4" t="str">
        <f t="shared" si="471"/>
        <v/>
      </c>
      <c r="S366" s="4" t="str">
        <f t="shared" si="461"/>
        <v/>
      </c>
      <c r="T366" s="4" t="e">
        <f t="shared" si="427"/>
        <v>#VALUE!</v>
      </c>
      <c r="U366" s="4" t="e">
        <f t="shared" si="428"/>
        <v>#VALUE!</v>
      </c>
      <c r="V366" s="4" t="b">
        <f t="shared" si="419"/>
        <v>0</v>
      </c>
      <c r="W366" s="13" t="str">
        <f t="shared" si="420"/>
        <v>Да</v>
      </c>
      <c r="X366" s="4" t="e">
        <f>(IF(COUNTIFS($G$2:G366,"+",$W$2:W366,"Да")&gt;1,"&amp; ","")&amp;D366&amp;J366&amp;E366&amp;SUBSTITUTE(L366,"""",""))</f>
        <v>#VALUE!</v>
      </c>
      <c r="Y366" s="4" t="e">
        <f t="shared" si="458"/>
        <v>#VALUE!</v>
      </c>
    </row>
    <row r="367" spans="1:25" x14ac:dyDescent="0.3">
      <c r="A367" s="11"/>
      <c r="B367" s="5" t="str">
        <f t="shared" si="421"/>
        <v/>
      </c>
      <c r="C367" s="5" t="str">
        <f t="shared" si="422"/>
        <v/>
      </c>
      <c r="D367" s="4" t="s">
        <v>10</v>
      </c>
      <c r="E367" s="4" t="s">
        <v>11</v>
      </c>
      <c r="F367" s="4" t="str">
        <f t="shared" si="445"/>
        <v>!!!</v>
      </c>
      <c r="G367" s="4" t="str">
        <f t="shared" si="423"/>
        <v>+</v>
      </c>
      <c r="H367" s="4"/>
      <c r="I367" s="4" t="str">
        <f t="shared" si="446"/>
        <v>!!!</v>
      </c>
      <c r="J367" s="4" t="e">
        <f t="shared" si="447"/>
        <v>#VALUE!</v>
      </c>
      <c r="K367" s="4" t="e">
        <f t="shared" si="448"/>
        <v>#VALUE!</v>
      </c>
      <c r="L367" s="4" t="e">
        <f t="shared" si="449"/>
        <v>#VALUE!</v>
      </c>
      <c r="M367" s="4">
        <f t="shared" si="424"/>
        <v>1000</v>
      </c>
      <c r="N367" s="4">
        <f t="shared" ref="N367:O367" si="481">MIN(IFERROR(FIND(" ",$C367,M367+1),1000))</f>
        <v>1000</v>
      </c>
      <c r="O367" s="4">
        <f t="shared" si="481"/>
        <v>1000</v>
      </c>
      <c r="P367" s="4">
        <f t="shared" si="426"/>
        <v>0</v>
      </c>
      <c r="Q367" s="4" t="str">
        <f t="shared" si="455"/>
        <v/>
      </c>
      <c r="R367" s="4" t="str">
        <f t="shared" si="471"/>
        <v/>
      </c>
      <c r="S367" s="4" t="str">
        <f t="shared" si="461"/>
        <v/>
      </c>
      <c r="T367" s="4" t="e">
        <f t="shared" si="427"/>
        <v>#VALUE!</v>
      </c>
      <c r="U367" s="4" t="e">
        <f t="shared" si="428"/>
        <v>#VALUE!</v>
      </c>
      <c r="V367" s="4" t="b">
        <f t="shared" si="419"/>
        <v>0</v>
      </c>
      <c r="W367" s="13" t="str">
        <f t="shared" si="420"/>
        <v>Да</v>
      </c>
      <c r="X367" s="4" t="e">
        <f>(IF(COUNTIFS($G$2:G367,"+",$W$2:W367,"Да")&gt;1,"&amp; ","")&amp;D367&amp;J367&amp;E367&amp;SUBSTITUTE(L367,"""",""))</f>
        <v>#VALUE!</v>
      </c>
      <c r="Y367" s="4" t="e">
        <f t="shared" si="458"/>
        <v>#VALUE!</v>
      </c>
    </row>
    <row r="368" spans="1:25" x14ac:dyDescent="0.3">
      <c r="A368" s="11"/>
      <c r="B368" s="5" t="str">
        <f t="shared" si="421"/>
        <v/>
      </c>
      <c r="C368" s="5" t="str">
        <f t="shared" si="422"/>
        <v/>
      </c>
      <c r="D368" s="4" t="s">
        <v>10</v>
      </c>
      <c r="E368" s="4" t="s">
        <v>11</v>
      </c>
      <c r="F368" s="4" t="str">
        <f t="shared" si="445"/>
        <v>!!!</v>
      </c>
      <c r="G368" s="4" t="str">
        <f t="shared" si="423"/>
        <v>+</v>
      </c>
      <c r="H368" s="4"/>
      <c r="I368" s="4" t="str">
        <f t="shared" si="446"/>
        <v>!!!</v>
      </c>
      <c r="J368" s="4" t="e">
        <f t="shared" si="447"/>
        <v>#VALUE!</v>
      </c>
      <c r="K368" s="4" t="e">
        <f t="shared" si="448"/>
        <v>#VALUE!</v>
      </c>
      <c r="L368" s="4" t="e">
        <f t="shared" si="449"/>
        <v>#VALUE!</v>
      </c>
      <c r="M368" s="4">
        <f t="shared" si="424"/>
        <v>1000</v>
      </c>
      <c r="N368" s="4">
        <f t="shared" ref="N368:O368" si="482">MIN(IFERROR(FIND(" ",$C368,M368+1),1000))</f>
        <v>1000</v>
      </c>
      <c r="O368" s="4">
        <f t="shared" si="482"/>
        <v>1000</v>
      </c>
      <c r="P368" s="4">
        <f t="shared" si="426"/>
        <v>0</v>
      </c>
      <c r="Q368" s="4" t="str">
        <f t="shared" si="455"/>
        <v/>
      </c>
      <c r="R368" s="4" t="str">
        <f t="shared" si="471"/>
        <v/>
      </c>
      <c r="S368" s="4" t="str">
        <f t="shared" si="461"/>
        <v/>
      </c>
      <c r="T368" s="4" t="e">
        <f t="shared" si="427"/>
        <v>#VALUE!</v>
      </c>
      <c r="U368" s="4" t="e">
        <f t="shared" si="428"/>
        <v>#VALUE!</v>
      </c>
      <c r="V368" s="4" t="b">
        <f t="shared" si="419"/>
        <v>0</v>
      </c>
      <c r="W368" s="13" t="str">
        <f t="shared" si="420"/>
        <v>Да</v>
      </c>
      <c r="X368" s="4" t="e">
        <f>(IF(COUNTIFS($G$2:G368,"+",$W$2:W368,"Да")&gt;1,"&amp; ","")&amp;D368&amp;J368&amp;E368&amp;SUBSTITUTE(L368,"""",""))</f>
        <v>#VALUE!</v>
      </c>
      <c r="Y368" s="4" t="e">
        <f t="shared" si="458"/>
        <v>#VALUE!</v>
      </c>
    </row>
    <row r="369" spans="1:25" x14ac:dyDescent="0.3">
      <c r="A369" s="11"/>
      <c r="B369" s="5" t="str">
        <f t="shared" si="421"/>
        <v/>
      </c>
      <c r="C369" s="5" t="str">
        <f t="shared" si="422"/>
        <v/>
      </c>
      <c r="D369" s="4" t="s">
        <v>10</v>
      </c>
      <c r="E369" s="4" t="s">
        <v>11</v>
      </c>
      <c r="F369" s="4" t="str">
        <f t="shared" si="445"/>
        <v>!!!</v>
      </c>
      <c r="G369" s="4" t="str">
        <f t="shared" si="423"/>
        <v>+</v>
      </c>
      <c r="H369" s="4"/>
      <c r="I369" s="4" t="str">
        <f t="shared" si="446"/>
        <v>!!!</v>
      </c>
      <c r="J369" s="4" t="e">
        <f t="shared" si="447"/>
        <v>#VALUE!</v>
      </c>
      <c r="K369" s="4" t="e">
        <f t="shared" si="448"/>
        <v>#VALUE!</v>
      </c>
      <c r="L369" s="4" t="e">
        <f t="shared" si="449"/>
        <v>#VALUE!</v>
      </c>
      <c r="M369" s="4">
        <f t="shared" si="424"/>
        <v>1000</v>
      </c>
      <c r="N369" s="4">
        <f t="shared" ref="N369:O369" si="483">MIN(IFERROR(FIND(" ",$C369,M369+1),1000))</f>
        <v>1000</v>
      </c>
      <c r="O369" s="4">
        <f t="shared" si="483"/>
        <v>1000</v>
      </c>
      <c r="P369" s="4">
        <f t="shared" si="426"/>
        <v>0</v>
      </c>
      <c r="Q369" s="4" t="str">
        <f t="shared" si="455"/>
        <v/>
      </c>
      <c r="R369" s="4" t="str">
        <f t="shared" si="471"/>
        <v/>
      </c>
      <c r="S369" s="4" t="str">
        <f t="shared" si="461"/>
        <v/>
      </c>
      <c r="T369" s="4" t="e">
        <f t="shared" si="427"/>
        <v>#VALUE!</v>
      </c>
      <c r="U369" s="4" t="e">
        <f t="shared" si="428"/>
        <v>#VALUE!</v>
      </c>
      <c r="V369" s="4" t="b">
        <f t="shared" si="419"/>
        <v>0</v>
      </c>
      <c r="W369" s="13" t="str">
        <f t="shared" si="420"/>
        <v>Да</v>
      </c>
      <c r="X369" s="4" t="e">
        <f>(IF(COUNTIFS($G$2:G369,"+",$W$2:W369,"Да")&gt;1,"&amp; ","")&amp;D369&amp;J369&amp;E369&amp;SUBSTITUTE(L369,"""",""))</f>
        <v>#VALUE!</v>
      </c>
      <c r="Y369" s="4" t="e">
        <f t="shared" si="458"/>
        <v>#VALUE!</v>
      </c>
    </row>
    <row r="370" spans="1:25" x14ac:dyDescent="0.3">
      <c r="A370" s="11"/>
      <c r="B370" s="5" t="str">
        <f t="shared" si="421"/>
        <v/>
      </c>
      <c r="C370" s="5" t="str">
        <f t="shared" si="422"/>
        <v/>
      </c>
      <c r="D370" s="4" t="s">
        <v>10</v>
      </c>
      <c r="E370" s="4" t="s">
        <v>11</v>
      </c>
      <c r="F370" s="4" t="str">
        <f t="shared" si="445"/>
        <v>!!!</v>
      </c>
      <c r="G370" s="4" t="str">
        <f t="shared" si="423"/>
        <v>+</v>
      </c>
      <c r="H370" s="4"/>
      <c r="I370" s="4" t="str">
        <f t="shared" si="446"/>
        <v>!!!</v>
      </c>
      <c r="J370" s="4" t="e">
        <f t="shared" si="447"/>
        <v>#VALUE!</v>
      </c>
      <c r="K370" s="4" t="e">
        <f t="shared" si="448"/>
        <v>#VALUE!</v>
      </c>
      <c r="L370" s="4" t="e">
        <f t="shared" si="449"/>
        <v>#VALUE!</v>
      </c>
      <c r="M370" s="4">
        <f t="shared" si="424"/>
        <v>1000</v>
      </c>
      <c r="N370" s="4">
        <f t="shared" ref="N370:O370" si="484">MIN(IFERROR(FIND(" ",$C370,M370+1),1000))</f>
        <v>1000</v>
      </c>
      <c r="O370" s="4">
        <f t="shared" si="484"/>
        <v>1000</v>
      </c>
      <c r="P370" s="4">
        <f t="shared" si="426"/>
        <v>0</v>
      </c>
      <c r="Q370" s="4" t="str">
        <f t="shared" si="455"/>
        <v/>
      </c>
      <c r="R370" s="4" t="str">
        <f t="shared" si="471"/>
        <v/>
      </c>
      <c r="S370" s="4" t="str">
        <f t="shared" si="461"/>
        <v/>
      </c>
      <c r="T370" s="4" t="e">
        <f t="shared" si="427"/>
        <v>#VALUE!</v>
      </c>
      <c r="U370" s="4" t="e">
        <f t="shared" si="428"/>
        <v>#VALUE!</v>
      </c>
      <c r="V370" s="4" t="b">
        <f t="shared" si="419"/>
        <v>0</v>
      </c>
      <c r="W370" s="13" t="str">
        <f t="shared" si="420"/>
        <v>Да</v>
      </c>
      <c r="X370" s="4" t="e">
        <f>(IF(COUNTIFS($G$2:G370,"+",$W$2:W370,"Да")&gt;1,"&amp; ","")&amp;D370&amp;J370&amp;E370&amp;SUBSTITUTE(L370,"""",""))</f>
        <v>#VALUE!</v>
      </c>
      <c r="Y370" s="4" t="e">
        <f t="shared" si="458"/>
        <v>#VALUE!</v>
      </c>
    </row>
    <row r="371" spans="1:25" x14ac:dyDescent="0.3">
      <c r="A371" s="11"/>
      <c r="B371" s="5" t="str">
        <f t="shared" si="421"/>
        <v/>
      </c>
      <c r="C371" s="5" t="str">
        <f t="shared" si="422"/>
        <v/>
      </c>
      <c r="D371" s="4" t="s">
        <v>10</v>
      </c>
      <c r="E371" s="4" t="s">
        <v>11</v>
      </c>
      <c r="F371" s="4" t="str">
        <f t="shared" si="445"/>
        <v>!!!</v>
      </c>
      <c r="G371" s="4" t="str">
        <f t="shared" si="423"/>
        <v>+</v>
      </c>
      <c r="H371" s="4"/>
      <c r="I371" s="4" t="str">
        <f t="shared" si="446"/>
        <v>!!!</v>
      </c>
      <c r="J371" s="4" t="e">
        <f t="shared" si="447"/>
        <v>#VALUE!</v>
      </c>
      <c r="K371" s="4" t="e">
        <f t="shared" si="448"/>
        <v>#VALUE!</v>
      </c>
      <c r="L371" s="4" t="e">
        <f t="shared" si="449"/>
        <v>#VALUE!</v>
      </c>
      <c r="M371" s="4">
        <f t="shared" si="424"/>
        <v>1000</v>
      </c>
      <c r="N371" s="4">
        <f t="shared" ref="N371:O371" si="485">MIN(IFERROR(FIND(" ",$C371,M371+1),1000))</f>
        <v>1000</v>
      </c>
      <c r="O371" s="4">
        <f t="shared" si="485"/>
        <v>1000</v>
      </c>
      <c r="P371" s="4">
        <f t="shared" si="426"/>
        <v>0</v>
      </c>
      <c r="Q371" s="4" t="str">
        <f t="shared" si="455"/>
        <v/>
      </c>
      <c r="R371" s="4" t="str">
        <f t="shared" si="471"/>
        <v/>
      </c>
      <c r="S371" s="4" t="str">
        <f t="shared" si="461"/>
        <v/>
      </c>
      <c r="T371" s="4" t="e">
        <f t="shared" si="427"/>
        <v>#VALUE!</v>
      </c>
      <c r="U371" s="4" t="e">
        <f t="shared" si="428"/>
        <v>#VALUE!</v>
      </c>
      <c r="V371" s="4" t="b">
        <f t="shared" si="419"/>
        <v>0</v>
      </c>
      <c r="W371" s="13" t="str">
        <f t="shared" si="420"/>
        <v>Да</v>
      </c>
      <c r="X371" s="4" t="e">
        <f>(IF(COUNTIFS($G$2:G371,"+",$W$2:W371,"Да")&gt;1,"&amp; ","")&amp;D371&amp;J371&amp;E371&amp;SUBSTITUTE(L371,"""",""))</f>
        <v>#VALUE!</v>
      </c>
      <c r="Y371" s="4" t="e">
        <f t="shared" si="458"/>
        <v>#VALUE!</v>
      </c>
    </row>
    <row r="372" spans="1:25" x14ac:dyDescent="0.3">
      <c r="A372" s="11"/>
      <c r="B372" s="5" t="str">
        <f t="shared" si="421"/>
        <v/>
      </c>
      <c r="C372" s="5" t="str">
        <f t="shared" si="422"/>
        <v/>
      </c>
      <c r="D372" s="4" t="s">
        <v>10</v>
      </c>
      <c r="E372" s="4" t="s">
        <v>11</v>
      </c>
      <c r="F372" s="4" t="str">
        <f t="shared" si="445"/>
        <v>!!!</v>
      </c>
      <c r="G372" s="4" t="str">
        <f t="shared" si="423"/>
        <v>+</v>
      </c>
      <c r="H372" s="4"/>
      <c r="I372" s="4" t="str">
        <f t="shared" si="446"/>
        <v>!!!</v>
      </c>
      <c r="J372" s="4" t="e">
        <f t="shared" si="447"/>
        <v>#VALUE!</v>
      </c>
      <c r="K372" s="4" t="e">
        <f t="shared" si="448"/>
        <v>#VALUE!</v>
      </c>
      <c r="L372" s="4" t="e">
        <f t="shared" si="449"/>
        <v>#VALUE!</v>
      </c>
      <c r="M372" s="4">
        <f t="shared" si="424"/>
        <v>1000</v>
      </c>
      <c r="N372" s="4">
        <f t="shared" ref="N372:O372" si="486">MIN(IFERROR(FIND(" ",$C372,M372+1),1000))</f>
        <v>1000</v>
      </c>
      <c r="O372" s="4">
        <f t="shared" si="486"/>
        <v>1000</v>
      </c>
      <c r="P372" s="4">
        <f t="shared" si="426"/>
        <v>0</v>
      </c>
      <c r="Q372" s="4" t="str">
        <f t="shared" si="455"/>
        <v/>
      </c>
      <c r="R372" s="4" t="str">
        <f t="shared" si="471"/>
        <v/>
      </c>
      <c r="S372" s="4" t="str">
        <f t="shared" si="461"/>
        <v/>
      </c>
      <c r="T372" s="4" t="e">
        <f t="shared" si="427"/>
        <v>#VALUE!</v>
      </c>
      <c r="U372" s="4" t="e">
        <f t="shared" si="428"/>
        <v>#VALUE!</v>
      </c>
      <c r="V372" s="4" t="b">
        <f t="shared" si="419"/>
        <v>0</v>
      </c>
      <c r="W372" s="13" t="str">
        <f t="shared" si="420"/>
        <v>Да</v>
      </c>
      <c r="X372" s="4" t="e">
        <f>(IF(COUNTIFS($G$2:G372,"+",$W$2:W372,"Да")&gt;1,"&amp; ","")&amp;D372&amp;J372&amp;E372&amp;SUBSTITUTE(L372,"""",""))</f>
        <v>#VALUE!</v>
      </c>
      <c r="Y372" s="4" t="e">
        <f t="shared" si="458"/>
        <v>#VALUE!</v>
      </c>
    </row>
    <row r="373" spans="1:25" x14ac:dyDescent="0.3">
      <c r="A373" s="11"/>
      <c r="B373" s="5" t="str">
        <f t="shared" si="421"/>
        <v/>
      </c>
      <c r="C373" s="5" t="str">
        <f t="shared" si="422"/>
        <v/>
      </c>
      <c r="D373" s="4" t="s">
        <v>10</v>
      </c>
      <c r="E373" s="4" t="s">
        <v>11</v>
      </c>
      <c r="F373" s="4" t="str">
        <f t="shared" si="445"/>
        <v>!!!</v>
      </c>
      <c r="G373" s="4" t="str">
        <f t="shared" si="423"/>
        <v>+</v>
      </c>
      <c r="H373" s="4"/>
      <c r="I373" s="4" t="str">
        <f t="shared" si="446"/>
        <v>!!!</v>
      </c>
      <c r="J373" s="4" t="e">
        <f t="shared" si="447"/>
        <v>#VALUE!</v>
      </c>
      <c r="K373" s="4" t="e">
        <f t="shared" si="448"/>
        <v>#VALUE!</v>
      </c>
      <c r="L373" s="4" t="e">
        <f t="shared" si="449"/>
        <v>#VALUE!</v>
      </c>
      <c r="M373" s="4">
        <f t="shared" si="424"/>
        <v>1000</v>
      </c>
      <c r="N373" s="4">
        <f t="shared" ref="N373:O373" si="487">MIN(IFERROR(FIND(" ",$C373,M373+1),1000))</f>
        <v>1000</v>
      </c>
      <c r="O373" s="4">
        <f t="shared" si="487"/>
        <v>1000</v>
      </c>
      <c r="P373" s="4">
        <f t="shared" si="426"/>
        <v>0</v>
      </c>
      <c r="Q373" s="4" t="str">
        <f t="shared" si="455"/>
        <v/>
      </c>
      <c r="R373" s="4" t="str">
        <f t="shared" si="471"/>
        <v/>
      </c>
      <c r="S373" s="4" t="str">
        <f t="shared" si="461"/>
        <v/>
      </c>
      <c r="T373" s="4" t="e">
        <f t="shared" si="427"/>
        <v>#VALUE!</v>
      </c>
      <c r="U373" s="4" t="e">
        <f t="shared" si="428"/>
        <v>#VALUE!</v>
      </c>
      <c r="V373" s="4" t="b">
        <f t="shared" si="419"/>
        <v>0</v>
      </c>
      <c r="W373" s="13" t="str">
        <f t="shared" si="420"/>
        <v>Да</v>
      </c>
      <c r="X373" s="4" t="e">
        <f>(IF(COUNTIFS($G$2:G373,"+",$W$2:W373,"Да")&gt;1,"&amp; ","")&amp;D373&amp;J373&amp;E373&amp;SUBSTITUTE(L373,"""",""))</f>
        <v>#VALUE!</v>
      </c>
      <c r="Y373" s="4" t="e">
        <f t="shared" si="458"/>
        <v>#VALUE!</v>
      </c>
    </row>
    <row r="374" spans="1:25" x14ac:dyDescent="0.3">
      <c r="A374" s="11"/>
      <c r="B374" s="5" t="str">
        <f t="shared" si="421"/>
        <v/>
      </c>
      <c r="C374" s="5" t="str">
        <f t="shared" si="422"/>
        <v/>
      </c>
      <c r="D374" s="4" t="s">
        <v>10</v>
      </c>
      <c r="E374" s="4" t="s">
        <v>11</v>
      </c>
      <c r="F374" s="4" t="str">
        <f t="shared" si="445"/>
        <v>!!!</v>
      </c>
      <c r="G374" s="4" t="str">
        <f t="shared" si="423"/>
        <v>+</v>
      </c>
      <c r="H374" s="4"/>
      <c r="I374" s="4" t="str">
        <f t="shared" si="446"/>
        <v>!!!</v>
      </c>
      <c r="J374" s="4" t="e">
        <f t="shared" si="447"/>
        <v>#VALUE!</v>
      </c>
      <c r="K374" s="4" t="e">
        <f t="shared" si="448"/>
        <v>#VALUE!</v>
      </c>
      <c r="L374" s="4" t="e">
        <f t="shared" si="449"/>
        <v>#VALUE!</v>
      </c>
      <c r="M374" s="4">
        <f t="shared" si="424"/>
        <v>1000</v>
      </c>
      <c r="N374" s="4">
        <f t="shared" ref="N374:O374" si="488">MIN(IFERROR(FIND(" ",$C374,M374+1),1000))</f>
        <v>1000</v>
      </c>
      <c r="O374" s="4">
        <f t="shared" si="488"/>
        <v>1000</v>
      </c>
      <c r="P374" s="4">
        <f t="shared" si="426"/>
        <v>0</v>
      </c>
      <c r="Q374" s="4" t="str">
        <f t="shared" si="455"/>
        <v/>
      </c>
      <c r="R374" s="4" t="str">
        <f t="shared" si="471"/>
        <v/>
      </c>
      <c r="S374" s="4" t="str">
        <f t="shared" si="461"/>
        <v/>
      </c>
      <c r="T374" s="4" t="e">
        <f t="shared" si="427"/>
        <v>#VALUE!</v>
      </c>
      <c r="U374" s="4" t="e">
        <f t="shared" si="428"/>
        <v>#VALUE!</v>
      </c>
      <c r="V374" s="4" t="b">
        <f t="shared" si="419"/>
        <v>0</v>
      </c>
      <c r="W374" s="13" t="str">
        <f t="shared" si="420"/>
        <v>Да</v>
      </c>
      <c r="X374" s="4" t="e">
        <f>(IF(COUNTIFS($G$2:G374,"+",$W$2:W374,"Да")&gt;1,"&amp; ","")&amp;D374&amp;J374&amp;E374&amp;SUBSTITUTE(L374,"""",""))</f>
        <v>#VALUE!</v>
      </c>
      <c r="Y374" s="4" t="e">
        <f t="shared" si="458"/>
        <v>#VALUE!</v>
      </c>
    </row>
    <row r="375" spans="1:25" x14ac:dyDescent="0.3">
      <c r="A375" s="11"/>
      <c r="B375" s="5" t="str">
        <f t="shared" si="421"/>
        <v/>
      </c>
      <c r="C375" s="5" t="str">
        <f t="shared" si="422"/>
        <v/>
      </c>
      <c r="D375" s="4" t="s">
        <v>10</v>
      </c>
      <c r="E375" s="4" t="s">
        <v>11</v>
      </c>
      <c r="F375" s="4" t="str">
        <f t="shared" si="445"/>
        <v>!!!</v>
      </c>
      <c r="G375" s="4" t="str">
        <f t="shared" si="423"/>
        <v>+</v>
      </c>
      <c r="H375" s="4"/>
      <c r="I375" s="4" t="str">
        <f t="shared" si="446"/>
        <v>!!!</v>
      </c>
      <c r="J375" s="4" t="e">
        <f t="shared" si="447"/>
        <v>#VALUE!</v>
      </c>
      <c r="K375" s="4" t="e">
        <f t="shared" si="448"/>
        <v>#VALUE!</v>
      </c>
      <c r="L375" s="4" t="e">
        <f t="shared" si="449"/>
        <v>#VALUE!</v>
      </c>
      <c r="M375" s="4">
        <f t="shared" si="424"/>
        <v>1000</v>
      </c>
      <c r="N375" s="4">
        <f t="shared" ref="N375:O375" si="489">MIN(IFERROR(FIND(" ",$C375,M375+1),1000))</f>
        <v>1000</v>
      </c>
      <c r="O375" s="4">
        <f t="shared" si="489"/>
        <v>1000</v>
      </c>
      <c r="P375" s="4">
        <f t="shared" si="426"/>
        <v>0</v>
      </c>
      <c r="Q375" s="4" t="str">
        <f t="shared" si="455"/>
        <v/>
      </c>
      <c r="R375" s="4" t="str">
        <f t="shared" si="471"/>
        <v/>
      </c>
      <c r="S375" s="4" t="str">
        <f t="shared" si="461"/>
        <v/>
      </c>
      <c r="T375" s="4" t="e">
        <f t="shared" si="427"/>
        <v>#VALUE!</v>
      </c>
      <c r="U375" s="4" t="e">
        <f t="shared" si="428"/>
        <v>#VALUE!</v>
      </c>
      <c r="V375" s="4" t="b">
        <f t="shared" si="419"/>
        <v>0</v>
      </c>
      <c r="W375" s="13" t="str">
        <f t="shared" si="420"/>
        <v>Да</v>
      </c>
      <c r="X375" s="4" t="e">
        <f>(IF(COUNTIFS($G$2:G375,"+",$W$2:W375,"Да")&gt;1,"&amp; ","")&amp;D375&amp;J375&amp;E375&amp;SUBSTITUTE(L375,"""",""))</f>
        <v>#VALUE!</v>
      </c>
      <c r="Y375" s="4" t="e">
        <f t="shared" si="458"/>
        <v>#VALUE!</v>
      </c>
    </row>
    <row r="376" spans="1:25" x14ac:dyDescent="0.3">
      <c r="A376" s="11"/>
      <c r="B376" s="5" t="str">
        <f t="shared" si="421"/>
        <v/>
      </c>
      <c r="C376" s="5" t="str">
        <f t="shared" si="422"/>
        <v/>
      </c>
      <c r="D376" s="4" t="s">
        <v>10</v>
      </c>
      <c r="E376" s="4" t="s">
        <v>11</v>
      </c>
      <c r="F376" s="4" t="str">
        <f t="shared" si="445"/>
        <v>!!!</v>
      </c>
      <c r="G376" s="4" t="str">
        <f t="shared" si="423"/>
        <v>+</v>
      </c>
      <c r="H376" s="4"/>
      <c r="I376" s="4" t="str">
        <f t="shared" si="446"/>
        <v>!!!</v>
      </c>
      <c r="J376" s="4" t="e">
        <f t="shared" si="447"/>
        <v>#VALUE!</v>
      </c>
      <c r="K376" s="4" t="e">
        <f t="shared" si="448"/>
        <v>#VALUE!</v>
      </c>
      <c r="L376" s="4" t="e">
        <f t="shared" si="449"/>
        <v>#VALUE!</v>
      </c>
      <c r="M376" s="4">
        <f t="shared" si="424"/>
        <v>1000</v>
      </c>
      <c r="N376" s="4">
        <f t="shared" ref="N376:O376" si="490">MIN(IFERROR(FIND(" ",$C376,M376+1),1000))</f>
        <v>1000</v>
      </c>
      <c r="O376" s="4">
        <f t="shared" si="490"/>
        <v>1000</v>
      </c>
      <c r="P376" s="4">
        <f t="shared" si="426"/>
        <v>0</v>
      </c>
      <c r="Q376" s="4" t="str">
        <f t="shared" si="455"/>
        <v/>
      </c>
      <c r="R376" s="4" t="str">
        <f t="shared" si="471"/>
        <v/>
      </c>
      <c r="S376" s="4" t="str">
        <f t="shared" si="461"/>
        <v/>
      </c>
      <c r="T376" s="4" t="e">
        <f t="shared" si="427"/>
        <v>#VALUE!</v>
      </c>
      <c r="U376" s="4" t="e">
        <f t="shared" si="428"/>
        <v>#VALUE!</v>
      </c>
      <c r="V376" s="4" t="b">
        <f t="shared" si="419"/>
        <v>0</v>
      </c>
      <c r="W376" s="13" t="str">
        <f t="shared" si="420"/>
        <v>Да</v>
      </c>
      <c r="X376" s="4" t="e">
        <f>(IF(COUNTIFS($G$2:G376,"+",$W$2:W376,"Да")&gt;1,"&amp; ","")&amp;D376&amp;J376&amp;E376&amp;SUBSTITUTE(L376,"""",""))</f>
        <v>#VALUE!</v>
      </c>
      <c r="Y376" s="4" t="e">
        <f t="shared" si="458"/>
        <v>#VALUE!</v>
      </c>
    </row>
    <row r="377" spans="1:25" x14ac:dyDescent="0.3">
      <c r="A377" s="11"/>
      <c r="B377" s="5" t="str">
        <f t="shared" si="421"/>
        <v/>
      </c>
      <c r="C377" s="5" t="str">
        <f t="shared" si="422"/>
        <v/>
      </c>
      <c r="D377" s="4" t="s">
        <v>10</v>
      </c>
      <c r="E377" s="4" t="s">
        <v>11</v>
      </c>
      <c r="F377" s="4" t="str">
        <f t="shared" si="445"/>
        <v>!!!</v>
      </c>
      <c r="G377" s="4" t="str">
        <f t="shared" si="423"/>
        <v>+</v>
      </c>
      <c r="H377" s="4"/>
      <c r="I377" s="4" t="str">
        <f t="shared" si="446"/>
        <v>!!!</v>
      </c>
      <c r="J377" s="4" t="e">
        <f t="shared" si="447"/>
        <v>#VALUE!</v>
      </c>
      <c r="K377" s="4" t="e">
        <f t="shared" si="448"/>
        <v>#VALUE!</v>
      </c>
      <c r="L377" s="4" t="e">
        <f t="shared" si="449"/>
        <v>#VALUE!</v>
      </c>
      <c r="M377" s="4">
        <f t="shared" si="424"/>
        <v>1000</v>
      </c>
      <c r="N377" s="4">
        <f t="shared" ref="N377:O377" si="491">MIN(IFERROR(FIND(" ",$C377,M377+1),1000))</f>
        <v>1000</v>
      </c>
      <c r="O377" s="4">
        <f t="shared" si="491"/>
        <v>1000</v>
      </c>
      <c r="P377" s="4">
        <f t="shared" si="426"/>
        <v>0</v>
      </c>
      <c r="Q377" s="4" t="str">
        <f t="shared" si="455"/>
        <v/>
      </c>
      <c r="R377" s="4" t="str">
        <f t="shared" si="471"/>
        <v/>
      </c>
      <c r="S377" s="4" t="str">
        <f t="shared" si="461"/>
        <v/>
      </c>
      <c r="T377" s="4" t="e">
        <f t="shared" si="427"/>
        <v>#VALUE!</v>
      </c>
      <c r="U377" s="4" t="e">
        <f t="shared" si="428"/>
        <v>#VALUE!</v>
      </c>
      <c r="V377" s="4" t="b">
        <f t="shared" si="419"/>
        <v>0</v>
      </c>
      <c r="W377" s="13" t="str">
        <f t="shared" si="420"/>
        <v>Да</v>
      </c>
      <c r="X377" s="4" t="e">
        <f>(IF(COUNTIFS($G$2:G377,"+",$W$2:W377,"Да")&gt;1,"&amp; ","")&amp;D377&amp;J377&amp;E377&amp;SUBSTITUTE(L377,"""",""))</f>
        <v>#VALUE!</v>
      </c>
      <c r="Y377" s="4" t="e">
        <f t="shared" si="458"/>
        <v>#VALUE!</v>
      </c>
    </row>
    <row r="378" spans="1:25" x14ac:dyDescent="0.3">
      <c r="A378" s="11"/>
      <c r="B378" s="5" t="str">
        <f t="shared" si="421"/>
        <v/>
      </c>
      <c r="C378" s="5" t="str">
        <f t="shared" si="422"/>
        <v/>
      </c>
      <c r="D378" s="4" t="s">
        <v>10</v>
      </c>
      <c r="E378" s="4" t="s">
        <v>11</v>
      </c>
      <c r="F378" s="4" t="str">
        <f t="shared" si="445"/>
        <v>!!!</v>
      </c>
      <c r="G378" s="4" t="str">
        <f t="shared" si="423"/>
        <v>+</v>
      </c>
      <c r="H378" s="4"/>
      <c r="I378" s="4" t="str">
        <f t="shared" si="446"/>
        <v>!!!</v>
      </c>
      <c r="J378" s="4" t="e">
        <f t="shared" si="447"/>
        <v>#VALUE!</v>
      </c>
      <c r="K378" s="4" t="e">
        <f t="shared" si="448"/>
        <v>#VALUE!</v>
      </c>
      <c r="L378" s="4" t="e">
        <f t="shared" si="449"/>
        <v>#VALUE!</v>
      </c>
      <c r="M378" s="4">
        <f t="shared" si="424"/>
        <v>1000</v>
      </c>
      <c r="N378" s="4">
        <f t="shared" ref="N378:O378" si="492">MIN(IFERROR(FIND(" ",$C378,M378+1),1000))</f>
        <v>1000</v>
      </c>
      <c r="O378" s="4">
        <f t="shared" si="492"/>
        <v>1000</v>
      </c>
      <c r="P378" s="4">
        <f t="shared" si="426"/>
        <v>0</v>
      </c>
      <c r="Q378" s="4" t="str">
        <f t="shared" si="455"/>
        <v/>
      </c>
      <c r="R378" s="4" t="str">
        <f t="shared" si="471"/>
        <v/>
      </c>
      <c r="S378" s="4" t="str">
        <f t="shared" si="461"/>
        <v/>
      </c>
      <c r="T378" s="4" t="e">
        <f t="shared" si="427"/>
        <v>#VALUE!</v>
      </c>
      <c r="U378" s="4" t="e">
        <f t="shared" si="428"/>
        <v>#VALUE!</v>
      </c>
      <c r="V378" s="4" t="b">
        <f t="shared" si="419"/>
        <v>0</v>
      </c>
      <c r="W378" s="13" t="str">
        <f t="shared" si="420"/>
        <v>Да</v>
      </c>
      <c r="X378" s="4" t="e">
        <f>(IF(COUNTIFS($G$2:G378,"+",$W$2:W378,"Да")&gt;1,"&amp; ","")&amp;D378&amp;J378&amp;E378&amp;SUBSTITUTE(L378,"""",""))</f>
        <v>#VALUE!</v>
      </c>
      <c r="Y378" s="4" t="e">
        <f t="shared" si="458"/>
        <v>#VALUE!</v>
      </c>
    </row>
    <row r="379" spans="1:25" x14ac:dyDescent="0.3">
      <c r="A379" s="11"/>
      <c r="B379" s="5" t="str">
        <f t="shared" si="421"/>
        <v/>
      </c>
      <c r="C379" s="5" t="str">
        <f t="shared" si="422"/>
        <v/>
      </c>
      <c r="D379" s="4" t="s">
        <v>10</v>
      </c>
      <c r="E379" s="4" t="s">
        <v>11</v>
      </c>
      <c r="F379" s="4" t="str">
        <f t="shared" si="445"/>
        <v>!!!</v>
      </c>
      <c r="G379" s="4" t="str">
        <f t="shared" si="423"/>
        <v>+</v>
      </c>
      <c r="H379" s="4"/>
      <c r="I379" s="4" t="str">
        <f t="shared" si="446"/>
        <v>!!!</v>
      </c>
      <c r="J379" s="4" t="e">
        <f t="shared" si="447"/>
        <v>#VALUE!</v>
      </c>
      <c r="K379" s="4" t="e">
        <f t="shared" si="448"/>
        <v>#VALUE!</v>
      </c>
      <c r="L379" s="4" t="e">
        <f t="shared" si="449"/>
        <v>#VALUE!</v>
      </c>
      <c r="M379" s="4">
        <f t="shared" si="424"/>
        <v>1000</v>
      </c>
      <c r="N379" s="4">
        <f t="shared" ref="N379:O379" si="493">MIN(IFERROR(FIND(" ",$C379,M379+1),1000))</f>
        <v>1000</v>
      </c>
      <c r="O379" s="4">
        <f t="shared" si="493"/>
        <v>1000</v>
      </c>
      <c r="P379" s="4">
        <f t="shared" si="426"/>
        <v>0</v>
      </c>
      <c r="Q379" s="4" t="str">
        <f t="shared" si="455"/>
        <v/>
      </c>
      <c r="R379" s="4" t="str">
        <f t="shared" si="471"/>
        <v/>
      </c>
      <c r="S379" s="4" t="str">
        <f t="shared" si="461"/>
        <v/>
      </c>
      <c r="T379" s="4" t="e">
        <f t="shared" si="427"/>
        <v>#VALUE!</v>
      </c>
      <c r="U379" s="4" t="e">
        <f t="shared" si="428"/>
        <v>#VALUE!</v>
      </c>
      <c r="V379" s="4" t="b">
        <f t="shared" si="419"/>
        <v>0</v>
      </c>
      <c r="W379" s="13" t="str">
        <f t="shared" si="420"/>
        <v>Да</v>
      </c>
      <c r="X379" s="4" t="e">
        <f>(IF(COUNTIFS($G$2:G379,"+",$W$2:W379,"Да")&gt;1,"&amp; ","")&amp;D379&amp;J379&amp;E379&amp;SUBSTITUTE(L379,"""",""))</f>
        <v>#VALUE!</v>
      </c>
      <c r="Y379" s="4" t="e">
        <f t="shared" si="458"/>
        <v>#VALUE!</v>
      </c>
    </row>
    <row r="380" spans="1:25" x14ac:dyDescent="0.3">
      <c r="A380" s="11"/>
      <c r="B380" s="5" t="str">
        <f t="shared" si="421"/>
        <v/>
      </c>
      <c r="C380" s="5" t="str">
        <f t="shared" si="422"/>
        <v/>
      </c>
      <c r="D380" s="4" t="s">
        <v>10</v>
      </c>
      <c r="E380" s="4" t="s">
        <v>11</v>
      </c>
      <c r="F380" s="4" t="str">
        <f t="shared" si="445"/>
        <v>!!!</v>
      </c>
      <c r="G380" s="4" t="str">
        <f t="shared" si="423"/>
        <v>+</v>
      </c>
      <c r="H380" s="4"/>
      <c r="I380" s="4" t="str">
        <f t="shared" si="446"/>
        <v>!!!</v>
      </c>
      <c r="J380" s="4" t="e">
        <f t="shared" si="447"/>
        <v>#VALUE!</v>
      </c>
      <c r="K380" s="4" t="e">
        <f t="shared" si="448"/>
        <v>#VALUE!</v>
      </c>
      <c r="L380" s="4" t="e">
        <f t="shared" si="449"/>
        <v>#VALUE!</v>
      </c>
      <c r="M380" s="4">
        <f t="shared" si="424"/>
        <v>1000</v>
      </c>
      <c r="N380" s="4">
        <f t="shared" ref="N380:O380" si="494">MIN(IFERROR(FIND(" ",$C380,M380+1),1000))</f>
        <v>1000</v>
      </c>
      <c r="O380" s="4">
        <f t="shared" si="494"/>
        <v>1000</v>
      </c>
      <c r="P380" s="4">
        <f t="shared" si="426"/>
        <v>0</v>
      </c>
      <c r="Q380" s="4" t="str">
        <f t="shared" si="455"/>
        <v/>
      </c>
      <c r="R380" s="4" t="str">
        <f t="shared" si="471"/>
        <v/>
      </c>
      <c r="S380" s="4" t="str">
        <f t="shared" si="461"/>
        <v/>
      </c>
      <c r="T380" s="4" t="e">
        <f t="shared" si="427"/>
        <v>#VALUE!</v>
      </c>
      <c r="U380" s="4" t="e">
        <f t="shared" si="428"/>
        <v>#VALUE!</v>
      </c>
      <c r="V380" s="4" t="b">
        <f t="shared" si="419"/>
        <v>0</v>
      </c>
      <c r="W380" s="13" t="str">
        <f t="shared" si="420"/>
        <v>Да</v>
      </c>
      <c r="X380" s="4" t="e">
        <f>(IF(COUNTIFS($G$2:G380,"+",$W$2:W380,"Да")&gt;1,"&amp; ","")&amp;D380&amp;J380&amp;E380&amp;SUBSTITUTE(L380,"""",""))</f>
        <v>#VALUE!</v>
      </c>
      <c r="Y380" s="4" t="e">
        <f t="shared" si="458"/>
        <v>#VALUE!</v>
      </c>
    </row>
    <row r="381" spans="1:25" x14ac:dyDescent="0.3">
      <c r="A381" s="11"/>
      <c r="B381" s="5" t="str">
        <f t="shared" si="421"/>
        <v/>
      </c>
      <c r="C381" s="5" t="str">
        <f t="shared" si="422"/>
        <v/>
      </c>
      <c r="D381" s="4" t="s">
        <v>10</v>
      </c>
      <c r="E381" s="4" t="s">
        <v>11</v>
      </c>
      <c r="F381" s="4" t="str">
        <f t="shared" si="445"/>
        <v>!!!</v>
      </c>
      <c r="G381" s="4" t="str">
        <f t="shared" si="423"/>
        <v>+</v>
      </c>
      <c r="H381" s="4"/>
      <c r="I381" s="4" t="str">
        <f t="shared" si="446"/>
        <v>!!!</v>
      </c>
      <c r="J381" s="4" t="e">
        <f t="shared" si="447"/>
        <v>#VALUE!</v>
      </c>
      <c r="K381" s="4" t="e">
        <f t="shared" si="448"/>
        <v>#VALUE!</v>
      </c>
      <c r="L381" s="4" t="e">
        <f t="shared" si="449"/>
        <v>#VALUE!</v>
      </c>
      <c r="M381" s="4">
        <f t="shared" si="424"/>
        <v>1000</v>
      </c>
      <c r="N381" s="4">
        <f t="shared" ref="N381:O381" si="495">MIN(IFERROR(FIND(" ",$C381,M381+1),1000))</f>
        <v>1000</v>
      </c>
      <c r="O381" s="4">
        <f t="shared" si="495"/>
        <v>1000</v>
      </c>
      <c r="P381" s="4">
        <f t="shared" si="426"/>
        <v>0</v>
      </c>
      <c r="Q381" s="4" t="str">
        <f t="shared" si="455"/>
        <v/>
      </c>
      <c r="R381" s="4" t="str">
        <f t="shared" si="471"/>
        <v/>
      </c>
      <c r="S381" s="4" t="str">
        <f t="shared" si="461"/>
        <v/>
      </c>
      <c r="T381" s="4" t="e">
        <f t="shared" si="427"/>
        <v>#VALUE!</v>
      </c>
      <c r="U381" s="4" t="e">
        <f t="shared" si="428"/>
        <v>#VALUE!</v>
      </c>
      <c r="V381" s="4" t="b">
        <f t="shared" si="419"/>
        <v>0</v>
      </c>
      <c r="W381" s="13" t="str">
        <f t="shared" si="420"/>
        <v>Да</v>
      </c>
      <c r="X381" s="4" t="e">
        <f>(IF(COUNTIFS($G$2:G381,"+",$W$2:W381,"Да")&gt;1,"&amp; ","")&amp;D381&amp;J381&amp;E381&amp;SUBSTITUTE(L381,"""",""))</f>
        <v>#VALUE!</v>
      </c>
      <c r="Y381" s="4" t="e">
        <f t="shared" si="458"/>
        <v>#VALUE!</v>
      </c>
    </row>
    <row r="382" spans="1:25" x14ac:dyDescent="0.3">
      <c r="A382" s="11"/>
      <c r="B382" s="5" t="str">
        <f t="shared" si="421"/>
        <v/>
      </c>
      <c r="C382" s="5" t="str">
        <f t="shared" si="422"/>
        <v/>
      </c>
      <c r="D382" s="4" t="s">
        <v>10</v>
      </c>
      <c r="E382" s="4" t="s">
        <v>11</v>
      </c>
      <c r="F382" s="4" t="str">
        <f t="shared" si="445"/>
        <v>!!!</v>
      </c>
      <c r="G382" s="4" t="str">
        <f t="shared" si="423"/>
        <v>+</v>
      </c>
      <c r="H382" s="4"/>
      <c r="I382" s="4" t="str">
        <f t="shared" si="446"/>
        <v>!!!</v>
      </c>
      <c r="J382" s="4" t="e">
        <f t="shared" si="447"/>
        <v>#VALUE!</v>
      </c>
      <c r="K382" s="4" t="e">
        <f t="shared" si="448"/>
        <v>#VALUE!</v>
      </c>
      <c r="L382" s="4" t="e">
        <f t="shared" si="449"/>
        <v>#VALUE!</v>
      </c>
      <c r="M382" s="4">
        <f t="shared" si="424"/>
        <v>1000</v>
      </c>
      <c r="N382" s="4">
        <f t="shared" ref="N382:O382" si="496">MIN(IFERROR(FIND(" ",$C382,M382+1),1000))</f>
        <v>1000</v>
      </c>
      <c r="O382" s="4">
        <f t="shared" si="496"/>
        <v>1000</v>
      </c>
      <c r="P382" s="4">
        <f t="shared" si="426"/>
        <v>0</v>
      </c>
      <c r="Q382" s="4" t="str">
        <f t="shared" si="455"/>
        <v/>
      </c>
      <c r="R382" s="4" t="str">
        <f t="shared" si="471"/>
        <v/>
      </c>
      <c r="S382" s="4" t="str">
        <f t="shared" si="461"/>
        <v/>
      </c>
      <c r="T382" s="4" t="e">
        <f t="shared" si="427"/>
        <v>#VALUE!</v>
      </c>
      <c r="U382" s="4" t="e">
        <f t="shared" si="428"/>
        <v>#VALUE!</v>
      </c>
      <c r="V382" s="4" t="b">
        <f t="shared" si="419"/>
        <v>0</v>
      </c>
      <c r="W382" s="13" t="str">
        <f t="shared" si="420"/>
        <v>Да</v>
      </c>
      <c r="X382" s="4" t="e">
        <f>(IF(COUNTIFS($G$2:G382,"+",$W$2:W382,"Да")&gt;1,"&amp; ","")&amp;D382&amp;J382&amp;E382&amp;SUBSTITUTE(L382,"""",""))</f>
        <v>#VALUE!</v>
      </c>
      <c r="Y382" s="4" t="e">
        <f t="shared" si="458"/>
        <v>#VALUE!</v>
      </c>
    </row>
    <row r="383" spans="1:25" x14ac:dyDescent="0.3">
      <c r="A383" s="11"/>
      <c r="B383" s="5" t="str">
        <f t="shared" si="421"/>
        <v/>
      </c>
      <c r="C383" s="5" t="str">
        <f t="shared" si="422"/>
        <v/>
      </c>
      <c r="D383" s="4" t="s">
        <v>10</v>
      </c>
      <c r="E383" s="4" t="s">
        <v>11</v>
      </c>
      <c r="F383" s="4" t="str">
        <f t="shared" si="445"/>
        <v>!!!</v>
      </c>
      <c r="G383" s="4" t="str">
        <f t="shared" si="423"/>
        <v>+</v>
      </c>
      <c r="H383" s="4"/>
      <c r="I383" s="4" t="str">
        <f t="shared" si="446"/>
        <v>!!!</v>
      </c>
      <c r="J383" s="4" t="e">
        <f t="shared" si="447"/>
        <v>#VALUE!</v>
      </c>
      <c r="K383" s="4" t="e">
        <f t="shared" si="448"/>
        <v>#VALUE!</v>
      </c>
      <c r="L383" s="4" t="e">
        <f t="shared" si="449"/>
        <v>#VALUE!</v>
      </c>
      <c r="M383" s="4">
        <f t="shared" si="424"/>
        <v>1000</v>
      </c>
      <c r="N383" s="4">
        <f t="shared" ref="N383:O383" si="497">MIN(IFERROR(FIND(" ",$C383,M383+1),1000))</f>
        <v>1000</v>
      </c>
      <c r="O383" s="4">
        <f t="shared" si="497"/>
        <v>1000</v>
      </c>
      <c r="P383" s="4">
        <f t="shared" si="426"/>
        <v>0</v>
      </c>
      <c r="Q383" s="4" t="str">
        <f t="shared" si="455"/>
        <v/>
      </c>
      <c r="R383" s="4" t="str">
        <f t="shared" si="471"/>
        <v/>
      </c>
      <c r="S383" s="4" t="str">
        <f t="shared" si="461"/>
        <v/>
      </c>
      <c r="T383" s="4" t="e">
        <f t="shared" si="427"/>
        <v>#VALUE!</v>
      </c>
      <c r="U383" s="4" t="e">
        <f t="shared" si="428"/>
        <v>#VALUE!</v>
      </c>
      <c r="V383" s="4" t="b">
        <f t="shared" si="419"/>
        <v>0</v>
      </c>
      <c r="W383" s="13" t="str">
        <f t="shared" si="420"/>
        <v>Да</v>
      </c>
      <c r="X383" s="4" t="e">
        <f>(IF(COUNTIFS($G$2:G383,"+",$W$2:W383,"Да")&gt;1,"&amp; ","")&amp;D383&amp;J383&amp;E383&amp;SUBSTITUTE(L383,"""",""))</f>
        <v>#VALUE!</v>
      </c>
      <c r="Y383" s="4" t="e">
        <f t="shared" si="458"/>
        <v>#VALUE!</v>
      </c>
    </row>
    <row r="384" spans="1:25" x14ac:dyDescent="0.3">
      <c r="A384" s="11"/>
      <c r="B384" s="5" t="str">
        <f t="shared" si="421"/>
        <v/>
      </c>
      <c r="C384" s="5" t="str">
        <f t="shared" si="422"/>
        <v/>
      </c>
      <c r="D384" s="4" t="s">
        <v>10</v>
      </c>
      <c r="E384" s="4" t="s">
        <v>11</v>
      </c>
      <c r="F384" s="4" t="str">
        <f t="shared" si="445"/>
        <v>!!!</v>
      </c>
      <c r="G384" s="4" t="str">
        <f t="shared" si="423"/>
        <v>+</v>
      </c>
      <c r="H384" s="4"/>
      <c r="I384" s="4" t="str">
        <f t="shared" si="446"/>
        <v>!!!</v>
      </c>
      <c r="J384" s="4" t="e">
        <f t="shared" si="447"/>
        <v>#VALUE!</v>
      </c>
      <c r="K384" s="4" t="e">
        <f t="shared" si="448"/>
        <v>#VALUE!</v>
      </c>
      <c r="L384" s="4" t="e">
        <f t="shared" si="449"/>
        <v>#VALUE!</v>
      </c>
      <c r="M384" s="4">
        <f t="shared" si="424"/>
        <v>1000</v>
      </c>
      <c r="N384" s="4">
        <f t="shared" ref="N384:O384" si="498">MIN(IFERROR(FIND(" ",$C384,M384+1),1000))</f>
        <v>1000</v>
      </c>
      <c r="O384" s="4">
        <f t="shared" si="498"/>
        <v>1000</v>
      </c>
      <c r="P384" s="4">
        <f t="shared" si="426"/>
        <v>0</v>
      </c>
      <c r="Q384" s="4" t="str">
        <f t="shared" si="455"/>
        <v/>
      </c>
      <c r="R384" s="4" t="str">
        <f t="shared" si="471"/>
        <v/>
      </c>
      <c r="S384" s="4" t="str">
        <f t="shared" si="461"/>
        <v/>
      </c>
      <c r="T384" s="4" t="e">
        <f t="shared" si="427"/>
        <v>#VALUE!</v>
      </c>
      <c r="U384" s="4" t="e">
        <f t="shared" si="428"/>
        <v>#VALUE!</v>
      </c>
      <c r="V384" s="4" t="b">
        <f t="shared" si="419"/>
        <v>0</v>
      </c>
      <c r="W384" s="13" t="str">
        <f t="shared" si="420"/>
        <v>Да</v>
      </c>
      <c r="X384" s="4" t="e">
        <f>(IF(COUNTIFS($G$2:G384,"+",$W$2:W384,"Да")&gt;1,"&amp; ","")&amp;D384&amp;J384&amp;E384&amp;SUBSTITUTE(L384,"""",""))</f>
        <v>#VALUE!</v>
      </c>
      <c r="Y384" s="4" t="e">
        <f t="shared" si="458"/>
        <v>#VALUE!</v>
      </c>
    </row>
    <row r="385" spans="1:25" x14ac:dyDescent="0.3">
      <c r="A385" s="11"/>
      <c r="B385" s="5" t="str">
        <f t="shared" si="421"/>
        <v/>
      </c>
      <c r="C385" s="5" t="str">
        <f t="shared" si="422"/>
        <v/>
      </c>
      <c r="D385" s="4" t="s">
        <v>10</v>
      </c>
      <c r="E385" s="4" t="s">
        <v>11</v>
      </c>
      <c r="F385" s="4" t="str">
        <f t="shared" si="445"/>
        <v>!!!</v>
      </c>
      <c r="G385" s="4" t="str">
        <f t="shared" si="423"/>
        <v>+</v>
      </c>
      <c r="H385" s="4"/>
      <c r="I385" s="4" t="str">
        <f t="shared" si="446"/>
        <v>!!!</v>
      </c>
      <c r="J385" s="4" t="e">
        <f t="shared" si="447"/>
        <v>#VALUE!</v>
      </c>
      <c r="K385" s="4" t="e">
        <f t="shared" si="448"/>
        <v>#VALUE!</v>
      </c>
      <c r="L385" s="4" t="e">
        <f t="shared" si="449"/>
        <v>#VALUE!</v>
      </c>
      <c r="M385" s="4">
        <f t="shared" si="424"/>
        <v>1000</v>
      </c>
      <c r="N385" s="4">
        <f t="shared" ref="N385:O385" si="499">MIN(IFERROR(FIND(" ",$C385,M385+1),1000))</f>
        <v>1000</v>
      </c>
      <c r="O385" s="4">
        <f t="shared" si="499"/>
        <v>1000</v>
      </c>
      <c r="P385" s="4">
        <f t="shared" si="426"/>
        <v>0</v>
      </c>
      <c r="Q385" s="4" t="str">
        <f t="shared" si="455"/>
        <v/>
      </c>
      <c r="R385" s="4" t="str">
        <f t="shared" si="471"/>
        <v/>
      </c>
      <c r="S385" s="4" t="str">
        <f t="shared" si="461"/>
        <v/>
      </c>
      <c r="T385" s="4" t="e">
        <f t="shared" si="427"/>
        <v>#VALUE!</v>
      </c>
      <c r="U385" s="4" t="e">
        <f t="shared" si="428"/>
        <v>#VALUE!</v>
      </c>
      <c r="V385" s="4" t="b">
        <f t="shared" si="419"/>
        <v>0</v>
      </c>
      <c r="W385" s="13" t="str">
        <f t="shared" si="420"/>
        <v>Да</v>
      </c>
      <c r="X385" s="4" t="e">
        <f>(IF(COUNTIFS($G$2:G385,"+",$W$2:W385,"Да")&gt;1,"&amp; ","")&amp;D385&amp;J385&amp;E385&amp;SUBSTITUTE(L385,"""",""))</f>
        <v>#VALUE!</v>
      </c>
      <c r="Y385" s="4" t="e">
        <f t="shared" si="458"/>
        <v>#VALUE!</v>
      </c>
    </row>
    <row r="386" spans="1:25" x14ac:dyDescent="0.3">
      <c r="A386" s="11"/>
      <c r="B386" s="5" t="str">
        <f t="shared" si="421"/>
        <v/>
      </c>
      <c r="C386" s="5" t="str">
        <f t="shared" si="422"/>
        <v/>
      </c>
      <c r="D386" s="4" t="s">
        <v>10</v>
      </c>
      <c r="E386" s="4" t="s">
        <v>11</v>
      </c>
      <c r="F386" s="4" t="str">
        <f t="shared" si="445"/>
        <v>!!!</v>
      </c>
      <c r="G386" s="4" t="str">
        <f t="shared" si="423"/>
        <v>+</v>
      </c>
      <c r="H386" s="4"/>
      <c r="I386" s="4" t="str">
        <f t="shared" si="446"/>
        <v>!!!</v>
      </c>
      <c r="J386" s="4" t="e">
        <f t="shared" si="447"/>
        <v>#VALUE!</v>
      </c>
      <c r="K386" s="4" t="e">
        <f t="shared" si="448"/>
        <v>#VALUE!</v>
      </c>
      <c r="L386" s="4" t="e">
        <f t="shared" si="449"/>
        <v>#VALUE!</v>
      </c>
      <c r="M386" s="4">
        <f t="shared" si="424"/>
        <v>1000</v>
      </c>
      <c r="N386" s="4">
        <f t="shared" ref="N386:O386" si="500">MIN(IFERROR(FIND(" ",$C386,M386+1),1000))</f>
        <v>1000</v>
      </c>
      <c r="O386" s="4">
        <f t="shared" si="500"/>
        <v>1000</v>
      </c>
      <c r="P386" s="4">
        <f t="shared" si="426"/>
        <v>0</v>
      </c>
      <c r="Q386" s="4" t="str">
        <f t="shared" si="455"/>
        <v/>
      </c>
      <c r="R386" s="4" t="str">
        <f t="shared" si="471"/>
        <v/>
      </c>
      <c r="S386" s="4" t="str">
        <f t="shared" si="461"/>
        <v/>
      </c>
      <c r="T386" s="4" t="e">
        <f t="shared" si="427"/>
        <v>#VALUE!</v>
      </c>
      <c r="U386" s="4" t="e">
        <f t="shared" si="428"/>
        <v>#VALUE!</v>
      </c>
      <c r="V386" s="4" t="b">
        <f t="shared" ref="V386:V449" si="501">OR(IFERROR(MATCH(U386,Q:Q,0),0)&lt;&gt;0,IFERROR(MATCH(U386,R:R,0),0)&lt;&gt;0)</f>
        <v>0</v>
      </c>
      <c r="W386" s="13" t="str">
        <f t="shared" ref="W386:W449" si="502">IF(A386="","Да",IF(OR(F386="!!!",NOT(V386)),"Нет","Да"))</f>
        <v>Да</v>
      </c>
      <c r="X386" s="4" t="e">
        <f>(IF(COUNTIFS($G$2:G386,"+",$W$2:W386,"Да")&gt;1,"&amp; ","")&amp;D386&amp;J386&amp;E386&amp;SUBSTITUTE(L386,"""",""))</f>
        <v>#VALUE!</v>
      </c>
      <c r="Y386" s="4" t="e">
        <f t="shared" si="458"/>
        <v>#VALUE!</v>
      </c>
    </row>
    <row r="387" spans="1:25" x14ac:dyDescent="0.3">
      <c r="A387" s="11"/>
      <c r="B387" s="5" t="str">
        <f t="shared" ref="B387:B450" si="503">TRIM(LEFT(A387,IFERROR(FIND("'",A387)-1,1000)))</f>
        <v/>
      </c>
      <c r="C387" s="5" t="str">
        <f t="shared" ref="C387:C450" si="504">SUBSTITUTE(SUBSTITUTE(SUBSTITUTE(SUBSTITUTE(TRIM(LEFT(A387,IFERROR(FIND("'",A387)-1,1000))),"&lt;&lt;","&lt;"),"--","-"),"&gt;&gt;","&gt;"),"&amp;","")</f>
        <v/>
      </c>
      <c r="D387" s="4" t="s">
        <v>10</v>
      </c>
      <c r="E387" s="4" t="s">
        <v>11</v>
      </c>
      <c r="F387" s="4" t="str">
        <f t="shared" si="445"/>
        <v>!!!</v>
      </c>
      <c r="G387" s="4" t="str">
        <f t="shared" ref="G387:G450" si="505">IF(AND($A$2="",$A$3="",$A$4="",$A$5=""),"+",IF(F387="!!!","X","+"))</f>
        <v>+</v>
      </c>
      <c r="H387" s="4"/>
      <c r="I387" s="4" t="str">
        <f t="shared" si="446"/>
        <v>!!!</v>
      </c>
      <c r="J387" s="4" t="e">
        <f t="shared" si="447"/>
        <v>#VALUE!</v>
      </c>
      <c r="K387" s="4" t="e">
        <f t="shared" si="448"/>
        <v>#VALUE!</v>
      </c>
      <c r="L387" s="4" t="e">
        <f t="shared" si="449"/>
        <v>#VALUE!</v>
      </c>
      <c r="M387" s="4">
        <f t="shared" ref="M387:M450" si="506">MIN(IFERROR(FIND(" ",$C387),1000))</f>
        <v>1000</v>
      </c>
      <c r="N387" s="4">
        <f t="shared" ref="N387:O387" si="507">MIN(IFERROR(FIND(" ",$C387,M387+1),1000))</f>
        <v>1000</v>
      </c>
      <c r="O387" s="4">
        <f t="shared" si="507"/>
        <v>1000</v>
      </c>
      <c r="P387" s="4">
        <f t="shared" ref="P387:P450" si="508">MIN(IFERROR(FIND(" ",C387,O387+1),0),IFERROR(FIND("&lt;",C387,O387+1),0),IFERROR(FIND(":",C387,O387+1),0))</f>
        <v>0</v>
      </c>
      <c r="Q387" s="4" t="str">
        <f t="shared" si="455"/>
        <v/>
      </c>
      <c r="R387" s="4" t="str">
        <f t="shared" si="471"/>
        <v/>
      </c>
      <c r="S387" s="4" t="str">
        <f t="shared" si="461"/>
        <v/>
      </c>
      <c r="T387" s="4" t="e">
        <f t="shared" ref="T387:T450" si="509">FIND(" ",C387,FIND("as",C387))+1</f>
        <v>#VALUE!</v>
      </c>
      <c r="U387" s="4" t="e">
        <f t="shared" ref="U387:U450" si="510">MID(C387,T387,MIN(FIND(" ",C387,T387),FIND("&lt;",C387,T387))-T387)</f>
        <v>#VALUE!</v>
      </c>
      <c r="V387" s="4" t="b">
        <f t="shared" si="501"/>
        <v>0</v>
      </c>
      <c r="W387" s="13" t="str">
        <f t="shared" si="502"/>
        <v>Да</v>
      </c>
      <c r="X387" s="4" t="e">
        <f>(IF(COUNTIFS($G$2:G387,"+",$W$2:W387,"Да")&gt;1,"&amp; ","")&amp;D387&amp;J387&amp;E387&amp;SUBSTITUTE(L387,"""",""))</f>
        <v>#VALUE!</v>
      </c>
      <c r="Y387" s="4" t="e">
        <f t="shared" si="458"/>
        <v>#VALUE!</v>
      </c>
    </row>
    <row r="388" spans="1:25" x14ac:dyDescent="0.3">
      <c r="A388" s="11"/>
      <c r="B388" s="5" t="str">
        <f t="shared" si="503"/>
        <v/>
      </c>
      <c r="C388" s="5" t="str">
        <f t="shared" si="504"/>
        <v/>
      </c>
      <c r="D388" s="4" t="s">
        <v>10</v>
      </c>
      <c r="E388" s="4" t="s">
        <v>11</v>
      </c>
      <c r="F388" s="4" t="str">
        <f t="shared" si="445"/>
        <v>!!!</v>
      </c>
      <c r="G388" s="4" t="str">
        <f t="shared" si="505"/>
        <v>+</v>
      </c>
      <c r="H388" s="4"/>
      <c r="I388" s="4" t="str">
        <f t="shared" si="446"/>
        <v>!!!</v>
      </c>
      <c r="J388" s="4" t="e">
        <f t="shared" si="447"/>
        <v>#VALUE!</v>
      </c>
      <c r="K388" s="4" t="e">
        <f t="shared" si="448"/>
        <v>#VALUE!</v>
      </c>
      <c r="L388" s="4" t="e">
        <f t="shared" si="449"/>
        <v>#VALUE!</v>
      </c>
      <c r="M388" s="4">
        <f t="shared" si="506"/>
        <v>1000</v>
      </c>
      <c r="N388" s="4">
        <f t="shared" ref="N388:O388" si="511">MIN(IFERROR(FIND(" ",$C388,M388+1),1000))</f>
        <v>1000</v>
      </c>
      <c r="O388" s="4">
        <f t="shared" si="511"/>
        <v>1000</v>
      </c>
      <c r="P388" s="4">
        <f t="shared" si="508"/>
        <v>0</v>
      </c>
      <c r="Q388" s="4" t="str">
        <f t="shared" si="455"/>
        <v/>
      </c>
      <c r="R388" s="4" t="str">
        <f t="shared" si="471"/>
        <v/>
      </c>
      <c r="S388" s="4" t="str">
        <f t="shared" si="461"/>
        <v/>
      </c>
      <c r="T388" s="4" t="e">
        <f t="shared" si="509"/>
        <v>#VALUE!</v>
      </c>
      <c r="U388" s="4" t="e">
        <f t="shared" si="510"/>
        <v>#VALUE!</v>
      </c>
      <c r="V388" s="4" t="b">
        <f t="shared" si="501"/>
        <v>0</v>
      </c>
      <c r="W388" s="13" t="str">
        <f t="shared" si="502"/>
        <v>Да</v>
      </c>
      <c r="X388" s="4" t="e">
        <f>(IF(COUNTIFS($G$2:G388,"+",$W$2:W388,"Да")&gt;1,"&amp; ","")&amp;D388&amp;J388&amp;E388&amp;SUBSTITUTE(L388,"""",""))</f>
        <v>#VALUE!</v>
      </c>
      <c r="Y388" s="4" t="e">
        <f t="shared" si="458"/>
        <v>#VALUE!</v>
      </c>
    </row>
    <row r="389" spans="1:25" x14ac:dyDescent="0.3">
      <c r="A389" s="11"/>
      <c r="B389" s="5" t="str">
        <f t="shared" si="503"/>
        <v/>
      </c>
      <c r="C389" s="5" t="str">
        <f t="shared" si="504"/>
        <v/>
      </c>
      <c r="D389" s="4" t="s">
        <v>10</v>
      </c>
      <c r="E389" s="4" t="s">
        <v>11</v>
      </c>
      <c r="F389" s="4" t="str">
        <f t="shared" si="445"/>
        <v>!!!</v>
      </c>
      <c r="G389" s="4" t="str">
        <f t="shared" si="505"/>
        <v>+</v>
      </c>
      <c r="H389" s="4"/>
      <c r="I389" s="4" t="str">
        <f t="shared" si="446"/>
        <v>!!!</v>
      </c>
      <c r="J389" s="4" t="e">
        <f t="shared" si="447"/>
        <v>#VALUE!</v>
      </c>
      <c r="K389" s="4" t="e">
        <f t="shared" si="448"/>
        <v>#VALUE!</v>
      </c>
      <c r="L389" s="4" t="e">
        <f t="shared" si="449"/>
        <v>#VALUE!</v>
      </c>
      <c r="M389" s="4">
        <f t="shared" si="506"/>
        <v>1000</v>
      </c>
      <c r="N389" s="4">
        <f t="shared" ref="N389:O389" si="512">MIN(IFERROR(FIND(" ",$C389,M389+1),1000))</f>
        <v>1000</v>
      </c>
      <c r="O389" s="4">
        <f t="shared" si="512"/>
        <v>1000</v>
      </c>
      <c r="P389" s="4">
        <f t="shared" si="508"/>
        <v>0</v>
      </c>
      <c r="Q389" s="4" t="str">
        <f t="shared" si="455"/>
        <v/>
      </c>
      <c r="R389" s="4" t="str">
        <f t="shared" si="471"/>
        <v/>
      </c>
      <c r="S389" s="4" t="str">
        <f t="shared" si="461"/>
        <v/>
      </c>
      <c r="T389" s="4" t="e">
        <f t="shared" si="509"/>
        <v>#VALUE!</v>
      </c>
      <c r="U389" s="4" t="e">
        <f t="shared" si="510"/>
        <v>#VALUE!</v>
      </c>
      <c r="V389" s="4" t="b">
        <f t="shared" si="501"/>
        <v>0</v>
      </c>
      <c r="W389" s="13" t="str">
        <f t="shared" si="502"/>
        <v>Да</v>
      </c>
      <c r="X389" s="4" t="e">
        <f>(IF(COUNTIFS($G$2:G389,"+",$W$2:W389,"Да")&gt;1,"&amp; ","")&amp;D389&amp;J389&amp;E389&amp;SUBSTITUTE(L389,"""",""))</f>
        <v>#VALUE!</v>
      </c>
      <c r="Y389" s="4" t="e">
        <f t="shared" si="458"/>
        <v>#VALUE!</v>
      </c>
    </row>
    <row r="390" spans="1:25" x14ac:dyDescent="0.3">
      <c r="A390" s="11"/>
      <c r="B390" s="5" t="str">
        <f t="shared" si="503"/>
        <v/>
      </c>
      <c r="C390" s="5" t="str">
        <f t="shared" si="504"/>
        <v/>
      </c>
      <c r="D390" s="4" t="s">
        <v>10</v>
      </c>
      <c r="E390" s="4" t="s">
        <v>11</v>
      </c>
      <c r="F390" s="4" t="str">
        <f t="shared" si="445"/>
        <v>!!!</v>
      </c>
      <c r="G390" s="4" t="str">
        <f t="shared" si="505"/>
        <v>+</v>
      </c>
      <c r="H390" s="4"/>
      <c r="I390" s="4" t="str">
        <f t="shared" si="446"/>
        <v>!!!</v>
      </c>
      <c r="J390" s="4" t="e">
        <f t="shared" si="447"/>
        <v>#VALUE!</v>
      </c>
      <c r="K390" s="4" t="e">
        <f t="shared" si="448"/>
        <v>#VALUE!</v>
      </c>
      <c r="L390" s="4" t="e">
        <f t="shared" si="449"/>
        <v>#VALUE!</v>
      </c>
      <c r="M390" s="4">
        <f t="shared" si="506"/>
        <v>1000</v>
      </c>
      <c r="N390" s="4">
        <f t="shared" ref="N390:O390" si="513">MIN(IFERROR(FIND(" ",$C390,M390+1),1000))</f>
        <v>1000</v>
      </c>
      <c r="O390" s="4">
        <f t="shared" si="513"/>
        <v>1000</v>
      </c>
      <c r="P390" s="4">
        <f t="shared" si="508"/>
        <v>0</v>
      </c>
      <c r="Q390" s="4" t="str">
        <f t="shared" si="455"/>
        <v/>
      </c>
      <c r="R390" s="4" t="str">
        <f t="shared" si="471"/>
        <v/>
      </c>
      <c r="S390" s="4" t="str">
        <f t="shared" si="461"/>
        <v/>
      </c>
      <c r="T390" s="4" t="e">
        <f t="shared" si="509"/>
        <v>#VALUE!</v>
      </c>
      <c r="U390" s="4" t="e">
        <f t="shared" si="510"/>
        <v>#VALUE!</v>
      </c>
      <c r="V390" s="4" t="b">
        <f t="shared" si="501"/>
        <v>0</v>
      </c>
      <c r="W390" s="13" t="str">
        <f t="shared" si="502"/>
        <v>Да</v>
      </c>
      <c r="X390" s="4" t="e">
        <f>(IF(COUNTIFS($G$2:G390,"+",$W$2:W390,"Да")&gt;1,"&amp; ","")&amp;D390&amp;J390&amp;E390&amp;SUBSTITUTE(L390,"""",""))</f>
        <v>#VALUE!</v>
      </c>
      <c r="Y390" s="4" t="e">
        <f t="shared" si="458"/>
        <v>#VALUE!</v>
      </c>
    </row>
    <row r="391" spans="1:25" x14ac:dyDescent="0.3">
      <c r="A391" s="11"/>
      <c r="B391" s="5" t="str">
        <f t="shared" si="503"/>
        <v/>
      </c>
      <c r="C391" s="5" t="str">
        <f t="shared" si="504"/>
        <v/>
      </c>
      <c r="D391" s="4" t="s">
        <v>10</v>
      </c>
      <c r="E391" s="4" t="s">
        <v>11</v>
      </c>
      <c r="F391" s="4" t="str">
        <f t="shared" si="445"/>
        <v>!!!</v>
      </c>
      <c r="G391" s="4" t="str">
        <f t="shared" si="505"/>
        <v>+</v>
      </c>
      <c r="H391" s="4"/>
      <c r="I391" s="4" t="str">
        <f t="shared" si="446"/>
        <v>!!!</v>
      </c>
      <c r="J391" s="4" t="e">
        <f t="shared" si="447"/>
        <v>#VALUE!</v>
      </c>
      <c r="K391" s="4" t="e">
        <f t="shared" si="448"/>
        <v>#VALUE!</v>
      </c>
      <c r="L391" s="4" t="e">
        <f t="shared" si="449"/>
        <v>#VALUE!</v>
      </c>
      <c r="M391" s="4">
        <f t="shared" si="506"/>
        <v>1000</v>
      </c>
      <c r="N391" s="4">
        <f t="shared" ref="N391:O391" si="514">MIN(IFERROR(FIND(" ",$C391,M391+1),1000))</f>
        <v>1000</v>
      </c>
      <c r="O391" s="4">
        <f t="shared" si="514"/>
        <v>1000</v>
      </c>
      <c r="P391" s="4">
        <f t="shared" si="508"/>
        <v>0</v>
      </c>
      <c r="Q391" s="4" t="str">
        <f t="shared" si="455"/>
        <v/>
      </c>
      <c r="R391" s="4" t="str">
        <f t="shared" si="471"/>
        <v/>
      </c>
      <c r="S391" s="4" t="str">
        <f t="shared" si="461"/>
        <v/>
      </c>
      <c r="T391" s="4" t="e">
        <f t="shared" si="509"/>
        <v>#VALUE!</v>
      </c>
      <c r="U391" s="4" t="e">
        <f t="shared" si="510"/>
        <v>#VALUE!</v>
      </c>
      <c r="V391" s="4" t="b">
        <f t="shared" si="501"/>
        <v>0</v>
      </c>
      <c r="W391" s="13" t="str">
        <f t="shared" si="502"/>
        <v>Да</v>
      </c>
      <c r="X391" s="4" t="e">
        <f>(IF(COUNTIFS($G$2:G391,"+",$W$2:W391,"Да")&gt;1,"&amp; ","")&amp;D391&amp;J391&amp;E391&amp;SUBSTITUTE(L391,"""",""))</f>
        <v>#VALUE!</v>
      </c>
      <c r="Y391" s="4" t="e">
        <f t="shared" si="458"/>
        <v>#VALUE!</v>
      </c>
    </row>
    <row r="392" spans="1:25" x14ac:dyDescent="0.3">
      <c r="A392" s="11"/>
      <c r="B392" s="5" t="str">
        <f t="shared" si="503"/>
        <v/>
      </c>
      <c r="C392" s="5" t="str">
        <f t="shared" si="504"/>
        <v/>
      </c>
      <c r="D392" s="4" t="s">
        <v>10</v>
      </c>
      <c r="E392" s="4" t="s">
        <v>11</v>
      </c>
      <c r="F392" s="4" t="str">
        <f t="shared" si="445"/>
        <v>!!!</v>
      </c>
      <c r="G392" s="4" t="str">
        <f t="shared" si="505"/>
        <v>+</v>
      </c>
      <c r="H392" s="4"/>
      <c r="I392" s="4" t="str">
        <f t="shared" si="446"/>
        <v>!!!</v>
      </c>
      <c r="J392" s="4" t="e">
        <f t="shared" si="447"/>
        <v>#VALUE!</v>
      </c>
      <c r="K392" s="4" t="e">
        <f t="shared" si="448"/>
        <v>#VALUE!</v>
      </c>
      <c r="L392" s="4" t="e">
        <f t="shared" si="449"/>
        <v>#VALUE!</v>
      </c>
      <c r="M392" s="4">
        <f t="shared" si="506"/>
        <v>1000</v>
      </c>
      <c r="N392" s="4">
        <f t="shared" ref="N392:O392" si="515">MIN(IFERROR(FIND(" ",$C392,M392+1),1000))</f>
        <v>1000</v>
      </c>
      <c r="O392" s="4">
        <f t="shared" si="515"/>
        <v>1000</v>
      </c>
      <c r="P392" s="4">
        <f t="shared" si="508"/>
        <v>0</v>
      </c>
      <c r="Q392" s="4" t="str">
        <f t="shared" si="455"/>
        <v/>
      </c>
      <c r="R392" s="4" t="str">
        <f t="shared" si="471"/>
        <v/>
      </c>
      <c r="S392" s="4" t="str">
        <f t="shared" si="461"/>
        <v/>
      </c>
      <c r="T392" s="4" t="e">
        <f t="shared" si="509"/>
        <v>#VALUE!</v>
      </c>
      <c r="U392" s="4" t="e">
        <f t="shared" si="510"/>
        <v>#VALUE!</v>
      </c>
      <c r="V392" s="4" t="b">
        <f t="shared" si="501"/>
        <v>0</v>
      </c>
      <c r="W392" s="13" t="str">
        <f t="shared" si="502"/>
        <v>Да</v>
      </c>
      <c r="X392" s="4" t="e">
        <f>(IF(COUNTIFS($G$2:G392,"+",$W$2:W392,"Да")&gt;1,"&amp; ","")&amp;D392&amp;J392&amp;E392&amp;SUBSTITUTE(L392,"""",""))</f>
        <v>#VALUE!</v>
      </c>
      <c r="Y392" s="4" t="e">
        <f t="shared" si="458"/>
        <v>#VALUE!</v>
      </c>
    </row>
    <row r="393" spans="1:25" x14ac:dyDescent="0.3">
      <c r="A393" s="11"/>
      <c r="B393" s="5" t="str">
        <f t="shared" si="503"/>
        <v/>
      </c>
      <c r="C393" s="5" t="str">
        <f t="shared" si="504"/>
        <v/>
      </c>
      <c r="D393" s="4" t="s">
        <v>10</v>
      </c>
      <c r="E393" s="4" t="s">
        <v>11</v>
      </c>
      <c r="F393" s="4" t="str">
        <f t="shared" si="445"/>
        <v>!!!</v>
      </c>
      <c r="G393" s="4" t="str">
        <f t="shared" si="505"/>
        <v>+</v>
      </c>
      <c r="H393" s="4"/>
      <c r="I393" s="4" t="str">
        <f t="shared" si="446"/>
        <v>!!!</v>
      </c>
      <c r="J393" s="4" t="e">
        <f t="shared" si="447"/>
        <v>#VALUE!</v>
      </c>
      <c r="K393" s="4" t="e">
        <f t="shared" si="448"/>
        <v>#VALUE!</v>
      </c>
      <c r="L393" s="4" t="e">
        <f t="shared" si="449"/>
        <v>#VALUE!</v>
      </c>
      <c r="M393" s="4">
        <f t="shared" si="506"/>
        <v>1000</v>
      </c>
      <c r="N393" s="4">
        <f t="shared" ref="N393:O393" si="516">MIN(IFERROR(FIND(" ",$C393,M393+1),1000))</f>
        <v>1000</v>
      </c>
      <c r="O393" s="4">
        <f t="shared" si="516"/>
        <v>1000</v>
      </c>
      <c r="P393" s="4">
        <f t="shared" si="508"/>
        <v>0</v>
      </c>
      <c r="Q393" s="4" t="str">
        <f t="shared" si="455"/>
        <v/>
      </c>
      <c r="R393" s="4" t="str">
        <f t="shared" si="471"/>
        <v/>
      </c>
      <c r="S393" s="4" t="str">
        <f t="shared" si="461"/>
        <v/>
      </c>
      <c r="T393" s="4" t="e">
        <f t="shared" si="509"/>
        <v>#VALUE!</v>
      </c>
      <c r="U393" s="4" t="e">
        <f t="shared" si="510"/>
        <v>#VALUE!</v>
      </c>
      <c r="V393" s="4" t="b">
        <f t="shared" si="501"/>
        <v>0</v>
      </c>
      <c r="W393" s="13" t="str">
        <f t="shared" si="502"/>
        <v>Да</v>
      </c>
      <c r="X393" s="4" t="e">
        <f>(IF(COUNTIFS($G$2:G393,"+",$W$2:W393,"Да")&gt;1,"&amp; ","")&amp;D393&amp;J393&amp;E393&amp;SUBSTITUTE(L393,"""",""))</f>
        <v>#VALUE!</v>
      </c>
      <c r="Y393" s="4" t="e">
        <f t="shared" si="458"/>
        <v>#VALUE!</v>
      </c>
    </row>
    <row r="394" spans="1:25" x14ac:dyDescent="0.3">
      <c r="A394" s="11"/>
      <c r="B394" s="5" t="str">
        <f t="shared" si="503"/>
        <v/>
      </c>
      <c r="C394" s="5" t="str">
        <f t="shared" si="504"/>
        <v/>
      </c>
      <c r="D394" s="4" t="s">
        <v>10</v>
      </c>
      <c r="E394" s="4" t="s">
        <v>11</v>
      </c>
      <c r="F394" s="4" t="str">
        <f t="shared" si="445"/>
        <v>!!!</v>
      </c>
      <c r="G394" s="4" t="str">
        <f t="shared" si="505"/>
        <v>+</v>
      </c>
      <c r="H394" s="4"/>
      <c r="I394" s="4" t="str">
        <f t="shared" si="446"/>
        <v>!!!</v>
      </c>
      <c r="J394" s="4" t="e">
        <f t="shared" si="447"/>
        <v>#VALUE!</v>
      </c>
      <c r="K394" s="4" t="e">
        <f t="shared" si="448"/>
        <v>#VALUE!</v>
      </c>
      <c r="L394" s="4" t="e">
        <f t="shared" si="449"/>
        <v>#VALUE!</v>
      </c>
      <c r="M394" s="4">
        <f t="shared" si="506"/>
        <v>1000</v>
      </c>
      <c r="N394" s="4">
        <f t="shared" ref="N394:O394" si="517">MIN(IFERROR(FIND(" ",$C394,M394+1),1000))</f>
        <v>1000</v>
      </c>
      <c r="O394" s="4">
        <f t="shared" si="517"/>
        <v>1000</v>
      </c>
      <c r="P394" s="4">
        <f t="shared" si="508"/>
        <v>0</v>
      </c>
      <c r="Q394" s="4" t="str">
        <f t="shared" si="455"/>
        <v/>
      </c>
      <c r="R394" s="4" t="str">
        <f t="shared" si="471"/>
        <v/>
      </c>
      <c r="S394" s="4" t="str">
        <f t="shared" si="461"/>
        <v/>
      </c>
      <c r="T394" s="4" t="e">
        <f t="shared" si="509"/>
        <v>#VALUE!</v>
      </c>
      <c r="U394" s="4" t="e">
        <f t="shared" si="510"/>
        <v>#VALUE!</v>
      </c>
      <c r="V394" s="4" t="b">
        <f t="shared" si="501"/>
        <v>0</v>
      </c>
      <c r="W394" s="13" t="str">
        <f t="shared" si="502"/>
        <v>Да</v>
      </c>
      <c r="X394" s="4" t="e">
        <f>(IF(COUNTIFS($G$2:G394,"+",$W$2:W394,"Да")&gt;1,"&amp; ","")&amp;D394&amp;J394&amp;E394&amp;SUBSTITUTE(L394,"""",""))</f>
        <v>#VALUE!</v>
      </c>
      <c r="Y394" s="4" t="e">
        <f t="shared" si="458"/>
        <v>#VALUE!</v>
      </c>
    </row>
    <row r="395" spans="1:25" x14ac:dyDescent="0.3">
      <c r="A395" s="11"/>
      <c r="B395" s="5" t="str">
        <f t="shared" si="503"/>
        <v/>
      </c>
      <c r="C395" s="5" t="str">
        <f t="shared" si="504"/>
        <v/>
      </c>
      <c r="D395" s="4" t="s">
        <v>10</v>
      </c>
      <c r="E395" s="4" t="s">
        <v>11</v>
      </c>
      <c r="F395" s="4" t="str">
        <f t="shared" si="445"/>
        <v>!!!</v>
      </c>
      <c r="G395" s="4" t="str">
        <f t="shared" si="505"/>
        <v>+</v>
      </c>
      <c r="H395" s="4"/>
      <c r="I395" s="4" t="str">
        <f t="shared" si="446"/>
        <v>!!!</v>
      </c>
      <c r="J395" s="4" t="e">
        <f t="shared" si="447"/>
        <v>#VALUE!</v>
      </c>
      <c r="K395" s="4" t="e">
        <f t="shared" si="448"/>
        <v>#VALUE!</v>
      </c>
      <c r="L395" s="4" t="e">
        <f t="shared" si="449"/>
        <v>#VALUE!</v>
      </c>
      <c r="M395" s="4">
        <f t="shared" si="506"/>
        <v>1000</v>
      </c>
      <c r="N395" s="4">
        <f t="shared" ref="N395:O395" si="518">MIN(IFERROR(FIND(" ",$C395,M395+1),1000))</f>
        <v>1000</v>
      </c>
      <c r="O395" s="4">
        <f t="shared" si="518"/>
        <v>1000</v>
      </c>
      <c r="P395" s="4">
        <f t="shared" si="508"/>
        <v>0</v>
      </c>
      <c r="Q395" s="4" t="str">
        <f t="shared" si="455"/>
        <v/>
      </c>
      <c r="R395" s="4" t="str">
        <f t="shared" si="471"/>
        <v/>
      </c>
      <c r="S395" s="4" t="str">
        <f t="shared" si="461"/>
        <v/>
      </c>
      <c r="T395" s="4" t="e">
        <f t="shared" si="509"/>
        <v>#VALUE!</v>
      </c>
      <c r="U395" s="4" t="e">
        <f t="shared" si="510"/>
        <v>#VALUE!</v>
      </c>
      <c r="V395" s="4" t="b">
        <f t="shared" si="501"/>
        <v>0</v>
      </c>
      <c r="W395" s="13" t="str">
        <f t="shared" si="502"/>
        <v>Да</v>
      </c>
      <c r="X395" s="4" t="e">
        <f>(IF(COUNTIFS($G$2:G395,"+",$W$2:W395,"Да")&gt;1,"&amp; ","")&amp;D395&amp;J395&amp;E395&amp;SUBSTITUTE(L395,"""",""))</f>
        <v>#VALUE!</v>
      </c>
      <c r="Y395" s="4" t="e">
        <f t="shared" si="458"/>
        <v>#VALUE!</v>
      </c>
    </row>
    <row r="396" spans="1:25" x14ac:dyDescent="0.3">
      <c r="A396" s="11"/>
      <c r="B396" s="5" t="str">
        <f t="shared" si="503"/>
        <v/>
      </c>
      <c r="C396" s="5" t="str">
        <f t="shared" si="504"/>
        <v/>
      </c>
      <c r="D396" s="4" t="s">
        <v>10</v>
      </c>
      <c r="E396" s="4" t="s">
        <v>11</v>
      </c>
      <c r="F396" s="4" t="str">
        <f t="shared" si="445"/>
        <v>!!!</v>
      </c>
      <c r="G396" s="4" t="str">
        <f t="shared" si="505"/>
        <v>+</v>
      </c>
      <c r="H396" s="4"/>
      <c r="I396" s="4" t="str">
        <f t="shared" si="446"/>
        <v>!!!</v>
      </c>
      <c r="J396" s="4" t="e">
        <f t="shared" si="447"/>
        <v>#VALUE!</v>
      </c>
      <c r="K396" s="4" t="e">
        <f t="shared" si="448"/>
        <v>#VALUE!</v>
      </c>
      <c r="L396" s="4" t="e">
        <f t="shared" si="449"/>
        <v>#VALUE!</v>
      </c>
      <c r="M396" s="4">
        <f t="shared" si="506"/>
        <v>1000</v>
      </c>
      <c r="N396" s="4">
        <f t="shared" ref="N396:O396" si="519">MIN(IFERROR(FIND(" ",$C396,M396+1),1000))</f>
        <v>1000</v>
      </c>
      <c r="O396" s="4">
        <f t="shared" si="519"/>
        <v>1000</v>
      </c>
      <c r="P396" s="4">
        <f t="shared" si="508"/>
        <v>0</v>
      </c>
      <c r="Q396" s="4" t="str">
        <f t="shared" si="455"/>
        <v/>
      </c>
      <c r="R396" s="4" t="str">
        <f t="shared" si="471"/>
        <v/>
      </c>
      <c r="S396" s="4" t="str">
        <f t="shared" si="461"/>
        <v/>
      </c>
      <c r="T396" s="4" t="e">
        <f t="shared" si="509"/>
        <v>#VALUE!</v>
      </c>
      <c r="U396" s="4" t="e">
        <f t="shared" si="510"/>
        <v>#VALUE!</v>
      </c>
      <c r="V396" s="4" t="b">
        <f t="shared" si="501"/>
        <v>0</v>
      </c>
      <c r="W396" s="13" t="str">
        <f t="shared" si="502"/>
        <v>Да</v>
      </c>
      <c r="X396" s="4" t="e">
        <f>(IF(COUNTIFS($G$2:G396,"+",$W$2:W396,"Да")&gt;1,"&amp; ","")&amp;D396&amp;J396&amp;E396&amp;SUBSTITUTE(L396,"""",""))</f>
        <v>#VALUE!</v>
      </c>
      <c r="Y396" s="4" t="e">
        <f t="shared" si="458"/>
        <v>#VALUE!</v>
      </c>
    </row>
    <row r="397" spans="1:25" x14ac:dyDescent="0.3">
      <c r="A397" s="11"/>
      <c r="B397" s="5" t="str">
        <f t="shared" si="503"/>
        <v/>
      </c>
      <c r="C397" s="5" t="str">
        <f t="shared" si="504"/>
        <v/>
      </c>
      <c r="D397" s="4" t="s">
        <v>10</v>
      </c>
      <c r="E397" s="4" t="s">
        <v>11</v>
      </c>
      <c r="F397" s="4" t="str">
        <f t="shared" si="445"/>
        <v>!!!</v>
      </c>
      <c r="G397" s="4" t="str">
        <f t="shared" si="505"/>
        <v>+</v>
      </c>
      <c r="H397" s="4"/>
      <c r="I397" s="4" t="str">
        <f t="shared" si="446"/>
        <v>!!!</v>
      </c>
      <c r="J397" s="4" t="e">
        <f t="shared" si="447"/>
        <v>#VALUE!</v>
      </c>
      <c r="K397" s="4" t="e">
        <f t="shared" si="448"/>
        <v>#VALUE!</v>
      </c>
      <c r="L397" s="4" t="e">
        <f t="shared" si="449"/>
        <v>#VALUE!</v>
      </c>
      <c r="M397" s="4">
        <f t="shared" si="506"/>
        <v>1000</v>
      </c>
      <c r="N397" s="4">
        <f t="shared" ref="N397:O397" si="520">MIN(IFERROR(FIND(" ",$C397,M397+1),1000))</f>
        <v>1000</v>
      </c>
      <c r="O397" s="4">
        <f t="shared" si="520"/>
        <v>1000</v>
      </c>
      <c r="P397" s="4">
        <f t="shared" si="508"/>
        <v>0</v>
      </c>
      <c r="Q397" s="4" t="str">
        <f t="shared" si="455"/>
        <v/>
      </c>
      <c r="R397" s="4" t="str">
        <f t="shared" si="471"/>
        <v/>
      </c>
      <c r="S397" s="4" t="str">
        <f t="shared" si="461"/>
        <v/>
      </c>
      <c r="T397" s="4" t="e">
        <f t="shared" si="509"/>
        <v>#VALUE!</v>
      </c>
      <c r="U397" s="4" t="e">
        <f t="shared" si="510"/>
        <v>#VALUE!</v>
      </c>
      <c r="V397" s="4" t="b">
        <f t="shared" si="501"/>
        <v>0</v>
      </c>
      <c r="W397" s="13" t="str">
        <f t="shared" si="502"/>
        <v>Да</v>
      </c>
      <c r="X397" s="4" t="e">
        <f>(IF(COUNTIFS($G$2:G397,"+",$W$2:W397,"Да")&gt;1,"&amp; ","")&amp;D397&amp;J397&amp;E397&amp;SUBSTITUTE(L397,"""",""))</f>
        <v>#VALUE!</v>
      </c>
      <c r="Y397" s="4" t="e">
        <f t="shared" si="458"/>
        <v>#VALUE!</v>
      </c>
    </row>
    <row r="398" spans="1:25" x14ac:dyDescent="0.3">
      <c r="A398" s="11"/>
      <c r="B398" s="5" t="str">
        <f t="shared" si="503"/>
        <v/>
      </c>
      <c r="C398" s="5" t="str">
        <f t="shared" si="504"/>
        <v/>
      </c>
      <c r="D398" s="4" t="s">
        <v>10</v>
      </c>
      <c r="E398" s="4" t="s">
        <v>11</v>
      </c>
      <c r="F398" s="4" t="str">
        <f t="shared" si="445"/>
        <v>!!!</v>
      </c>
      <c r="G398" s="4" t="str">
        <f t="shared" si="505"/>
        <v>+</v>
      </c>
      <c r="H398" s="4"/>
      <c r="I398" s="4" t="str">
        <f t="shared" si="446"/>
        <v>!!!</v>
      </c>
      <c r="J398" s="4" t="e">
        <f t="shared" si="447"/>
        <v>#VALUE!</v>
      </c>
      <c r="K398" s="4" t="e">
        <f t="shared" si="448"/>
        <v>#VALUE!</v>
      </c>
      <c r="L398" s="4" t="e">
        <f t="shared" si="449"/>
        <v>#VALUE!</v>
      </c>
      <c r="M398" s="4">
        <f t="shared" si="506"/>
        <v>1000</v>
      </c>
      <c r="N398" s="4">
        <f t="shared" ref="N398:O398" si="521">MIN(IFERROR(FIND(" ",$C398,M398+1),1000))</f>
        <v>1000</v>
      </c>
      <c r="O398" s="4">
        <f t="shared" si="521"/>
        <v>1000</v>
      </c>
      <c r="P398" s="4">
        <f t="shared" si="508"/>
        <v>0</v>
      </c>
      <c r="Q398" s="4" t="str">
        <f t="shared" si="455"/>
        <v/>
      </c>
      <c r="R398" s="4" t="str">
        <f t="shared" si="471"/>
        <v/>
      </c>
      <c r="S398" s="4" t="str">
        <f t="shared" si="461"/>
        <v/>
      </c>
      <c r="T398" s="4" t="e">
        <f t="shared" si="509"/>
        <v>#VALUE!</v>
      </c>
      <c r="U398" s="4" t="e">
        <f t="shared" si="510"/>
        <v>#VALUE!</v>
      </c>
      <c r="V398" s="4" t="b">
        <f t="shared" si="501"/>
        <v>0</v>
      </c>
      <c r="W398" s="13" t="str">
        <f t="shared" si="502"/>
        <v>Да</v>
      </c>
      <c r="X398" s="4" t="e">
        <f>(IF(COUNTIFS($G$2:G398,"+",$W$2:W398,"Да")&gt;1,"&amp; ","")&amp;D398&amp;J398&amp;E398&amp;SUBSTITUTE(L398,"""",""))</f>
        <v>#VALUE!</v>
      </c>
      <c r="Y398" s="4" t="e">
        <f t="shared" si="458"/>
        <v>#VALUE!</v>
      </c>
    </row>
    <row r="399" spans="1:25" x14ac:dyDescent="0.3">
      <c r="A399" s="11"/>
      <c r="B399" s="5" t="str">
        <f t="shared" si="503"/>
        <v/>
      </c>
      <c r="C399" s="5" t="str">
        <f t="shared" si="504"/>
        <v/>
      </c>
      <c r="D399" s="4" t="s">
        <v>10</v>
      </c>
      <c r="E399" s="4" t="s">
        <v>11</v>
      </c>
      <c r="F399" s="4" t="str">
        <f t="shared" si="445"/>
        <v>!!!</v>
      </c>
      <c r="G399" s="4" t="str">
        <f t="shared" si="505"/>
        <v>+</v>
      </c>
      <c r="H399" s="4"/>
      <c r="I399" s="4" t="str">
        <f t="shared" si="446"/>
        <v>!!!</v>
      </c>
      <c r="J399" s="4" t="e">
        <f t="shared" si="447"/>
        <v>#VALUE!</v>
      </c>
      <c r="K399" s="4" t="e">
        <f t="shared" si="448"/>
        <v>#VALUE!</v>
      </c>
      <c r="L399" s="4" t="e">
        <f t="shared" si="449"/>
        <v>#VALUE!</v>
      </c>
      <c r="M399" s="4">
        <f t="shared" si="506"/>
        <v>1000</v>
      </c>
      <c r="N399" s="4">
        <f t="shared" ref="N399:O399" si="522">MIN(IFERROR(FIND(" ",$C399,M399+1),1000))</f>
        <v>1000</v>
      </c>
      <c r="O399" s="4">
        <f t="shared" si="522"/>
        <v>1000</v>
      </c>
      <c r="P399" s="4">
        <f t="shared" si="508"/>
        <v>0</v>
      </c>
      <c r="Q399" s="4" t="str">
        <f t="shared" si="455"/>
        <v/>
      </c>
      <c r="R399" s="4" t="str">
        <f t="shared" si="471"/>
        <v/>
      </c>
      <c r="S399" s="4" t="str">
        <f t="shared" si="461"/>
        <v/>
      </c>
      <c r="T399" s="4" t="e">
        <f t="shared" si="509"/>
        <v>#VALUE!</v>
      </c>
      <c r="U399" s="4" t="e">
        <f t="shared" si="510"/>
        <v>#VALUE!</v>
      </c>
      <c r="V399" s="4" t="b">
        <f t="shared" si="501"/>
        <v>0</v>
      </c>
      <c r="W399" s="13" t="str">
        <f t="shared" si="502"/>
        <v>Да</v>
      </c>
      <c r="X399" s="4" t="e">
        <f>(IF(COUNTIFS($G$2:G399,"+",$W$2:W399,"Да")&gt;1,"&amp; ","")&amp;D399&amp;J399&amp;E399&amp;SUBSTITUTE(L399,"""",""))</f>
        <v>#VALUE!</v>
      </c>
      <c r="Y399" s="4" t="e">
        <f t="shared" si="458"/>
        <v>#VALUE!</v>
      </c>
    </row>
    <row r="400" spans="1:25" x14ac:dyDescent="0.3">
      <c r="A400" s="11"/>
      <c r="B400" s="5" t="str">
        <f t="shared" si="503"/>
        <v/>
      </c>
      <c r="C400" s="5" t="str">
        <f t="shared" si="504"/>
        <v/>
      </c>
      <c r="D400" s="4" t="s">
        <v>10</v>
      </c>
      <c r="E400" s="4" t="s">
        <v>11</v>
      </c>
      <c r="F400" s="4" t="str">
        <f t="shared" si="445"/>
        <v>!!!</v>
      </c>
      <c r="G400" s="4" t="str">
        <f t="shared" si="505"/>
        <v>+</v>
      </c>
      <c r="H400" s="4"/>
      <c r="I400" s="4" t="str">
        <f t="shared" si="446"/>
        <v>!!!</v>
      </c>
      <c r="J400" s="4" t="e">
        <f t="shared" si="447"/>
        <v>#VALUE!</v>
      </c>
      <c r="K400" s="4" t="e">
        <f t="shared" si="448"/>
        <v>#VALUE!</v>
      </c>
      <c r="L400" s="4" t="e">
        <f t="shared" si="449"/>
        <v>#VALUE!</v>
      </c>
      <c r="M400" s="4">
        <f t="shared" si="506"/>
        <v>1000</v>
      </c>
      <c r="N400" s="4">
        <f t="shared" ref="N400:O400" si="523">MIN(IFERROR(FIND(" ",$C400,M400+1),1000))</f>
        <v>1000</v>
      </c>
      <c r="O400" s="4">
        <f t="shared" si="523"/>
        <v>1000</v>
      </c>
      <c r="P400" s="4">
        <f t="shared" si="508"/>
        <v>0</v>
      </c>
      <c r="Q400" s="4" t="str">
        <f t="shared" si="455"/>
        <v/>
      </c>
      <c r="R400" s="4" t="str">
        <f t="shared" si="471"/>
        <v/>
      </c>
      <c r="S400" s="4" t="str">
        <f t="shared" si="461"/>
        <v/>
      </c>
      <c r="T400" s="4" t="e">
        <f t="shared" si="509"/>
        <v>#VALUE!</v>
      </c>
      <c r="U400" s="4" t="e">
        <f t="shared" si="510"/>
        <v>#VALUE!</v>
      </c>
      <c r="V400" s="4" t="b">
        <f t="shared" si="501"/>
        <v>0</v>
      </c>
      <c r="W400" s="13" t="str">
        <f t="shared" si="502"/>
        <v>Да</v>
      </c>
      <c r="X400" s="4" t="e">
        <f>(IF(COUNTIFS($G$2:G400,"+",$W$2:W400,"Да")&gt;1,"&amp; ","")&amp;D400&amp;J400&amp;E400&amp;SUBSTITUTE(L400,"""",""))</f>
        <v>#VALUE!</v>
      </c>
      <c r="Y400" s="4" t="e">
        <f t="shared" si="458"/>
        <v>#VALUE!</v>
      </c>
    </row>
    <row r="401" spans="1:25" x14ac:dyDescent="0.3">
      <c r="A401" s="11"/>
      <c r="B401" s="5" t="str">
        <f t="shared" si="503"/>
        <v/>
      </c>
      <c r="C401" s="5" t="str">
        <f t="shared" si="504"/>
        <v/>
      </c>
      <c r="D401" s="4" t="s">
        <v>10</v>
      </c>
      <c r="E401" s="4" t="s">
        <v>11</v>
      </c>
      <c r="F401" s="4" t="str">
        <f t="shared" si="445"/>
        <v>!!!</v>
      </c>
      <c r="G401" s="4" t="str">
        <f t="shared" si="505"/>
        <v>+</v>
      </c>
      <c r="H401" s="4"/>
      <c r="I401" s="4" t="str">
        <f t="shared" si="446"/>
        <v>!!!</v>
      </c>
      <c r="J401" s="4" t="e">
        <f t="shared" si="447"/>
        <v>#VALUE!</v>
      </c>
      <c r="K401" s="4" t="e">
        <f t="shared" si="448"/>
        <v>#VALUE!</v>
      </c>
      <c r="L401" s="4" t="e">
        <f t="shared" si="449"/>
        <v>#VALUE!</v>
      </c>
      <c r="M401" s="4">
        <f t="shared" si="506"/>
        <v>1000</v>
      </c>
      <c r="N401" s="4">
        <f t="shared" ref="N401:O401" si="524">MIN(IFERROR(FIND(" ",$C401,M401+1),1000))</f>
        <v>1000</v>
      </c>
      <c r="O401" s="4">
        <f t="shared" si="524"/>
        <v>1000</v>
      </c>
      <c r="P401" s="4">
        <f t="shared" si="508"/>
        <v>0</v>
      </c>
      <c r="Q401" s="4" t="str">
        <f t="shared" si="455"/>
        <v/>
      </c>
      <c r="R401" s="4" t="str">
        <f t="shared" si="471"/>
        <v/>
      </c>
      <c r="S401" s="4" t="str">
        <f t="shared" si="461"/>
        <v/>
      </c>
      <c r="T401" s="4" t="e">
        <f t="shared" si="509"/>
        <v>#VALUE!</v>
      </c>
      <c r="U401" s="4" t="e">
        <f t="shared" si="510"/>
        <v>#VALUE!</v>
      </c>
      <c r="V401" s="4" t="b">
        <f t="shared" si="501"/>
        <v>0</v>
      </c>
      <c r="W401" s="13" t="str">
        <f t="shared" si="502"/>
        <v>Да</v>
      </c>
      <c r="X401" s="4" t="e">
        <f>(IF(COUNTIFS($G$2:G401,"+",$W$2:W401,"Да")&gt;1,"&amp; ","")&amp;D401&amp;J401&amp;E401&amp;SUBSTITUTE(L401,"""",""))</f>
        <v>#VALUE!</v>
      </c>
      <c r="Y401" s="4" t="e">
        <f t="shared" si="458"/>
        <v>#VALUE!</v>
      </c>
    </row>
    <row r="402" spans="1:25" x14ac:dyDescent="0.3">
      <c r="A402" s="11"/>
      <c r="B402" s="5" t="str">
        <f t="shared" si="503"/>
        <v/>
      </c>
      <c r="C402" s="5" t="str">
        <f t="shared" si="504"/>
        <v/>
      </c>
      <c r="D402" s="4" t="s">
        <v>10</v>
      </c>
      <c r="E402" s="4" t="s">
        <v>11</v>
      </c>
      <c r="F402" s="4" t="str">
        <f t="shared" si="445"/>
        <v>!!!</v>
      </c>
      <c r="G402" s="4" t="str">
        <f t="shared" si="505"/>
        <v>+</v>
      </c>
      <c r="H402" s="4"/>
      <c r="I402" s="4" t="str">
        <f t="shared" si="446"/>
        <v>!!!</v>
      </c>
      <c r="J402" s="4" t="e">
        <f t="shared" si="447"/>
        <v>#VALUE!</v>
      </c>
      <c r="K402" s="4" t="e">
        <f t="shared" si="448"/>
        <v>#VALUE!</v>
      </c>
      <c r="L402" s="4" t="e">
        <f t="shared" si="449"/>
        <v>#VALUE!</v>
      </c>
      <c r="M402" s="4">
        <f t="shared" si="506"/>
        <v>1000</v>
      </c>
      <c r="N402" s="4">
        <f t="shared" ref="N402:O402" si="525">MIN(IFERROR(FIND(" ",$C402,M402+1),1000))</f>
        <v>1000</v>
      </c>
      <c r="O402" s="4">
        <f t="shared" si="525"/>
        <v>1000</v>
      </c>
      <c r="P402" s="4">
        <f t="shared" si="508"/>
        <v>0</v>
      </c>
      <c r="Q402" s="4" t="str">
        <f t="shared" si="455"/>
        <v/>
      </c>
      <c r="R402" s="4" t="str">
        <f t="shared" si="471"/>
        <v/>
      </c>
      <c r="S402" s="4" t="str">
        <f t="shared" si="461"/>
        <v/>
      </c>
      <c r="T402" s="4" t="e">
        <f t="shared" si="509"/>
        <v>#VALUE!</v>
      </c>
      <c r="U402" s="4" t="e">
        <f t="shared" si="510"/>
        <v>#VALUE!</v>
      </c>
      <c r="V402" s="4" t="b">
        <f t="shared" si="501"/>
        <v>0</v>
      </c>
      <c r="W402" s="13" t="str">
        <f t="shared" si="502"/>
        <v>Да</v>
      </c>
      <c r="X402" s="4" t="e">
        <f>(IF(COUNTIFS($G$2:G402,"+",$W$2:W402,"Да")&gt;1,"&amp; ","")&amp;D402&amp;J402&amp;E402&amp;SUBSTITUTE(L402,"""",""))</f>
        <v>#VALUE!</v>
      </c>
      <c r="Y402" s="4" t="e">
        <f t="shared" si="458"/>
        <v>#VALUE!</v>
      </c>
    </row>
    <row r="403" spans="1:25" x14ac:dyDescent="0.3">
      <c r="A403" s="11"/>
      <c r="B403" s="5" t="str">
        <f t="shared" si="503"/>
        <v/>
      </c>
      <c r="C403" s="5" t="str">
        <f t="shared" si="504"/>
        <v/>
      </c>
      <c r="D403" s="4" t="s">
        <v>10</v>
      </c>
      <c r="E403" s="4" t="s">
        <v>11</v>
      </c>
      <c r="F403" s="4" t="str">
        <f t="shared" si="445"/>
        <v>!!!</v>
      </c>
      <c r="G403" s="4" t="str">
        <f t="shared" si="505"/>
        <v>+</v>
      </c>
      <c r="H403" s="4"/>
      <c r="I403" s="4" t="str">
        <f t="shared" si="446"/>
        <v>!!!</v>
      </c>
      <c r="J403" s="4" t="e">
        <f t="shared" si="447"/>
        <v>#VALUE!</v>
      </c>
      <c r="K403" s="4" t="e">
        <f t="shared" si="448"/>
        <v>#VALUE!</v>
      </c>
      <c r="L403" s="4" t="e">
        <f t="shared" si="449"/>
        <v>#VALUE!</v>
      </c>
      <c r="M403" s="4">
        <f t="shared" si="506"/>
        <v>1000</v>
      </c>
      <c r="N403" s="4">
        <f t="shared" ref="N403:O403" si="526">MIN(IFERROR(FIND(" ",$C403,M403+1),1000))</f>
        <v>1000</v>
      </c>
      <c r="O403" s="4">
        <f t="shared" si="526"/>
        <v>1000</v>
      </c>
      <c r="P403" s="4">
        <f t="shared" si="508"/>
        <v>0</v>
      </c>
      <c r="Q403" s="4" t="str">
        <f t="shared" si="455"/>
        <v/>
      </c>
      <c r="R403" s="4" t="str">
        <f t="shared" si="471"/>
        <v/>
      </c>
      <c r="S403" s="4" t="str">
        <f t="shared" si="461"/>
        <v/>
      </c>
      <c r="T403" s="4" t="e">
        <f t="shared" si="509"/>
        <v>#VALUE!</v>
      </c>
      <c r="U403" s="4" t="e">
        <f t="shared" si="510"/>
        <v>#VALUE!</v>
      </c>
      <c r="V403" s="4" t="b">
        <f t="shared" si="501"/>
        <v>0</v>
      </c>
      <c r="W403" s="13" t="str">
        <f t="shared" si="502"/>
        <v>Да</v>
      </c>
      <c r="X403" s="4" t="e">
        <f>(IF(COUNTIFS($G$2:G403,"+",$W$2:W403,"Да")&gt;1,"&amp; ","")&amp;D403&amp;J403&amp;E403&amp;SUBSTITUTE(L403,"""",""))</f>
        <v>#VALUE!</v>
      </c>
      <c r="Y403" s="4" t="e">
        <f t="shared" si="458"/>
        <v>#VALUE!</v>
      </c>
    </row>
    <row r="404" spans="1:25" x14ac:dyDescent="0.3">
      <c r="A404" s="11"/>
      <c r="B404" s="5" t="str">
        <f t="shared" si="503"/>
        <v/>
      </c>
      <c r="C404" s="5" t="str">
        <f t="shared" si="504"/>
        <v/>
      </c>
      <c r="D404" s="4" t="s">
        <v>10</v>
      </c>
      <c r="E404" s="4" t="s">
        <v>11</v>
      </c>
      <c r="F404" s="4" t="str">
        <f t="shared" ref="F404:F467" si="527">IFERROR(SEARCH(" as ",B404),"!!!")</f>
        <v>!!!</v>
      </c>
      <c r="G404" s="4" t="str">
        <f t="shared" si="505"/>
        <v>+</v>
      </c>
      <c r="H404" s="4"/>
      <c r="I404" s="4" t="str">
        <f t="shared" ref="I404:I467" si="528">IFERROR(SEARCH(" ",B404),"!!!")</f>
        <v>!!!</v>
      </c>
      <c r="J404" s="4" t="e">
        <f t="shared" ref="J404:J467" si="529">RIGHT(B404,LEN(B404)-F404-3)</f>
        <v>#VALUE!</v>
      </c>
      <c r="K404" s="4" t="e">
        <f t="shared" ref="K404:K467" si="530">MID(B404,I404+1,F404-I404)</f>
        <v>#VALUE!</v>
      </c>
      <c r="L404" s="4" t="e">
        <f t="shared" ref="L404:L467" si="531">MID(B404,I404+1,F404-I404)</f>
        <v>#VALUE!</v>
      </c>
      <c r="M404" s="4">
        <f t="shared" si="506"/>
        <v>1000</v>
      </c>
      <c r="N404" s="4">
        <f t="shared" ref="N404:O404" si="532">MIN(IFERROR(FIND(" ",$C404,M404+1),1000))</f>
        <v>1000</v>
      </c>
      <c r="O404" s="4">
        <f t="shared" si="532"/>
        <v>1000</v>
      </c>
      <c r="P404" s="4">
        <f t="shared" si="508"/>
        <v>0</v>
      </c>
      <c r="Q404" s="4" t="str">
        <f t="shared" si="455"/>
        <v/>
      </c>
      <c r="R404" s="4" t="str">
        <f t="shared" si="471"/>
        <v/>
      </c>
      <c r="S404" s="4" t="str">
        <f t="shared" si="461"/>
        <v/>
      </c>
      <c r="T404" s="4" t="e">
        <f t="shared" si="509"/>
        <v>#VALUE!</v>
      </c>
      <c r="U404" s="4" t="e">
        <f t="shared" si="510"/>
        <v>#VALUE!</v>
      </c>
      <c r="V404" s="4" t="b">
        <f t="shared" si="501"/>
        <v>0</v>
      </c>
      <c r="W404" s="13" t="str">
        <f t="shared" si="502"/>
        <v>Да</v>
      </c>
      <c r="X404" s="4" t="e">
        <f>(IF(COUNTIFS($G$2:G404,"+",$W$2:W404,"Да")&gt;1,"&amp; ","")&amp;D404&amp;J404&amp;E404&amp;SUBSTITUTE(L404,"""",""))</f>
        <v>#VALUE!</v>
      </c>
      <c r="Y404" s="4" t="e">
        <f t="shared" si="458"/>
        <v>#VALUE!</v>
      </c>
    </row>
    <row r="405" spans="1:25" x14ac:dyDescent="0.3">
      <c r="A405" s="11"/>
      <c r="B405" s="5" t="str">
        <f t="shared" si="503"/>
        <v/>
      </c>
      <c r="C405" s="5" t="str">
        <f t="shared" si="504"/>
        <v/>
      </c>
      <c r="D405" s="4" t="s">
        <v>10</v>
      </c>
      <c r="E405" s="4" t="s">
        <v>11</v>
      </c>
      <c r="F405" s="4" t="str">
        <f t="shared" si="527"/>
        <v>!!!</v>
      </c>
      <c r="G405" s="4" t="str">
        <f t="shared" si="505"/>
        <v>+</v>
      </c>
      <c r="H405" s="4"/>
      <c r="I405" s="4" t="str">
        <f t="shared" si="528"/>
        <v>!!!</v>
      </c>
      <c r="J405" s="4" t="e">
        <f t="shared" si="529"/>
        <v>#VALUE!</v>
      </c>
      <c r="K405" s="4" t="e">
        <f t="shared" si="530"/>
        <v>#VALUE!</v>
      </c>
      <c r="L405" s="4" t="e">
        <f t="shared" si="531"/>
        <v>#VALUE!</v>
      </c>
      <c r="M405" s="4">
        <f t="shared" si="506"/>
        <v>1000</v>
      </c>
      <c r="N405" s="4">
        <f t="shared" ref="N405:O405" si="533">MIN(IFERROR(FIND(" ",$C405,M405+1),1000))</f>
        <v>1000</v>
      </c>
      <c r="O405" s="4">
        <f t="shared" si="533"/>
        <v>1000</v>
      </c>
      <c r="P405" s="4">
        <f t="shared" si="508"/>
        <v>0</v>
      </c>
      <c r="Q405" s="4" t="str">
        <f t="shared" si="455"/>
        <v/>
      </c>
      <c r="R405" s="4" t="str">
        <f t="shared" si="471"/>
        <v/>
      </c>
      <c r="S405" s="4" t="str">
        <f t="shared" si="461"/>
        <v/>
      </c>
      <c r="T405" s="4" t="e">
        <f t="shared" si="509"/>
        <v>#VALUE!</v>
      </c>
      <c r="U405" s="4" t="e">
        <f t="shared" si="510"/>
        <v>#VALUE!</v>
      </c>
      <c r="V405" s="4" t="b">
        <f t="shared" si="501"/>
        <v>0</v>
      </c>
      <c r="W405" s="13" t="str">
        <f t="shared" si="502"/>
        <v>Да</v>
      </c>
      <c r="X405" s="4" t="e">
        <f>(IF(COUNTIFS($G$2:G405,"+",$W$2:W405,"Да")&gt;1,"&amp; ","")&amp;D405&amp;J405&amp;E405&amp;SUBSTITUTE(L405,"""",""))</f>
        <v>#VALUE!</v>
      </c>
      <c r="Y405" s="4" t="e">
        <f t="shared" si="458"/>
        <v>#VALUE!</v>
      </c>
    </row>
    <row r="406" spans="1:25" x14ac:dyDescent="0.3">
      <c r="A406" s="11"/>
      <c r="B406" s="5" t="str">
        <f t="shared" si="503"/>
        <v/>
      </c>
      <c r="C406" s="5" t="str">
        <f t="shared" si="504"/>
        <v/>
      </c>
      <c r="D406" s="4" t="s">
        <v>10</v>
      </c>
      <c r="E406" s="4" t="s">
        <v>11</v>
      </c>
      <c r="F406" s="4" t="str">
        <f t="shared" si="527"/>
        <v>!!!</v>
      </c>
      <c r="G406" s="4" t="str">
        <f t="shared" si="505"/>
        <v>+</v>
      </c>
      <c r="H406" s="4"/>
      <c r="I406" s="4" t="str">
        <f t="shared" si="528"/>
        <v>!!!</v>
      </c>
      <c r="J406" s="4" t="e">
        <f t="shared" si="529"/>
        <v>#VALUE!</v>
      </c>
      <c r="K406" s="4" t="e">
        <f t="shared" si="530"/>
        <v>#VALUE!</v>
      </c>
      <c r="L406" s="4" t="e">
        <f t="shared" si="531"/>
        <v>#VALUE!</v>
      </c>
      <c r="M406" s="4">
        <f t="shared" si="506"/>
        <v>1000</v>
      </c>
      <c r="N406" s="4">
        <f t="shared" ref="N406:O406" si="534">MIN(IFERROR(FIND(" ",$C406,M406+1),1000))</f>
        <v>1000</v>
      </c>
      <c r="O406" s="4">
        <f t="shared" si="534"/>
        <v>1000</v>
      </c>
      <c r="P406" s="4">
        <f t="shared" si="508"/>
        <v>0</v>
      </c>
      <c r="Q406" s="4" t="str">
        <f t="shared" si="455"/>
        <v/>
      </c>
      <c r="R406" s="4" t="str">
        <f t="shared" si="471"/>
        <v/>
      </c>
      <c r="S406" s="4" t="str">
        <f t="shared" si="461"/>
        <v/>
      </c>
      <c r="T406" s="4" t="e">
        <f t="shared" si="509"/>
        <v>#VALUE!</v>
      </c>
      <c r="U406" s="4" t="e">
        <f t="shared" si="510"/>
        <v>#VALUE!</v>
      </c>
      <c r="V406" s="4" t="b">
        <f t="shared" si="501"/>
        <v>0</v>
      </c>
      <c r="W406" s="13" t="str">
        <f t="shared" si="502"/>
        <v>Да</v>
      </c>
      <c r="X406" s="4" t="e">
        <f>(IF(COUNTIFS($G$2:G406,"+",$W$2:W406,"Да")&gt;1,"&amp; ","")&amp;D406&amp;J406&amp;E406&amp;SUBSTITUTE(L406,"""",""))</f>
        <v>#VALUE!</v>
      </c>
      <c r="Y406" s="4" t="e">
        <f t="shared" si="458"/>
        <v>#VALUE!</v>
      </c>
    </row>
    <row r="407" spans="1:25" x14ac:dyDescent="0.3">
      <c r="A407" s="11"/>
      <c r="B407" s="5" t="str">
        <f t="shared" si="503"/>
        <v/>
      </c>
      <c r="C407" s="5" t="str">
        <f t="shared" si="504"/>
        <v/>
      </c>
      <c r="D407" s="4" t="s">
        <v>10</v>
      </c>
      <c r="E407" s="4" t="s">
        <v>11</v>
      </c>
      <c r="F407" s="4" t="str">
        <f t="shared" si="527"/>
        <v>!!!</v>
      </c>
      <c r="G407" s="4" t="str">
        <f t="shared" si="505"/>
        <v>+</v>
      </c>
      <c r="H407" s="4"/>
      <c r="I407" s="4" t="str">
        <f t="shared" si="528"/>
        <v>!!!</v>
      </c>
      <c r="J407" s="4" t="e">
        <f t="shared" si="529"/>
        <v>#VALUE!</v>
      </c>
      <c r="K407" s="4" t="e">
        <f t="shared" si="530"/>
        <v>#VALUE!</v>
      </c>
      <c r="L407" s="4" t="e">
        <f t="shared" si="531"/>
        <v>#VALUE!</v>
      </c>
      <c r="M407" s="4">
        <f t="shared" si="506"/>
        <v>1000</v>
      </c>
      <c r="N407" s="4">
        <f t="shared" ref="N407:O407" si="535">MIN(IFERROR(FIND(" ",$C407,M407+1),1000))</f>
        <v>1000</v>
      </c>
      <c r="O407" s="4">
        <f t="shared" si="535"/>
        <v>1000</v>
      </c>
      <c r="P407" s="4">
        <f t="shared" si="508"/>
        <v>0</v>
      </c>
      <c r="Q407" s="4" t="str">
        <f t="shared" si="455"/>
        <v/>
      </c>
      <c r="R407" s="4" t="str">
        <f t="shared" si="471"/>
        <v/>
      </c>
      <c r="S407" s="4" t="str">
        <f t="shared" si="461"/>
        <v/>
      </c>
      <c r="T407" s="4" t="e">
        <f t="shared" si="509"/>
        <v>#VALUE!</v>
      </c>
      <c r="U407" s="4" t="e">
        <f t="shared" si="510"/>
        <v>#VALUE!</v>
      </c>
      <c r="V407" s="4" t="b">
        <f t="shared" si="501"/>
        <v>0</v>
      </c>
      <c r="W407" s="13" t="str">
        <f t="shared" si="502"/>
        <v>Да</v>
      </c>
      <c r="X407" s="4" t="e">
        <f>(IF(COUNTIFS($G$2:G407,"+",$W$2:W407,"Да")&gt;1,"&amp; ","")&amp;D407&amp;J407&amp;E407&amp;SUBSTITUTE(L407,"""",""))</f>
        <v>#VALUE!</v>
      </c>
      <c r="Y407" s="4" t="e">
        <f t="shared" si="458"/>
        <v>#VALUE!</v>
      </c>
    </row>
    <row r="408" spans="1:25" x14ac:dyDescent="0.3">
      <c r="A408" s="11"/>
      <c r="B408" s="5" t="str">
        <f t="shared" si="503"/>
        <v/>
      </c>
      <c r="C408" s="5" t="str">
        <f t="shared" si="504"/>
        <v/>
      </c>
      <c r="D408" s="4" t="s">
        <v>10</v>
      </c>
      <c r="E408" s="4" t="s">
        <v>11</v>
      </c>
      <c r="F408" s="4" t="str">
        <f t="shared" si="527"/>
        <v>!!!</v>
      </c>
      <c r="G408" s="4" t="str">
        <f t="shared" si="505"/>
        <v>+</v>
      </c>
      <c r="H408" s="4"/>
      <c r="I408" s="4" t="str">
        <f t="shared" si="528"/>
        <v>!!!</v>
      </c>
      <c r="J408" s="4" t="e">
        <f t="shared" si="529"/>
        <v>#VALUE!</v>
      </c>
      <c r="K408" s="4" t="e">
        <f t="shared" si="530"/>
        <v>#VALUE!</v>
      </c>
      <c r="L408" s="4" t="e">
        <f t="shared" si="531"/>
        <v>#VALUE!</v>
      </c>
      <c r="M408" s="4">
        <f t="shared" si="506"/>
        <v>1000</v>
      </c>
      <c r="N408" s="4">
        <f t="shared" ref="N408:O408" si="536">MIN(IFERROR(FIND(" ",$C408,M408+1),1000))</f>
        <v>1000</v>
      </c>
      <c r="O408" s="4">
        <f t="shared" si="536"/>
        <v>1000</v>
      </c>
      <c r="P408" s="4">
        <f t="shared" si="508"/>
        <v>0</v>
      </c>
      <c r="Q408" s="4" t="str">
        <f t="shared" ref="Q408:Q471" si="537">LEFT(C408,M408-1)</f>
        <v/>
      </c>
      <c r="R408" s="4" t="str">
        <f t="shared" si="471"/>
        <v/>
      </c>
      <c r="S408" s="4" t="str">
        <f t="shared" si="461"/>
        <v/>
      </c>
      <c r="T408" s="4" t="e">
        <f t="shared" si="509"/>
        <v>#VALUE!</v>
      </c>
      <c r="U408" s="4" t="e">
        <f t="shared" si="510"/>
        <v>#VALUE!</v>
      </c>
      <c r="V408" s="4" t="b">
        <f t="shared" si="501"/>
        <v>0</v>
      </c>
      <c r="W408" s="13" t="str">
        <f t="shared" si="502"/>
        <v>Да</v>
      </c>
      <c r="X408" s="4" t="e">
        <f>(IF(COUNTIFS($G$2:G408,"+",$W$2:W408,"Да")&gt;1,"&amp; ","")&amp;D408&amp;J408&amp;E408&amp;SUBSTITUTE(L408,"""",""))</f>
        <v>#VALUE!</v>
      </c>
      <c r="Y408" s="4" t="e">
        <f t="shared" si="458"/>
        <v>#VALUE!</v>
      </c>
    </row>
    <row r="409" spans="1:25" x14ac:dyDescent="0.3">
      <c r="A409" s="11"/>
      <c r="B409" s="5" t="str">
        <f t="shared" si="503"/>
        <v/>
      </c>
      <c r="C409" s="5" t="str">
        <f t="shared" si="504"/>
        <v/>
      </c>
      <c r="D409" s="4" t="s">
        <v>10</v>
      </c>
      <c r="E409" s="4" t="s">
        <v>11</v>
      </c>
      <c r="F409" s="4" t="str">
        <f t="shared" si="527"/>
        <v>!!!</v>
      </c>
      <c r="G409" s="4" t="str">
        <f t="shared" si="505"/>
        <v>+</v>
      </c>
      <c r="H409" s="4"/>
      <c r="I409" s="4" t="str">
        <f t="shared" si="528"/>
        <v>!!!</v>
      </c>
      <c r="J409" s="4" t="e">
        <f t="shared" si="529"/>
        <v>#VALUE!</v>
      </c>
      <c r="K409" s="4" t="e">
        <f t="shared" si="530"/>
        <v>#VALUE!</v>
      </c>
      <c r="L409" s="4" t="e">
        <f t="shared" si="531"/>
        <v>#VALUE!</v>
      </c>
      <c r="M409" s="4">
        <f t="shared" si="506"/>
        <v>1000</v>
      </c>
      <c r="N409" s="4">
        <f t="shared" ref="N409:O409" si="538">MIN(IFERROR(FIND(" ",$C409,M409+1),1000))</f>
        <v>1000</v>
      </c>
      <c r="O409" s="4">
        <f t="shared" si="538"/>
        <v>1000</v>
      </c>
      <c r="P409" s="4">
        <f t="shared" si="508"/>
        <v>0</v>
      </c>
      <c r="Q409" s="4" t="str">
        <f t="shared" si="537"/>
        <v/>
      </c>
      <c r="R409" s="4" t="str">
        <f t="shared" si="471"/>
        <v/>
      </c>
      <c r="S409" s="4" t="str">
        <f t="shared" si="461"/>
        <v/>
      </c>
      <c r="T409" s="4" t="e">
        <f t="shared" si="509"/>
        <v>#VALUE!</v>
      </c>
      <c r="U409" s="4" t="e">
        <f t="shared" si="510"/>
        <v>#VALUE!</v>
      </c>
      <c r="V409" s="4" t="b">
        <f t="shared" si="501"/>
        <v>0</v>
      </c>
      <c r="W409" s="13" t="str">
        <f t="shared" si="502"/>
        <v>Да</v>
      </c>
      <c r="X409" s="4" t="e">
        <f>(IF(COUNTIFS($G$2:G409,"+",$W$2:W409,"Да")&gt;1,"&amp; ","")&amp;D409&amp;J409&amp;E409&amp;SUBSTITUTE(L409,"""",""))</f>
        <v>#VALUE!</v>
      </c>
      <c r="Y409" s="4" t="e">
        <f t="shared" si="458"/>
        <v>#VALUE!</v>
      </c>
    </row>
    <row r="410" spans="1:25" x14ac:dyDescent="0.3">
      <c r="A410" s="11"/>
      <c r="B410" s="5" t="str">
        <f t="shared" si="503"/>
        <v/>
      </c>
      <c r="C410" s="5" t="str">
        <f t="shared" si="504"/>
        <v/>
      </c>
      <c r="D410" s="4" t="s">
        <v>10</v>
      </c>
      <c r="E410" s="4" t="s">
        <v>11</v>
      </c>
      <c r="F410" s="4" t="str">
        <f t="shared" si="527"/>
        <v>!!!</v>
      </c>
      <c r="G410" s="4" t="str">
        <f t="shared" si="505"/>
        <v>+</v>
      </c>
      <c r="H410" s="4"/>
      <c r="I410" s="4" t="str">
        <f t="shared" si="528"/>
        <v>!!!</v>
      </c>
      <c r="J410" s="4" t="e">
        <f t="shared" si="529"/>
        <v>#VALUE!</v>
      </c>
      <c r="K410" s="4" t="e">
        <f t="shared" si="530"/>
        <v>#VALUE!</v>
      </c>
      <c r="L410" s="4" t="e">
        <f t="shared" si="531"/>
        <v>#VALUE!</v>
      </c>
      <c r="M410" s="4">
        <f t="shared" si="506"/>
        <v>1000</v>
      </c>
      <c r="N410" s="4">
        <f t="shared" ref="N410:O410" si="539">MIN(IFERROR(FIND(" ",$C410,M410+1),1000))</f>
        <v>1000</v>
      </c>
      <c r="O410" s="4">
        <f t="shared" si="539"/>
        <v>1000</v>
      </c>
      <c r="P410" s="4">
        <f t="shared" si="508"/>
        <v>0</v>
      </c>
      <c r="Q410" s="4" t="str">
        <f t="shared" si="537"/>
        <v/>
      </c>
      <c r="R410" s="4" t="str">
        <f t="shared" si="471"/>
        <v/>
      </c>
      <c r="S410" s="4" t="str">
        <f t="shared" si="461"/>
        <v/>
      </c>
      <c r="T410" s="4" t="e">
        <f t="shared" si="509"/>
        <v>#VALUE!</v>
      </c>
      <c r="U410" s="4" t="e">
        <f t="shared" si="510"/>
        <v>#VALUE!</v>
      </c>
      <c r="V410" s="4" t="b">
        <f t="shared" si="501"/>
        <v>0</v>
      </c>
      <c r="W410" s="13" t="str">
        <f t="shared" si="502"/>
        <v>Да</v>
      </c>
      <c r="X410" s="4" t="e">
        <f>(IF(COUNTIFS($G$2:G410,"+",$W$2:W410,"Да")&gt;1,"&amp; ","")&amp;D410&amp;J410&amp;E410&amp;SUBSTITUTE(L410,"""",""))</f>
        <v>#VALUE!</v>
      </c>
      <c r="Y410" s="4" t="e">
        <f t="shared" ref="Y410:Y473" si="540">IF(S410="",X410,LEFT(X410,FIND(":",X410))&amp;" "&amp;S410)</f>
        <v>#VALUE!</v>
      </c>
    </row>
    <row r="411" spans="1:25" x14ac:dyDescent="0.3">
      <c r="A411" s="11"/>
      <c r="B411" s="5" t="str">
        <f t="shared" si="503"/>
        <v/>
      </c>
      <c r="C411" s="5" t="str">
        <f t="shared" si="504"/>
        <v/>
      </c>
      <c r="D411" s="4" t="s">
        <v>10</v>
      </c>
      <c r="E411" s="4" t="s">
        <v>11</v>
      </c>
      <c r="F411" s="4" t="str">
        <f t="shared" si="527"/>
        <v>!!!</v>
      </c>
      <c r="G411" s="4" t="str">
        <f t="shared" si="505"/>
        <v>+</v>
      </c>
      <c r="H411" s="4"/>
      <c r="I411" s="4" t="str">
        <f t="shared" si="528"/>
        <v>!!!</v>
      </c>
      <c r="J411" s="4" t="e">
        <f t="shared" si="529"/>
        <v>#VALUE!</v>
      </c>
      <c r="K411" s="4" t="e">
        <f t="shared" si="530"/>
        <v>#VALUE!</v>
      </c>
      <c r="L411" s="4" t="e">
        <f t="shared" si="531"/>
        <v>#VALUE!</v>
      </c>
      <c r="M411" s="4">
        <f t="shared" si="506"/>
        <v>1000</v>
      </c>
      <c r="N411" s="4">
        <f t="shared" ref="N411:O411" si="541">MIN(IFERROR(FIND(" ",$C411,M411+1),1000))</f>
        <v>1000</v>
      </c>
      <c r="O411" s="4">
        <f t="shared" si="541"/>
        <v>1000</v>
      </c>
      <c r="P411" s="4">
        <f t="shared" si="508"/>
        <v>0</v>
      </c>
      <c r="Q411" s="4" t="str">
        <f t="shared" si="537"/>
        <v/>
      </c>
      <c r="R411" s="4" t="str">
        <f t="shared" si="471"/>
        <v/>
      </c>
      <c r="S411" s="4" t="str">
        <f t="shared" si="461"/>
        <v/>
      </c>
      <c r="T411" s="4" t="e">
        <f t="shared" si="509"/>
        <v>#VALUE!</v>
      </c>
      <c r="U411" s="4" t="e">
        <f t="shared" si="510"/>
        <v>#VALUE!</v>
      </c>
      <c r="V411" s="4" t="b">
        <f t="shared" si="501"/>
        <v>0</v>
      </c>
      <c r="W411" s="13" t="str">
        <f t="shared" si="502"/>
        <v>Да</v>
      </c>
      <c r="X411" s="4" t="e">
        <f>(IF(COUNTIFS($G$2:G411,"+",$W$2:W411,"Да")&gt;1,"&amp; ","")&amp;D411&amp;J411&amp;E411&amp;SUBSTITUTE(L411,"""",""))</f>
        <v>#VALUE!</v>
      </c>
      <c r="Y411" s="4" t="e">
        <f t="shared" si="540"/>
        <v>#VALUE!</v>
      </c>
    </row>
    <row r="412" spans="1:25" x14ac:dyDescent="0.3">
      <c r="A412" s="11"/>
      <c r="B412" s="5" t="str">
        <f t="shared" si="503"/>
        <v/>
      </c>
      <c r="C412" s="5" t="str">
        <f t="shared" si="504"/>
        <v/>
      </c>
      <c r="D412" s="4" t="s">
        <v>10</v>
      </c>
      <c r="E412" s="4" t="s">
        <v>11</v>
      </c>
      <c r="F412" s="4" t="str">
        <f t="shared" si="527"/>
        <v>!!!</v>
      </c>
      <c r="G412" s="4" t="str">
        <f t="shared" si="505"/>
        <v>+</v>
      </c>
      <c r="H412" s="4"/>
      <c r="I412" s="4" t="str">
        <f t="shared" si="528"/>
        <v>!!!</v>
      </c>
      <c r="J412" s="4" t="e">
        <f t="shared" si="529"/>
        <v>#VALUE!</v>
      </c>
      <c r="K412" s="4" t="e">
        <f t="shared" si="530"/>
        <v>#VALUE!</v>
      </c>
      <c r="L412" s="4" t="e">
        <f t="shared" si="531"/>
        <v>#VALUE!</v>
      </c>
      <c r="M412" s="4">
        <f t="shared" si="506"/>
        <v>1000</v>
      </c>
      <c r="N412" s="4">
        <f t="shared" ref="N412:O412" si="542">MIN(IFERROR(FIND(" ",$C412,M412+1),1000))</f>
        <v>1000</v>
      </c>
      <c r="O412" s="4">
        <f t="shared" si="542"/>
        <v>1000</v>
      </c>
      <c r="P412" s="4">
        <f t="shared" si="508"/>
        <v>0</v>
      </c>
      <c r="Q412" s="4" t="str">
        <f t="shared" si="537"/>
        <v/>
      </c>
      <c r="R412" s="4" t="str">
        <f t="shared" si="471"/>
        <v/>
      </c>
      <c r="S412" s="4" t="str">
        <f t="shared" ref="S412:S475" si="543">IFERROR(IF(LEFT(A411,1)="'",SUBSTITUTE(A411,"'",""),""),"")</f>
        <v/>
      </c>
      <c r="T412" s="4" t="e">
        <f t="shared" si="509"/>
        <v>#VALUE!</v>
      </c>
      <c r="U412" s="4" t="e">
        <f t="shared" si="510"/>
        <v>#VALUE!</v>
      </c>
      <c r="V412" s="4" t="b">
        <f t="shared" si="501"/>
        <v>0</v>
      </c>
      <c r="W412" s="13" t="str">
        <f t="shared" si="502"/>
        <v>Да</v>
      </c>
      <c r="X412" s="4" t="e">
        <f>(IF(COUNTIFS($G$2:G412,"+",$W$2:W412,"Да")&gt;1,"&amp; ","")&amp;D412&amp;J412&amp;E412&amp;SUBSTITUTE(L412,"""",""))</f>
        <v>#VALUE!</v>
      </c>
      <c r="Y412" s="4" t="e">
        <f t="shared" si="540"/>
        <v>#VALUE!</v>
      </c>
    </row>
    <row r="413" spans="1:25" x14ac:dyDescent="0.3">
      <c r="A413" s="11"/>
      <c r="B413" s="5" t="str">
        <f t="shared" si="503"/>
        <v/>
      </c>
      <c r="C413" s="5" t="str">
        <f t="shared" si="504"/>
        <v/>
      </c>
      <c r="D413" s="4" t="s">
        <v>10</v>
      </c>
      <c r="E413" s="4" t="s">
        <v>11</v>
      </c>
      <c r="F413" s="4" t="str">
        <f t="shared" si="527"/>
        <v>!!!</v>
      </c>
      <c r="G413" s="4" t="str">
        <f t="shared" si="505"/>
        <v>+</v>
      </c>
      <c r="H413" s="4"/>
      <c r="I413" s="4" t="str">
        <f t="shared" si="528"/>
        <v>!!!</v>
      </c>
      <c r="J413" s="4" t="e">
        <f t="shared" si="529"/>
        <v>#VALUE!</v>
      </c>
      <c r="K413" s="4" t="e">
        <f t="shared" si="530"/>
        <v>#VALUE!</v>
      </c>
      <c r="L413" s="4" t="e">
        <f t="shared" si="531"/>
        <v>#VALUE!</v>
      </c>
      <c r="M413" s="4">
        <f t="shared" si="506"/>
        <v>1000</v>
      </c>
      <c r="N413" s="4">
        <f t="shared" ref="N413:O413" si="544">MIN(IFERROR(FIND(" ",$C413,M413+1),1000))</f>
        <v>1000</v>
      </c>
      <c r="O413" s="4">
        <f t="shared" si="544"/>
        <v>1000</v>
      </c>
      <c r="P413" s="4">
        <f t="shared" si="508"/>
        <v>0</v>
      </c>
      <c r="Q413" s="4" t="str">
        <f t="shared" si="537"/>
        <v/>
      </c>
      <c r="R413" s="4" t="str">
        <f t="shared" si="471"/>
        <v/>
      </c>
      <c r="S413" s="4" t="str">
        <f t="shared" si="543"/>
        <v/>
      </c>
      <c r="T413" s="4" t="e">
        <f t="shared" si="509"/>
        <v>#VALUE!</v>
      </c>
      <c r="U413" s="4" t="e">
        <f t="shared" si="510"/>
        <v>#VALUE!</v>
      </c>
      <c r="V413" s="4" t="b">
        <f t="shared" si="501"/>
        <v>0</v>
      </c>
      <c r="W413" s="13" t="str">
        <f t="shared" si="502"/>
        <v>Да</v>
      </c>
      <c r="X413" s="4" t="e">
        <f>(IF(COUNTIFS($G$2:G413,"+",$W$2:W413,"Да")&gt;1,"&amp; ","")&amp;D413&amp;J413&amp;E413&amp;SUBSTITUTE(L413,"""",""))</f>
        <v>#VALUE!</v>
      </c>
      <c r="Y413" s="4" t="e">
        <f t="shared" si="540"/>
        <v>#VALUE!</v>
      </c>
    </row>
    <row r="414" spans="1:25" x14ac:dyDescent="0.3">
      <c r="A414" s="11"/>
      <c r="B414" s="5" t="str">
        <f t="shared" si="503"/>
        <v/>
      </c>
      <c r="C414" s="5" t="str">
        <f t="shared" si="504"/>
        <v/>
      </c>
      <c r="D414" s="4" t="s">
        <v>10</v>
      </c>
      <c r="E414" s="4" t="s">
        <v>11</v>
      </c>
      <c r="F414" s="4" t="str">
        <f t="shared" si="527"/>
        <v>!!!</v>
      </c>
      <c r="G414" s="4" t="str">
        <f t="shared" si="505"/>
        <v>+</v>
      </c>
      <c r="H414" s="4"/>
      <c r="I414" s="4" t="str">
        <f t="shared" si="528"/>
        <v>!!!</v>
      </c>
      <c r="J414" s="4" t="e">
        <f t="shared" si="529"/>
        <v>#VALUE!</v>
      </c>
      <c r="K414" s="4" t="e">
        <f t="shared" si="530"/>
        <v>#VALUE!</v>
      </c>
      <c r="L414" s="4" t="e">
        <f t="shared" si="531"/>
        <v>#VALUE!</v>
      </c>
      <c r="M414" s="4">
        <f t="shared" si="506"/>
        <v>1000</v>
      </c>
      <c r="N414" s="4">
        <f t="shared" ref="N414:O414" si="545">MIN(IFERROR(FIND(" ",$C414,M414+1),1000))</f>
        <v>1000</v>
      </c>
      <c r="O414" s="4">
        <f t="shared" si="545"/>
        <v>1000</v>
      </c>
      <c r="P414" s="4">
        <f t="shared" si="508"/>
        <v>0</v>
      </c>
      <c r="Q414" s="4" t="str">
        <f t="shared" si="537"/>
        <v/>
      </c>
      <c r="R414" s="4" t="str">
        <f t="shared" si="471"/>
        <v/>
      </c>
      <c r="S414" s="4" t="str">
        <f t="shared" si="543"/>
        <v/>
      </c>
      <c r="T414" s="4" t="e">
        <f t="shared" si="509"/>
        <v>#VALUE!</v>
      </c>
      <c r="U414" s="4" t="e">
        <f t="shared" si="510"/>
        <v>#VALUE!</v>
      </c>
      <c r="V414" s="4" t="b">
        <f t="shared" si="501"/>
        <v>0</v>
      </c>
      <c r="W414" s="13" t="str">
        <f t="shared" si="502"/>
        <v>Да</v>
      </c>
      <c r="X414" s="4" t="e">
        <f>(IF(COUNTIFS($G$2:G414,"+",$W$2:W414,"Да")&gt;1,"&amp; ","")&amp;D414&amp;J414&amp;E414&amp;SUBSTITUTE(L414,"""",""))</f>
        <v>#VALUE!</v>
      </c>
      <c r="Y414" s="4" t="e">
        <f t="shared" si="540"/>
        <v>#VALUE!</v>
      </c>
    </row>
    <row r="415" spans="1:25" x14ac:dyDescent="0.3">
      <c r="A415" s="11"/>
      <c r="B415" s="5" t="str">
        <f t="shared" si="503"/>
        <v/>
      </c>
      <c r="C415" s="5" t="str">
        <f t="shared" si="504"/>
        <v/>
      </c>
      <c r="D415" s="4" t="s">
        <v>10</v>
      </c>
      <c r="E415" s="4" t="s">
        <v>11</v>
      </c>
      <c r="F415" s="4" t="str">
        <f t="shared" si="527"/>
        <v>!!!</v>
      </c>
      <c r="G415" s="4" t="str">
        <f t="shared" si="505"/>
        <v>+</v>
      </c>
      <c r="H415" s="4"/>
      <c r="I415" s="4" t="str">
        <f t="shared" si="528"/>
        <v>!!!</v>
      </c>
      <c r="J415" s="4" t="e">
        <f t="shared" si="529"/>
        <v>#VALUE!</v>
      </c>
      <c r="K415" s="4" t="e">
        <f t="shared" si="530"/>
        <v>#VALUE!</v>
      </c>
      <c r="L415" s="4" t="e">
        <f t="shared" si="531"/>
        <v>#VALUE!</v>
      </c>
      <c r="M415" s="4">
        <f t="shared" si="506"/>
        <v>1000</v>
      </c>
      <c r="N415" s="4">
        <f t="shared" ref="N415:O415" si="546">MIN(IFERROR(FIND(" ",$C415,M415+1),1000))</f>
        <v>1000</v>
      </c>
      <c r="O415" s="4">
        <f t="shared" si="546"/>
        <v>1000</v>
      </c>
      <c r="P415" s="4">
        <f t="shared" si="508"/>
        <v>0</v>
      </c>
      <c r="Q415" s="4" t="str">
        <f t="shared" si="537"/>
        <v/>
      </c>
      <c r="R415" s="4" t="str">
        <f t="shared" si="471"/>
        <v/>
      </c>
      <c r="S415" s="4" t="str">
        <f t="shared" si="543"/>
        <v/>
      </c>
      <c r="T415" s="4" t="e">
        <f t="shared" si="509"/>
        <v>#VALUE!</v>
      </c>
      <c r="U415" s="4" t="e">
        <f t="shared" si="510"/>
        <v>#VALUE!</v>
      </c>
      <c r="V415" s="4" t="b">
        <f t="shared" si="501"/>
        <v>0</v>
      </c>
      <c r="W415" s="13" t="str">
        <f t="shared" si="502"/>
        <v>Да</v>
      </c>
      <c r="X415" s="4" t="e">
        <f>(IF(COUNTIFS($G$2:G415,"+",$W$2:W415,"Да")&gt;1,"&amp; ","")&amp;D415&amp;J415&amp;E415&amp;SUBSTITUTE(L415,"""",""))</f>
        <v>#VALUE!</v>
      </c>
      <c r="Y415" s="4" t="e">
        <f t="shared" si="540"/>
        <v>#VALUE!</v>
      </c>
    </row>
    <row r="416" spans="1:25" x14ac:dyDescent="0.3">
      <c r="A416" s="11"/>
      <c r="B416" s="5" t="str">
        <f t="shared" si="503"/>
        <v/>
      </c>
      <c r="C416" s="5" t="str">
        <f t="shared" si="504"/>
        <v/>
      </c>
      <c r="D416" s="4" t="s">
        <v>10</v>
      </c>
      <c r="E416" s="4" t="s">
        <v>11</v>
      </c>
      <c r="F416" s="4" t="str">
        <f t="shared" si="527"/>
        <v>!!!</v>
      </c>
      <c r="G416" s="4" t="str">
        <f t="shared" si="505"/>
        <v>+</v>
      </c>
      <c r="H416" s="4"/>
      <c r="I416" s="4" t="str">
        <f t="shared" si="528"/>
        <v>!!!</v>
      </c>
      <c r="J416" s="4" t="e">
        <f t="shared" si="529"/>
        <v>#VALUE!</v>
      </c>
      <c r="K416" s="4" t="e">
        <f t="shared" si="530"/>
        <v>#VALUE!</v>
      </c>
      <c r="L416" s="4" t="e">
        <f t="shared" si="531"/>
        <v>#VALUE!</v>
      </c>
      <c r="M416" s="4">
        <f t="shared" si="506"/>
        <v>1000</v>
      </c>
      <c r="N416" s="4">
        <f t="shared" ref="N416:O416" si="547">MIN(IFERROR(FIND(" ",$C416,M416+1),1000))</f>
        <v>1000</v>
      </c>
      <c r="O416" s="4">
        <f t="shared" si="547"/>
        <v>1000</v>
      </c>
      <c r="P416" s="4">
        <f t="shared" si="508"/>
        <v>0</v>
      </c>
      <c r="Q416" s="4" t="str">
        <f t="shared" si="537"/>
        <v/>
      </c>
      <c r="R416" s="4" t="str">
        <f t="shared" si="471"/>
        <v/>
      </c>
      <c r="S416" s="4" t="str">
        <f t="shared" si="543"/>
        <v/>
      </c>
      <c r="T416" s="4" t="e">
        <f t="shared" si="509"/>
        <v>#VALUE!</v>
      </c>
      <c r="U416" s="4" t="e">
        <f t="shared" si="510"/>
        <v>#VALUE!</v>
      </c>
      <c r="V416" s="4" t="b">
        <f t="shared" si="501"/>
        <v>0</v>
      </c>
      <c r="W416" s="13" t="str">
        <f t="shared" si="502"/>
        <v>Да</v>
      </c>
      <c r="X416" s="4" t="e">
        <f>(IF(COUNTIFS($G$2:G416,"+",$W$2:W416,"Да")&gt;1,"&amp; ","")&amp;D416&amp;J416&amp;E416&amp;SUBSTITUTE(L416,"""",""))</f>
        <v>#VALUE!</v>
      </c>
      <c r="Y416" s="4" t="e">
        <f t="shared" si="540"/>
        <v>#VALUE!</v>
      </c>
    </row>
    <row r="417" spans="1:25" x14ac:dyDescent="0.3">
      <c r="A417" s="11"/>
      <c r="B417" s="5" t="str">
        <f t="shared" si="503"/>
        <v/>
      </c>
      <c r="C417" s="5" t="str">
        <f t="shared" si="504"/>
        <v/>
      </c>
      <c r="D417" s="4" t="s">
        <v>10</v>
      </c>
      <c r="E417" s="4" t="s">
        <v>11</v>
      </c>
      <c r="F417" s="4" t="str">
        <f t="shared" si="527"/>
        <v>!!!</v>
      </c>
      <c r="G417" s="4" t="str">
        <f t="shared" si="505"/>
        <v>+</v>
      </c>
      <c r="H417" s="4"/>
      <c r="I417" s="4" t="str">
        <f t="shared" si="528"/>
        <v>!!!</v>
      </c>
      <c r="J417" s="4" t="e">
        <f t="shared" si="529"/>
        <v>#VALUE!</v>
      </c>
      <c r="K417" s="4" t="e">
        <f t="shared" si="530"/>
        <v>#VALUE!</v>
      </c>
      <c r="L417" s="4" t="e">
        <f t="shared" si="531"/>
        <v>#VALUE!</v>
      </c>
      <c r="M417" s="4">
        <f t="shared" si="506"/>
        <v>1000</v>
      </c>
      <c r="N417" s="4">
        <f t="shared" ref="N417:O417" si="548">MIN(IFERROR(FIND(" ",$C417,M417+1),1000))</f>
        <v>1000</v>
      </c>
      <c r="O417" s="4">
        <f t="shared" si="548"/>
        <v>1000</v>
      </c>
      <c r="P417" s="4">
        <f t="shared" si="508"/>
        <v>0</v>
      </c>
      <c r="Q417" s="4" t="str">
        <f t="shared" si="537"/>
        <v/>
      </c>
      <c r="R417" s="4" t="str">
        <f t="shared" si="471"/>
        <v/>
      </c>
      <c r="S417" s="4" t="str">
        <f t="shared" si="543"/>
        <v/>
      </c>
      <c r="T417" s="4" t="e">
        <f t="shared" si="509"/>
        <v>#VALUE!</v>
      </c>
      <c r="U417" s="4" t="e">
        <f t="shared" si="510"/>
        <v>#VALUE!</v>
      </c>
      <c r="V417" s="4" t="b">
        <f t="shared" si="501"/>
        <v>0</v>
      </c>
      <c r="W417" s="13" t="str">
        <f t="shared" si="502"/>
        <v>Да</v>
      </c>
      <c r="X417" s="4" t="e">
        <f>(IF(COUNTIFS($G$2:G417,"+",$W$2:W417,"Да")&gt;1,"&amp; ","")&amp;D417&amp;J417&amp;E417&amp;SUBSTITUTE(L417,"""",""))</f>
        <v>#VALUE!</v>
      </c>
      <c r="Y417" s="4" t="e">
        <f t="shared" si="540"/>
        <v>#VALUE!</v>
      </c>
    </row>
    <row r="418" spans="1:25" x14ac:dyDescent="0.3">
      <c r="A418" s="11"/>
      <c r="B418" s="5" t="str">
        <f t="shared" si="503"/>
        <v/>
      </c>
      <c r="C418" s="5" t="str">
        <f t="shared" si="504"/>
        <v/>
      </c>
      <c r="D418" s="4" t="s">
        <v>10</v>
      </c>
      <c r="E418" s="4" t="s">
        <v>11</v>
      </c>
      <c r="F418" s="4" t="str">
        <f t="shared" si="527"/>
        <v>!!!</v>
      </c>
      <c r="G418" s="4" t="str">
        <f t="shared" si="505"/>
        <v>+</v>
      </c>
      <c r="H418" s="4"/>
      <c r="I418" s="4" t="str">
        <f t="shared" si="528"/>
        <v>!!!</v>
      </c>
      <c r="J418" s="4" t="e">
        <f t="shared" si="529"/>
        <v>#VALUE!</v>
      </c>
      <c r="K418" s="4" t="e">
        <f t="shared" si="530"/>
        <v>#VALUE!</v>
      </c>
      <c r="L418" s="4" t="e">
        <f t="shared" si="531"/>
        <v>#VALUE!</v>
      </c>
      <c r="M418" s="4">
        <f t="shared" si="506"/>
        <v>1000</v>
      </c>
      <c r="N418" s="4">
        <f t="shared" ref="N418:O418" si="549">MIN(IFERROR(FIND(" ",$C418,M418+1),1000))</f>
        <v>1000</v>
      </c>
      <c r="O418" s="4">
        <f t="shared" si="549"/>
        <v>1000</v>
      </c>
      <c r="P418" s="4">
        <f t="shared" si="508"/>
        <v>0</v>
      </c>
      <c r="Q418" s="4" t="str">
        <f t="shared" si="537"/>
        <v/>
      </c>
      <c r="R418" s="4" t="str">
        <f t="shared" si="471"/>
        <v/>
      </c>
      <c r="S418" s="4" t="str">
        <f t="shared" si="543"/>
        <v/>
      </c>
      <c r="T418" s="4" t="e">
        <f t="shared" si="509"/>
        <v>#VALUE!</v>
      </c>
      <c r="U418" s="4" t="e">
        <f t="shared" si="510"/>
        <v>#VALUE!</v>
      </c>
      <c r="V418" s="4" t="b">
        <f t="shared" si="501"/>
        <v>0</v>
      </c>
      <c r="W418" s="13" t="str">
        <f t="shared" si="502"/>
        <v>Да</v>
      </c>
      <c r="X418" s="4" t="e">
        <f>(IF(COUNTIFS($G$2:G418,"+",$W$2:W418,"Да")&gt;1,"&amp; ","")&amp;D418&amp;J418&amp;E418&amp;SUBSTITUTE(L418,"""",""))</f>
        <v>#VALUE!</v>
      </c>
      <c r="Y418" s="4" t="e">
        <f t="shared" si="540"/>
        <v>#VALUE!</v>
      </c>
    </row>
    <row r="419" spans="1:25" x14ac:dyDescent="0.3">
      <c r="A419" s="11"/>
      <c r="B419" s="5" t="str">
        <f t="shared" si="503"/>
        <v/>
      </c>
      <c r="C419" s="5" t="str">
        <f t="shared" si="504"/>
        <v/>
      </c>
      <c r="D419" s="4" t="s">
        <v>10</v>
      </c>
      <c r="E419" s="4" t="s">
        <v>11</v>
      </c>
      <c r="F419" s="4" t="str">
        <f t="shared" si="527"/>
        <v>!!!</v>
      </c>
      <c r="G419" s="4" t="str">
        <f t="shared" si="505"/>
        <v>+</v>
      </c>
      <c r="H419" s="4"/>
      <c r="I419" s="4" t="str">
        <f t="shared" si="528"/>
        <v>!!!</v>
      </c>
      <c r="J419" s="4" t="e">
        <f t="shared" si="529"/>
        <v>#VALUE!</v>
      </c>
      <c r="K419" s="4" t="e">
        <f t="shared" si="530"/>
        <v>#VALUE!</v>
      </c>
      <c r="L419" s="4" t="e">
        <f t="shared" si="531"/>
        <v>#VALUE!</v>
      </c>
      <c r="M419" s="4">
        <f t="shared" si="506"/>
        <v>1000</v>
      </c>
      <c r="N419" s="4">
        <f t="shared" ref="N419:O419" si="550">MIN(IFERROR(FIND(" ",$C419,M419+1),1000))</f>
        <v>1000</v>
      </c>
      <c r="O419" s="4">
        <f t="shared" si="550"/>
        <v>1000</v>
      </c>
      <c r="P419" s="4">
        <f t="shared" si="508"/>
        <v>0</v>
      </c>
      <c r="Q419" s="4" t="str">
        <f t="shared" si="537"/>
        <v/>
      </c>
      <c r="R419" s="4" t="str">
        <f t="shared" si="471"/>
        <v/>
      </c>
      <c r="S419" s="4" t="str">
        <f t="shared" si="543"/>
        <v/>
      </c>
      <c r="T419" s="4" t="e">
        <f t="shared" si="509"/>
        <v>#VALUE!</v>
      </c>
      <c r="U419" s="4" t="e">
        <f t="shared" si="510"/>
        <v>#VALUE!</v>
      </c>
      <c r="V419" s="4" t="b">
        <f t="shared" si="501"/>
        <v>0</v>
      </c>
      <c r="W419" s="13" t="str">
        <f t="shared" si="502"/>
        <v>Да</v>
      </c>
      <c r="X419" s="4" t="e">
        <f>(IF(COUNTIFS($G$2:G419,"+",$W$2:W419,"Да")&gt;1,"&amp; ","")&amp;D419&amp;J419&amp;E419&amp;SUBSTITUTE(L419,"""",""))</f>
        <v>#VALUE!</v>
      </c>
      <c r="Y419" s="4" t="e">
        <f t="shared" si="540"/>
        <v>#VALUE!</v>
      </c>
    </row>
    <row r="420" spans="1:25" x14ac:dyDescent="0.3">
      <c r="A420" s="11"/>
      <c r="B420" s="5" t="str">
        <f t="shared" si="503"/>
        <v/>
      </c>
      <c r="C420" s="5" t="str">
        <f t="shared" si="504"/>
        <v/>
      </c>
      <c r="D420" s="4" t="s">
        <v>10</v>
      </c>
      <c r="E420" s="4" t="s">
        <v>11</v>
      </c>
      <c r="F420" s="4" t="str">
        <f t="shared" si="527"/>
        <v>!!!</v>
      </c>
      <c r="G420" s="4" t="str">
        <f t="shared" si="505"/>
        <v>+</v>
      </c>
      <c r="H420" s="4"/>
      <c r="I420" s="4" t="str">
        <f t="shared" si="528"/>
        <v>!!!</v>
      </c>
      <c r="J420" s="4" t="e">
        <f t="shared" si="529"/>
        <v>#VALUE!</v>
      </c>
      <c r="K420" s="4" t="e">
        <f t="shared" si="530"/>
        <v>#VALUE!</v>
      </c>
      <c r="L420" s="4" t="e">
        <f t="shared" si="531"/>
        <v>#VALUE!</v>
      </c>
      <c r="M420" s="4">
        <f t="shared" si="506"/>
        <v>1000</v>
      </c>
      <c r="N420" s="4">
        <f t="shared" ref="N420:O420" si="551">MIN(IFERROR(FIND(" ",$C420,M420+1),1000))</f>
        <v>1000</v>
      </c>
      <c r="O420" s="4">
        <f t="shared" si="551"/>
        <v>1000</v>
      </c>
      <c r="P420" s="4">
        <f t="shared" si="508"/>
        <v>0</v>
      </c>
      <c r="Q420" s="4" t="str">
        <f t="shared" si="537"/>
        <v/>
      </c>
      <c r="R420" s="4" t="str">
        <f t="shared" si="471"/>
        <v/>
      </c>
      <c r="S420" s="4" t="str">
        <f t="shared" si="543"/>
        <v/>
      </c>
      <c r="T420" s="4" t="e">
        <f t="shared" si="509"/>
        <v>#VALUE!</v>
      </c>
      <c r="U420" s="4" t="e">
        <f t="shared" si="510"/>
        <v>#VALUE!</v>
      </c>
      <c r="V420" s="4" t="b">
        <f t="shared" si="501"/>
        <v>0</v>
      </c>
      <c r="W420" s="13" t="str">
        <f t="shared" si="502"/>
        <v>Да</v>
      </c>
      <c r="X420" s="4" t="e">
        <f>(IF(COUNTIFS($G$2:G420,"+",$W$2:W420,"Да")&gt;1,"&amp; ","")&amp;D420&amp;J420&amp;E420&amp;SUBSTITUTE(L420,"""",""))</f>
        <v>#VALUE!</v>
      </c>
      <c r="Y420" s="4" t="e">
        <f t="shared" si="540"/>
        <v>#VALUE!</v>
      </c>
    </row>
    <row r="421" spans="1:25" x14ac:dyDescent="0.3">
      <c r="A421" s="11"/>
      <c r="B421" s="5" t="str">
        <f t="shared" si="503"/>
        <v/>
      </c>
      <c r="C421" s="5" t="str">
        <f t="shared" si="504"/>
        <v/>
      </c>
      <c r="D421" s="4" t="s">
        <v>10</v>
      </c>
      <c r="E421" s="4" t="s">
        <v>11</v>
      </c>
      <c r="F421" s="4" t="str">
        <f t="shared" si="527"/>
        <v>!!!</v>
      </c>
      <c r="G421" s="4" t="str">
        <f t="shared" si="505"/>
        <v>+</v>
      </c>
      <c r="H421" s="4"/>
      <c r="I421" s="4" t="str">
        <f t="shared" si="528"/>
        <v>!!!</v>
      </c>
      <c r="J421" s="4" t="e">
        <f t="shared" si="529"/>
        <v>#VALUE!</v>
      </c>
      <c r="K421" s="4" t="e">
        <f t="shared" si="530"/>
        <v>#VALUE!</v>
      </c>
      <c r="L421" s="4" t="e">
        <f t="shared" si="531"/>
        <v>#VALUE!</v>
      </c>
      <c r="M421" s="4">
        <f t="shared" si="506"/>
        <v>1000</v>
      </c>
      <c r="N421" s="4">
        <f t="shared" ref="N421:O421" si="552">MIN(IFERROR(FIND(" ",$C421,M421+1),1000))</f>
        <v>1000</v>
      </c>
      <c r="O421" s="4">
        <f t="shared" si="552"/>
        <v>1000</v>
      </c>
      <c r="P421" s="4">
        <f t="shared" si="508"/>
        <v>0</v>
      </c>
      <c r="Q421" s="4" t="str">
        <f t="shared" si="537"/>
        <v/>
      </c>
      <c r="R421" s="4" t="str">
        <f t="shared" ref="R421:R484" si="553">IFERROR(MID(C421,N421+1,O421-N421-1),"")</f>
        <v/>
      </c>
      <c r="S421" s="4" t="str">
        <f t="shared" si="543"/>
        <v/>
      </c>
      <c r="T421" s="4" t="e">
        <f t="shared" si="509"/>
        <v>#VALUE!</v>
      </c>
      <c r="U421" s="4" t="e">
        <f t="shared" si="510"/>
        <v>#VALUE!</v>
      </c>
      <c r="V421" s="4" t="b">
        <f t="shared" si="501"/>
        <v>0</v>
      </c>
      <c r="W421" s="13" t="str">
        <f t="shared" si="502"/>
        <v>Да</v>
      </c>
      <c r="X421" s="4" t="e">
        <f>(IF(COUNTIFS($G$2:G421,"+",$W$2:W421,"Да")&gt;1,"&amp; ","")&amp;D421&amp;J421&amp;E421&amp;SUBSTITUTE(L421,"""",""))</f>
        <v>#VALUE!</v>
      </c>
      <c r="Y421" s="4" t="e">
        <f t="shared" si="540"/>
        <v>#VALUE!</v>
      </c>
    </row>
    <row r="422" spans="1:25" x14ac:dyDescent="0.3">
      <c r="A422" s="11"/>
      <c r="B422" s="5" t="str">
        <f t="shared" si="503"/>
        <v/>
      </c>
      <c r="C422" s="5" t="str">
        <f t="shared" si="504"/>
        <v/>
      </c>
      <c r="D422" s="4" t="s">
        <v>10</v>
      </c>
      <c r="E422" s="4" t="s">
        <v>11</v>
      </c>
      <c r="F422" s="4" t="str">
        <f t="shared" si="527"/>
        <v>!!!</v>
      </c>
      <c r="G422" s="4" t="str">
        <f t="shared" si="505"/>
        <v>+</v>
      </c>
      <c r="H422" s="4"/>
      <c r="I422" s="4" t="str">
        <f t="shared" si="528"/>
        <v>!!!</v>
      </c>
      <c r="J422" s="4" t="e">
        <f t="shared" si="529"/>
        <v>#VALUE!</v>
      </c>
      <c r="K422" s="4" t="e">
        <f t="shared" si="530"/>
        <v>#VALUE!</v>
      </c>
      <c r="L422" s="4" t="e">
        <f t="shared" si="531"/>
        <v>#VALUE!</v>
      </c>
      <c r="M422" s="4">
        <f t="shared" si="506"/>
        <v>1000</v>
      </c>
      <c r="N422" s="4">
        <f t="shared" ref="N422:O422" si="554">MIN(IFERROR(FIND(" ",$C422,M422+1),1000))</f>
        <v>1000</v>
      </c>
      <c r="O422" s="4">
        <f t="shared" si="554"/>
        <v>1000</v>
      </c>
      <c r="P422" s="4">
        <f t="shared" si="508"/>
        <v>0</v>
      </c>
      <c r="Q422" s="4" t="str">
        <f t="shared" si="537"/>
        <v/>
      </c>
      <c r="R422" s="4" t="str">
        <f t="shared" si="553"/>
        <v/>
      </c>
      <c r="S422" s="4" t="str">
        <f t="shared" si="543"/>
        <v/>
      </c>
      <c r="T422" s="4" t="e">
        <f t="shared" si="509"/>
        <v>#VALUE!</v>
      </c>
      <c r="U422" s="4" t="e">
        <f t="shared" si="510"/>
        <v>#VALUE!</v>
      </c>
      <c r="V422" s="4" t="b">
        <f t="shared" si="501"/>
        <v>0</v>
      </c>
      <c r="W422" s="13" t="str">
        <f t="shared" si="502"/>
        <v>Да</v>
      </c>
      <c r="X422" s="4" t="e">
        <f>(IF(COUNTIFS($G$2:G422,"+",$W$2:W422,"Да")&gt;1,"&amp; ","")&amp;D422&amp;J422&amp;E422&amp;SUBSTITUTE(L422,"""",""))</f>
        <v>#VALUE!</v>
      </c>
      <c r="Y422" s="4" t="e">
        <f t="shared" si="540"/>
        <v>#VALUE!</v>
      </c>
    </row>
    <row r="423" spans="1:25" x14ac:dyDescent="0.3">
      <c r="A423" s="11"/>
      <c r="B423" s="5" t="str">
        <f t="shared" si="503"/>
        <v/>
      </c>
      <c r="C423" s="5" t="str">
        <f t="shared" si="504"/>
        <v/>
      </c>
      <c r="D423" s="4" t="s">
        <v>10</v>
      </c>
      <c r="E423" s="4" t="s">
        <v>11</v>
      </c>
      <c r="F423" s="4" t="str">
        <f t="shared" si="527"/>
        <v>!!!</v>
      </c>
      <c r="G423" s="4" t="str">
        <f t="shared" si="505"/>
        <v>+</v>
      </c>
      <c r="H423" s="4"/>
      <c r="I423" s="4" t="str">
        <f t="shared" si="528"/>
        <v>!!!</v>
      </c>
      <c r="J423" s="4" t="e">
        <f t="shared" si="529"/>
        <v>#VALUE!</v>
      </c>
      <c r="K423" s="4" t="e">
        <f t="shared" si="530"/>
        <v>#VALUE!</v>
      </c>
      <c r="L423" s="4" t="e">
        <f t="shared" si="531"/>
        <v>#VALUE!</v>
      </c>
      <c r="M423" s="4">
        <f t="shared" si="506"/>
        <v>1000</v>
      </c>
      <c r="N423" s="4">
        <f t="shared" ref="N423:O423" si="555">MIN(IFERROR(FIND(" ",$C423,M423+1),1000))</f>
        <v>1000</v>
      </c>
      <c r="O423" s="4">
        <f t="shared" si="555"/>
        <v>1000</v>
      </c>
      <c r="P423" s="4">
        <f t="shared" si="508"/>
        <v>0</v>
      </c>
      <c r="Q423" s="4" t="str">
        <f t="shared" si="537"/>
        <v/>
      </c>
      <c r="R423" s="4" t="str">
        <f t="shared" si="553"/>
        <v/>
      </c>
      <c r="S423" s="4" t="str">
        <f t="shared" si="543"/>
        <v/>
      </c>
      <c r="T423" s="4" t="e">
        <f t="shared" si="509"/>
        <v>#VALUE!</v>
      </c>
      <c r="U423" s="4" t="e">
        <f t="shared" si="510"/>
        <v>#VALUE!</v>
      </c>
      <c r="V423" s="4" t="b">
        <f t="shared" si="501"/>
        <v>0</v>
      </c>
      <c r="W423" s="13" t="str">
        <f t="shared" si="502"/>
        <v>Да</v>
      </c>
      <c r="X423" s="4" t="e">
        <f>(IF(COUNTIFS($G$2:G423,"+",$W$2:W423,"Да")&gt;1,"&amp; ","")&amp;D423&amp;J423&amp;E423&amp;SUBSTITUTE(L423,"""",""))</f>
        <v>#VALUE!</v>
      </c>
      <c r="Y423" s="4" t="e">
        <f t="shared" si="540"/>
        <v>#VALUE!</v>
      </c>
    </row>
    <row r="424" spans="1:25" x14ac:dyDescent="0.3">
      <c r="A424" s="11"/>
      <c r="B424" s="5" t="str">
        <f t="shared" si="503"/>
        <v/>
      </c>
      <c r="C424" s="5" t="str">
        <f t="shared" si="504"/>
        <v/>
      </c>
      <c r="D424" s="4" t="s">
        <v>10</v>
      </c>
      <c r="E424" s="4" t="s">
        <v>11</v>
      </c>
      <c r="F424" s="4" t="str">
        <f t="shared" si="527"/>
        <v>!!!</v>
      </c>
      <c r="G424" s="4" t="str">
        <f t="shared" si="505"/>
        <v>+</v>
      </c>
      <c r="H424" s="4"/>
      <c r="I424" s="4" t="str">
        <f t="shared" si="528"/>
        <v>!!!</v>
      </c>
      <c r="J424" s="4" t="e">
        <f t="shared" si="529"/>
        <v>#VALUE!</v>
      </c>
      <c r="K424" s="4" t="e">
        <f t="shared" si="530"/>
        <v>#VALUE!</v>
      </c>
      <c r="L424" s="4" t="e">
        <f t="shared" si="531"/>
        <v>#VALUE!</v>
      </c>
      <c r="M424" s="4">
        <f t="shared" si="506"/>
        <v>1000</v>
      </c>
      <c r="N424" s="4">
        <f t="shared" ref="N424:O424" si="556">MIN(IFERROR(FIND(" ",$C424,M424+1),1000))</f>
        <v>1000</v>
      </c>
      <c r="O424" s="4">
        <f t="shared" si="556"/>
        <v>1000</v>
      </c>
      <c r="P424" s="4">
        <f t="shared" si="508"/>
        <v>0</v>
      </c>
      <c r="Q424" s="4" t="str">
        <f t="shared" si="537"/>
        <v/>
      </c>
      <c r="R424" s="4" t="str">
        <f t="shared" si="553"/>
        <v/>
      </c>
      <c r="S424" s="4" t="str">
        <f t="shared" si="543"/>
        <v/>
      </c>
      <c r="T424" s="4" t="e">
        <f t="shared" si="509"/>
        <v>#VALUE!</v>
      </c>
      <c r="U424" s="4" t="e">
        <f t="shared" si="510"/>
        <v>#VALUE!</v>
      </c>
      <c r="V424" s="4" t="b">
        <f t="shared" si="501"/>
        <v>0</v>
      </c>
      <c r="W424" s="13" t="str">
        <f t="shared" si="502"/>
        <v>Да</v>
      </c>
      <c r="X424" s="4" t="e">
        <f>(IF(COUNTIFS($G$2:G424,"+",$W$2:W424,"Да")&gt;1,"&amp; ","")&amp;D424&amp;J424&amp;E424&amp;SUBSTITUTE(L424,"""",""))</f>
        <v>#VALUE!</v>
      </c>
      <c r="Y424" s="4" t="e">
        <f t="shared" si="540"/>
        <v>#VALUE!</v>
      </c>
    </row>
    <row r="425" spans="1:25" x14ac:dyDescent="0.3">
      <c r="A425" s="11"/>
      <c r="B425" s="5" t="str">
        <f t="shared" si="503"/>
        <v/>
      </c>
      <c r="C425" s="5" t="str">
        <f t="shared" si="504"/>
        <v/>
      </c>
      <c r="D425" s="4" t="s">
        <v>10</v>
      </c>
      <c r="E425" s="4" t="s">
        <v>11</v>
      </c>
      <c r="F425" s="4" t="str">
        <f t="shared" si="527"/>
        <v>!!!</v>
      </c>
      <c r="G425" s="4" t="str">
        <f t="shared" si="505"/>
        <v>+</v>
      </c>
      <c r="H425" s="4"/>
      <c r="I425" s="4" t="str">
        <f t="shared" si="528"/>
        <v>!!!</v>
      </c>
      <c r="J425" s="4" t="e">
        <f t="shared" si="529"/>
        <v>#VALUE!</v>
      </c>
      <c r="K425" s="4" t="e">
        <f t="shared" si="530"/>
        <v>#VALUE!</v>
      </c>
      <c r="L425" s="4" t="e">
        <f t="shared" si="531"/>
        <v>#VALUE!</v>
      </c>
      <c r="M425" s="4">
        <f t="shared" si="506"/>
        <v>1000</v>
      </c>
      <c r="N425" s="4">
        <f t="shared" ref="N425:O425" si="557">MIN(IFERROR(FIND(" ",$C425,M425+1),1000))</f>
        <v>1000</v>
      </c>
      <c r="O425" s="4">
        <f t="shared" si="557"/>
        <v>1000</v>
      </c>
      <c r="P425" s="4">
        <f t="shared" si="508"/>
        <v>0</v>
      </c>
      <c r="Q425" s="4" t="str">
        <f t="shared" si="537"/>
        <v/>
      </c>
      <c r="R425" s="4" t="str">
        <f t="shared" si="553"/>
        <v/>
      </c>
      <c r="S425" s="4" t="str">
        <f t="shared" si="543"/>
        <v/>
      </c>
      <c r="T425" s="4" t="e">
        <f t="shared" si="509"/>
        <v>#VALUE!</v>
      </c>
      <c r="U425" s="4" t="e">
        <f t="shared" si="510"/>
        <v>#VALUE!</v>
      </c>
      <c r="V425" s="4" t="b">
        <f t="shared" si="501"/>
        <v>0</v>
      </c>
      <c r="W425" s="13" t="str">
        <f t="shared" si="502"/>
        <v>Да</v>
      </c>
      <c r="X425" s="4" t="e">
        <f>(IF(COUNTIFS($G$2:G425,"+",$W$2:W425,"Да")&gt;1,"&amp; ","")&amp;D425&amp;J425&amp;E425&amp;SUBSTITUTE(L425,"""",""))</f>
        <v>#VALUE!</v>
      </c>
      <c r="Y425" s="4" t="e">
        <f t="shared" si="540"/>
        <v>#VALUE!</v>
      </c>
    </row>
    <row r="426" spans="1:25" x14ac:dyDescent="0.3">
      <c r="A426" s="11"/>
      <c r="B426" s="5" t="str">
        <f t="shared" si="503"/>
        <v/>
      </c>
      <c r="C426" s="5" t="str">
        <f t="shared" si="504"/>
        <v/>
      </c>
      <c r="D426" s="4" t="s">
        <v>10</v>
      </c>
      <c r="E426" s="4" t="s">
        <v>11</v>
      </c>
      <c r="F426" s="4" t="str">
        <f t="shared" si="527"/>
        <v>!!!</v>
      </c>
      <c r="G426" s="4" t="str">
        <f t="shared" si="505"/>
        <v>+</v>
      </c>
      <c r="H426" s="4"/>
      <c r="I426" s="4" t="str">
        <f t="shared" si="528"/>
        <v>!!!</v>
      </c>
      <c r="J426" s="4" t="e">
        <f t="shared" si="529"/>
        <v>#VALUE!</v>
      </c>
      <c r="K426" s="4" t="e">
        <f t="shared" si="530"/>
        <v>#VALUE!</v>
      </c>
      <c r="L426" s="4" t="e">
        <f t="shared" si="531"/>
        <v>#VALUE!</v>
      </c>
      <c r="M426" s="4">
        <f t="shared" si="506"/>
        <v>1000</v>
      </c>
      <c r="N426" s="4">
        <f t="shared" ref="N426:O426" si="558">MIN(IFERROR(FIND(" ",$C426,M426+1),1000))</f>
        <v>1000</v>
      </c>
      <c r="O426" s="4">
        <f t="shared" si="558"/>
        <v>1000</v>
      </c>
      <c r="P426" s="4">
        <f t="shared" si="508"/>
        <v>0</v>
      </c>
      <c r="Q426" s="4" t="str">
        <f t="shared" si="537"/>
        <v/>
      </c>
      <c r="R426" s="4" t="str">
        <f t="shared" si="553"/>
        <v/>
      </c>
      <c r="S426" s="4" t="str">
        <f t="shared" si="543"/>
        <v/>
      </c>
      <c r="T426" s="4" t="e">
        <f t="shared" si="509"/>
        <v>#VALUE!</v>
      </c>
      <c r="U426" s="4" t="e">
        <f t="shared" si="510"/>
        <v>#VALUE!</v>
      </c>
      <c r="V426" s="4" t="b">
        <f t="shared" si="501"/>
        <v>0</v>
      </c>
      <c r="W426" s="13" t="str">
        <f t="shared" si="502"/>
        <v>Да</v>
      </c>
      <c r="X426" s="4" t="e">
        <f>(IF(COUNTIFS($G$2:G426,"+",$W$2:W426,"Да")&gt;1,"&amp; ","")&amp;D426&amp;J426&amp;E426&amp;SUBSTITUTE(L426,"""",""))</f>
        <v>#VALUE!</v>
      </c>
      <c r="Y426" s="4" t="e">
        <f t="shared" si="540"/>
        <v>#VALUE!</v>
      </c>
    </row>
    <row r="427" spans="1:25" x14ac:dyDescent="0.3">
      <c r="A427" s="11"/>
      <c r="B427" s="5" t="str">
        <f t="shared" si="503"/>
        <v/>
      </c>
      <c r="C427" s="5" t="str">
        <f t="shared" si="504"/>
        <v/>
      </c>
      <c r="D427" s="4" t="s">
        <v>10</v>
      </c>
      <c r="E427" s="4" t="s">
        <v>11</v>
      </c>
      <c r="F427" s="4" t="str">
        <f t="shared" si="527"/>
        <v>!!!</v>
      </c>
      <c r="G427" s="4" t="str">
        <f t="shared" si="505"/>
        <v>+</v>
      </c>
      <c r="H427" s="4"/>
      <c r="I427" s="4" t="str">
        <f t="shared" si="528"/>
        <v>!!!</v>
      </c>
      <c r="J427" s="4" t="e">
        <f t="shared" si="529"/>
        <v>#VALUE!</v>
      </c>
      <c r="K427" s="4" t="e">
        <f t="shared" si="530"/>
        <v>#VALUE!</v>
      </c>
      <c r="L427" s="4" t="e">
        <f t="shared" si="531"/>
        <v>#VALUE!</v>
      </c>
      <c r="M427" s="4">
        <f t="shared" si="506"/>
        <v>1000</v>
      </c>
      <c r="N427" s="4">
        <f t="shared" ref="N427:O427" si="559">MIN(IFERROR(FIND(" ",$C427,M427+1),1000))</f>
        <v>1000</v>
      </c>
      <c r="O427" s="4">
        <f t="shared" si="559"/>
        <v>1000</v>
      </c>
      <c r="P427" s="4">
        <f t="shared" si="508"/>
        <v>0</v>
      </c>
      <c r="Q427" s="4" t="str">
        <f t="shared" si="537"/>
        <v/>
      </c>
      <c r="R427" s="4" t="str">
        <f t="shared" si="553"/>
        <v/>
      </c>
      <c r="S427" s="4" t="str">
        <f t="shared" si="543"/>
        <v/>
      </c>
      <c r="T427" s="4" t="e">
        <f t="shared" si="509"/>
        <v>#VALUE!</v>
      </c>
      <c r="U427" s="4" t="e">
        <f t="shared" si="510"/>
        <v>#VALUE!</v>
      </c>
      <c r="V427" s="4" t="b">
        <f t="shared" si="501"/>
        <v>0</v>
      </c>
      <c r="W427" s="13" t="str">
        <f t="shared" si="502"/>
        <v>Да</v>
      </c>
      <c r="X427" s="4" t="e">
        <f>(IF(COUNTIFS($G$2:G427,"+",$W$2:W427,"Да")&gt;1,"&amp; ","")&amp;D427&amp;J427&amp;E427&amp;SUBSTITUTE(L427,"""",""))</f>
        <v>#VALUE!</v>
      </c>
      <c r="Y427" s="4" t="e">
        <f t="shared" si="540"/>
        <v>#VALUE!</v>
      </c>
    </row>
    <row r="428" spans="1:25" x14ac:dyDescent="0.3">
      <c r="A428" s="11"/>
      <c r="B428" s="5" t="str">
        <f t="shared" si="503"/>
        <v/>
      </c>
      <c r="C428" s="5" t="str">
        <f t="shared" si="504"/>
        <v/>
      </c>
      <c r="D428" s="4" t="s">
        <v>10</v>
      </c>
      <c r="E428" s="4" t="s">
        <v>11</v>
      </c>
      <c r="F428" s="4" t="str">
        <f t="shared" si="527"/>
        <v>!!!</v>
      </c>
      <c r="G428" s="4" t="str">
        <f t="shared" si="505"/>
        <v>+</v>
      </c>
      <c r="H428" s="4"/>
      <c r="I428" s="4" t="str">
        <f t="shared" si="528"/>
        <v>!!!</v>
      </c>
      <c r="J428" s="4" t="e">
        <f t="shared" si="529"/>
        <v>#VALUE!</v>
      </c>
      <c r="K428" s="4" t="e">
        <f t="shared" si="530"/>
        <v>#VALUE!</v>
      </c>
      <c r="L428" s="4" t="e">
        <f t="shared" si="531"/>
        <v>#VALUE!</v>
      </c>
      <c r="M428" s="4">
        <f t="shared" si="506"/>
        <v>1000</v>
      </c>
      <c r="N428" s="4">
        <f t="shared" ref="N428:O428" si="560">MIN(IFERROR(FIND(" ",$C428,M428+1),1000))</f>
        <v>1000</v>
      </c>
      <c r="O428" s="4">
        <f t="shared" si="560"/>
        <v>1000</v>
      </c>
      <c r="P428" s="4">
        <f t="shared" si="508"/>
        <v>0</v>
      </c>
      <c r="Q428" s="4" t="str">
        <f t="shared" si="537"/>
        <v/>
      </c>
      <c r="R428" s="4" t="str">
        <f t="shared" si="553"/>
        <v/>
      </c>
      <c r="S428" s="4" t="str">
        <f t="shared" si="543"/>
        <v/>
      </c>
      <c r="T428" s="4" t="e">
        <f t="shared" si="509"/>
        <v>#VALUE!</v>
      </c>
      <c r="U428" s="4" t="e">
        <f t="shared" si="510"/>
        <v>#VALUE!</v>
      </c>
      <c r="V428" s="4" t="b">
        <f t="shared" si="501"/>
        <v>0</v>
      </c>
      <c r="W428" s="13" t="str">
        <f t="shared" si="502"/>
        <v>Да</v>
      </c>
      <c r="X428" s="4" t="e">
        <f>(IF(COUNTIFS($G$2:G428,"+",$W$2:W428,"Да")&gt;1,"&amp; ","")&amp;D428&amp;J428&amp;E428&amp;SUBSTITUTE(L428,"""",""))</f>
        <v>#VALUE!</v>
      </c>
      <c r="Y428" s="4" t="e">
        <f t="shared" si="540"/>
        <v>#VALUE!</v>
      </c>
    </row>
    <row r="429" spans="1:25" x14ac:dyDescent="0.3">
      <c r="A429" s="11"/>
      <c r="B429" s="5" t="str">
        <f t="shared" si="503"/>
        <v/>
      </c>
      <c r="C429" s="5" t="str">
        <f t="shared" si="504"/>
        <v/>
      </c>
      <c r="D429" s="4" t="s">
        <v>10</v>
      </c>
      <c r="E429" s="4" t="s">
        <v>11</v>
      </c>
      <c r="F429" s="4" t="str">
        <f t="shared" si="527"/>
        <v>!!!</v>
      </c>
      <c r="G429" s="4" t="str">
        <f t="shared" si="505"/>
        <v>+</v>
      </c>
      <c r="H429" s="4"/>
      <c r="I429" s="4" t="str">
        <f t="shared" si="528"/>
        <v>!!!</v>
      </c>
      <c r="J429" s="4" t="e">
        <f t="shared" si="529"/>
        <v>#VALUE!</v>
      </c>
      <c r="K429" s="4" t="e">
        <f t="shared" si="530"/>
        <v>#VALUE!</v>
      </c>
      <c r="L429" s="4" t="e">
        <f t="shared" si="531"/>
        <v>#VALUE!</v>
      </c>
      <c r="M429" s="4">
        <f t="shared" si="506"/>
        <v>1000</v>
      </c>
      <c r="N429" s="4">
        <f t="shared" ref="N429:O429" si="561">MIN(IFERROR(FIND(" ",$C429,M429+1),1000))</f>
        <v>1000</v>
      </c>
      <c r="O429" s="4">
        <f t="shared" si="561"/>
        <v>1000</v>
      </c>
      <c r="P429" s="4">
        <f t="shared" si="508"/>
        <v>0</v>
      </c>
      <c r="Q429" s="4" t="str">
        <f t="shared" si="537"/>
        <v/>
      </c>
      <c r="R429" s="4" t="str">
        <f t="shared" si="553"/>
        <v/>
      </c>
      <c r="S429" s="4" t="str">
        <f t="shared" si="543"/>
        <v/>
      </c>
      <c r="T429" s="4" t="e">
        <f t="shared" si="509"/>
        <v>#VALUE!</v>
      </c>
      <c r="U429" s="4" t="e">
        <f t="shared" si="510"/>
        <v>#VALUE!</v>
      </c>
      <c r="V429" s="4" t="b">
        <f t="shared" si="501"/>
        <v>0</v>
      </c>
      <c r="W429" s="13" t="str">
        <f t="shared" si="502"/>
        <v>Да</v>
      </c>
      <c r="X429" s="4" t="e">
        <f>(IF(COUNTIFS($G$2:G429,"+",$W$2:W429,"Да")&gt;1,"&amp; ","")&amp;D429&amp;J429&amp;E429&amp;SUBSTITUTE(L429,"""",""))</f>
        <v>#VALUE!</v>
      </c>
      <c r="Y429" s="4" t="e">
        <f t="shared" si="540"/>
        <v>#VALUE!</v>
      </c>
    </row>
    <row r="430" spans="1:25" x14ac:dyDescent="0.3">
      <c r="A430" s="11"/>
      <c r="B430" s="5" t="str">
        <f t="shared" si="503"/>
        <v/>
      </c>
      <c r="C430" s="5" t="str">
        <f t="shared" si="504"/>
        <v/>
      </c>
      <c r="D430" s="4" t="s">
        <v>10</v>
      </c>
      <c r="E430" s="4" t="s">
        <v>11</v>
      </c>
      <c r="F430" s="4" t="str">
        <f t="shared" si="527"/>
        <v>!!!</v>
      </c>
      <c r="G430" s="4" t="str">
        <f t="shared" si="505"/>
        <v>+</v>
      </c>
      <c r="H430" s="4"/>
      <c r="I430" s="4" t="str">
        <f t="shared" si="528"/>
        <v>!!!</v>
      </c>
      <c r="J430" s="4" t="e">
        <f t="shared" si="529"/>
        <v>#VALUE!</v>
      </c>
      <c r="K430" s="4" t="e">
        <f t="shared" si="530"/>
        <v>#VALUE!</v>
      </c>
      <c r="L430" s="4" t="e">
        <f t="shared" si="531"/>
        <v>#VALUE!</v>
      </c>
      <c r="M430" s="4">
        <f t="shared" si="506"/>
        <v>1000</v>
      </c>
      <c r="N430" s="4">
        <f t="shared" ref="N430:O430" si="562">MIN(IFERROR(FIND(" ",$C430,M430+1),1000))</f>
        <v>1000</v>
      </c>
      <c r="O430" s="4">
        <f t="shared" si="562"/>
        <v>1000</v>
      </c>
      <c r="P430" s="4">
        <f t="shared" si="508"/>
        <v>0</v>
      </c>
      <c r="Q430" s="4" t="str">
        <f t="shared" si="537"/>
        <v/>
      </c>
      <c r="R430" s="4" t="str">
        <f t="shared" si="553"/>
        <v/>
      </c>
      <c r="S430" s="4" t="str">
        <f t="shared" si="543"/>
        <v/>
      </c>
      <c r="T430" s="4" t="e">
        <f t="shared" si="509"/>
        <v>#VALUE!</v>
      </c>
      <c r="U430" s="4" t="e">
        <f t="shared" si="510"/>
        <v>#VALUE!</v>
      </c>
      <c r="V430" s="4" t="b">
        <f t="shared" si="501"/>
        <v>0</v>
      </c>
      <c r="W430" s="13" t="str">
        <f t="shared" si="502"/>
        <v>Да</v>
      </c>
      <c r="X430" s="4" t="e">
        <f>(IF(COUNTIFS($G$2:G430,"+",$W$2:W430,"Да")&gt;1,"&amp; ","")&amp;D430&amp;J430&amp;E430&amp;SUBSTITUTE(L430,"""",""))</f>
        <v>#VALUE!</v>
      </c>
      <c r="Y430" s="4" t="e">
        <f t="shared" si="540"/>
        <v>#VALUE!</v>
      </c>
    </row>
    <row r="431" spans="1:25" x14ac:dyDescent="0.3">
      <c r="A431" s="11"/>
      <c r="B431" s="5" t="str">
        <f t="shared" si="503"/>
        <v/>
      </c>
      <c r="C431" s="5" t="str">
        <f t="shared" si="504"/>
        <v/>
      </c>
      <c r="D431" s="4" t="s">
        <v>10</v>
      </c>
      <c r="E431" s="4" t="s">
        <v>11</v>
      </c>
      <c r="F431" s="4" t="str">
        <f t="shared" si="527"/>
        <v>!!!</v>
      </c>
      <c r="G431" s="4" t="str">
        <f t="shared" si="505"/>
        <v>+</v>
      </c>
      <c r="H431" s="4"/>
      <c r="I431" s="4" t="str">
        <f t="shared" si="528"/>
        <v>!!!</v>
      </c>
      <c r="J431" s="4" t="e">
        <f t="shared" si="529"/>
        <v>#VALUE!</v>
      </c>
      <c r="K431" s="4" t="e">
        <f t="shared" si="530"/>
        <v>#VALUE!</v>
      </c>
      <c r="L431" s="4" t="e">
        <f t="shared" si="531"/>
        <v>#VALUE!</v>
      </c>
      <c r="M431" s="4">
        <f t="shared" si="506"/>
        <v>1000</v>
      </c>
      <c r="N431" s="4">
        <f t="shared" ref="N431:O431" si="563">MIN(IFERROR(FIND(" ",$C431,M431+1),1000))</f>
        <v>1000</v>
      </c>
      <c r="O431" s="4">
        <f t="shared" si="563"/>
        <v>1000</v>
      </c>
      <c r="P431" s="4">
        <f t="shared" si="508"/>
        <v>0</v>
      </c>
      <c r="Q431" s="4" t="str">
        <f t="shared" si="537"/>
        <v/>
      </c>
      <c r="R431" s="4" t="str">
        <f t="shared" si="553"/>
        <v/>
      </c>
      <c r="S431" s="4" t="str">
        <f t="shared" si="543"/>
        <v/>
      </c>
      <c r="T431" s="4" t="e">
        <f t="shared" si="509"/>
        <v>#VALUE!</v>
      </c>
      <c r="U431" s="4" t="e">
        <f t="shared" si="510"/>
        <v>#VALUE!</v>
      </c>
      <c r="V431" s="4" t="b">
        <f t="shared" si="501"/>
        <v>0</v>
      </c>
      <c r="W431" s="13" t="str">
        <f t="shared" si="502"/>
        <v>Да</v>
      </c>
      <c r="X431" s="4" t="e">
        <f>(IF(COUNTIFS($G$2:G431,"+",$W$2:W431,"Да")&gt;1,"&amp; ","")&amp;D431&amp;J431&amp;E431&amp;SUBSTITUTE(L431,"""",""))</f>
        <v>#VALUE!</v>
      </c>
      <c r="Y431" s="4" t="e">
        <f t="shared" si="540"/>
        <v>#VALUE!</v>
      </c>
    </row>
    <row r="432" spans="1:25" x14ac:dyDescent="0.3">
      <c r="A432" s="11"/>
      <c r="B432" s="5" t="str">
        <f t="shared" si="503"/>
        <v/>
      </c>
      <c r="C432" s="5" t="str">
        <f t="shared" si="504"/>
        <v/>
      </c>
      <c r="D432" s="4" t="s">
        <v>10</v>
      </c>
      <c r="E432" s="4" t="s">
        <v>11</v>
      </c>
      <c r="F432" s="4" t="str">
        <f t="shared" si="527"/>
        <v>!!!</v>
      </c>
      <c r="G432" s="4" t="str">
        <f t="shared" si="505"/>
        <v>+</v>
      </c>
      <c r="H432" s="4"/>
      <c r="I432" s="4" t="str">
        <f t="shared" si="528"/>
        <v>!!!</v>
      </c>
      <c r="J432" s="4" t="e">
        <f t="shared" si="529"/>
        <v>#VALUE!</v>
      </c>
      <c r="K432" s="4" t="e">
        <f t="shared" si="530"/>
        <v>#VALUE!</v>
      </c>
      <c r="L432" s="4" t="e">
        <f t="shared" si="531"/>
        <v>#VALUE!</v>
      </c>
      <c r="M432" s="4">
        <f t="shared" si="506"/>
        <v>1000</v>
      </c>
      <c r="N432" s="4">
        <f t="shared" ref="N432:O432" si="564">MIN(IFERROR(FIND(" ",$C432,M432+1),1000))</f>
        <v>1000</v>
      </c>
      <c r="O432" s="4">
        <f t="shared" si="564"/>
        <v>1000</v>
      </c>
      <c r="P432" s="4">
        <f t="shared" si="508"/>
        <v>0</v>
      </c>
      <c r="Q432" s="4" t="str">
        <f t="shared" si="537"/>
        <v/>
      </c>
      <c r="R432" s="4" t="str">
        <f t="shared" si="553"/>
        <v/>
      </c>
      <c r="S432" s="4" t="str">
        <f t="shared" si="543"/>
        <v/>
      </c>
      <c r="T432" s="4" t="e">
        <f t="shared" si="509"/>
        <v>#VALUE!</v>
      </c>
      <c r="U432" s="4" t="e">
        <f t="shared" si="510"/>
        <v>#VALUE!</v>
      </c>
      <c r="V432" s="4" t="b">
        <f t="shared" si="501"/>
        <v>0</v>
      </c>
      <c r="W432" s="13" t="str">
        <f t="shared" si="502"/>
        <v>Да</v>
      </c>
      <c r="X432" s="4" t="e">
        <f>(IF(COUNTIFS($G$2:G432,"+",$W$2:W432,"Да")&gt;1,"&amp; ","")&amp;D432&amp;J432&amp;E432&amp;SUBSTITUTE(L432,"""",""))</f>
        <v>#VALUE!</v>
      </c>
      <c r="Y432" s="4" t="e">
        <f t="shared" si="540"/>
        <v>#VALUE!</v>
      </c>
    </row>
    <row r="433" spans="1:25" x14ac:dyDescent="0.3">
      <c r="A433" s="11"/>
      <c r="B433" s="5" t="str">
        <f t="shared" si="503"/>
        <v/>
      </c>
      <c r="C433" s="5" t="str">
        <f t="shared" si="504"/>
        <v/>
      </c>
      <c r="D433" s="4" t="s">
        <v>10</v>
      </c>
      <c r="E433" s="4" t="s">
        <v>11</v>
      </c>
      <c r="F433" s="4" t="str">
        <f t="shared" si="527"/>
        <v>!!!</v>
      </c>
      <c r="G433" s="4" t="str">
        <f t="shared" si="505"/>
        <v>+</v>
      </c>
      <c r="H433" s="4"/>
      <c r="I433" s="4" t="str">
        <f t="shared" si="528"/>
        <v>!!!</v>
      </c>
      <c r="J433" s="4" t="e">
        <f t="shared" si="529"/>
        <v>#VALUE!</v>
      </c>
      <c r="K433" s="4" t="e">
        <f t="shared" si="530"/>
        <v>#VALUE!</v>
      </c>
      <c r="L433" s="4" t="e">
        <f t="shared" si="531"/>
        <v>#VALUE!</v>
      </c>
      <c r="M433" s="4">
        <f t="shared" si="506"/>
        <v>1000</v>
      </c>
      <c r="N433" s="4">
        <f t="shared" ref="N433:O433" si="565">MIN(IFERROR(FIND(" ",$C433,M433+1),1000))</f>
        <v>1000</v>
      </c>
      <c r="O433" s="4">
        <f t="shared" si="565"/>
        <v>1000</v>
      </c>
      <c r="P433" s="4">
        <f t="shared" si="508"/>
        <v>0</v>
      </c>
      <c r="Q433" s="4" t="str">
        <f t="shared" si="537"/>
        <v/>
      </c>
      <c r="R433" s="4" t="str">
        <f t="shared" si="553"/>
        <v/>
      </c>
      <c r="S433" s="4" t="str">
        <f t="shared" si="543"/>
        <v/>
      </c>
      <c r="T433" s="4" t="e">
        <f t="shared" si="509"/>
        <v>#VALUE!</v>
      </c>
      <c r="U433" s="4" t="e">
        <f t="shared" si="510"/>
        <v>#VALUE!</v>
      </c>
      <c r="V433" s="4" t="b">
        <f t="shared" si="501"/>
        <v>0</v>
      </c>
      <c r="W433" s="13" t="str">
        <f t="shared" si="502"/>
        <v>Да</v>
      </c>
      <c r="X433" s="4" t="e">
        <f>(IF(COUNTIFS($G$2:G433,"+",$W$2:W433,"Да")&gt;1,"&amp; ","")&amp;D433&amp;J433&amp;E433&amp;SUBSTITUTE(L433,"""",""))</f>
        <v>#VALUE!</v>
      </c>
      <c r="Y433" s="4" t="e">
        <f t="shared" si="540"/>
        <v>#VALUE!</v>
      </c>
    </row>
    <row r="434" spans="1:25" x14ac:dyDescent="0.3">
      <c r="A434" s="11"/>
      <c r="B434" s="5" t="str">
        <f t="shared" si="503"/>
        <v/>
      </c>
      <c r="C434" s="5" t="str">
        <f t="shared" si="504"/>
        <v/>
      </c>
      <c r="D434" s="4" t="s">
        <v>10</v>
      </c>
      <c r="E434" s="4" t="s">
        <v>11</v>
      </c>
      <c r="F434" s="4" t="str">
        <f t="shared" si="527"/>
        <v>!!!</v>
      </c>
      <c r="G434" s="4" t="str">
        <f t="shared" si="505"/>
        <v>+</v>
      </c>
      <c r="H434" s="4"/>
      <c r="I434" s="4" t="str">
        <f t="shared" si="528"/>
        <v>!!!</v>
      </c>
      <c r="J434" s="4" t="e">
        <f t="shared" si="529"/>
        <v>#VALUE!</v>
      </c>
      <c r="K434" s="4" t="e">
        <f t="shared" si="530"/>
        <v>#VALUE!</v>
      </c>
      <c r="L434" s="4" t="e">
        <f t="shared" si="531"/>
        <v>#VALUE!</v>
      </c>
      <c r="M434" s="4">
        <f t="shared" si="506"/>
        <v>1000</v>
      </c>
      <c r="N434" s="4">
        <f t="shared" ref="N434:O434" si="566">MIN(IFERROR(FIND(" ",$C434,M434+1),1000))</f>
        <v>1000</v>
      </c>
      <c r="O434" s="4">
        <f t="shared" si="566"/>
        <v>1000</v>
      </c>
      <c r="P434" s="4">
        <f t="shared" si="508"/>
        <v>0</v>
      </c>
      <c r="Q434" s="4" t="str">
        <f t="shared" si="537"/>
        <v/>
      </c>
      <c r="R434" s="4" t="str">
        <f t="shared" si="553"/>
        <v/>
      </c>
      <c r="S434" s="4" t="str">
        <f t="shared" si="543"/>
        <v/>
      </c>
      <c r="T434" s="4" t="e">
        <f t="shared" si="509"/>
        <v>#VALUE!</v>
      </c>
      <c r="U434" s="4" t="e">
        <f t="shared" si="510"/>
        <v>#VALUE!</v>
      </c>
      <c r="V434" s="4" t="b">
        <f t="shared" si="501"/>
        <v>0</v>
      </c>
      <c r="W434" s="13" t="str">
        <f t="shared" si="502"/>
        <v>Да</v>
      </c>
      <c r="X434" s="4" t="e">
        <f>(IF(COUNTIFS($G$2:G434,"+",$W$2:W434,"Да")&gt;1,"&amp; ","")&amp;D434&amp;J434&amp;E434&amp;SUBSTITUTE(L434,"""",""))</f>
        <v>#VALUE!</v>
      </c>
      <c r="Y434" s="4" t="e">
        <f t="shared" si="540"/>
        <v>#VALUE!</v>
      </c>
    </row>
    <row r="435" spans="1:25" x14ac:dyDescent="0.3">
      <c r="A435" s="11"/>
      <c r="B435" s="5" t="str">
        <f t="shared" si="503"/>
        <v/>
      </c>
      <c r="C435" s="5" t="str">
        <f t="shared" si="504"/>
        <v/>
      </c>
      <c r="D435" s="4" t="s">
        <v>10</v>
      </c>
      <c r="E435" s="4" t="s">
        <v>11</v>
      </c>
      <c r="F435" s="4" t="str">
        <f t="shared" si="527"/>
        <v>!!!</v>
      </c>
      <c r="G435" s="4" t="str">
        <f t="shared" si="505"/>
        <v>+</v>
      </c>
      <c r="H435" s="4"/>
      <c r="I435" s="4" t="str">
        <f t="shared" si="528"/>
        <v>!!!</v>
      </c>
      <c r="J435" s="4" t="e">
        <f t="shared" si="529"/>
        <v>#VALUE!</v>
      </c>
      <c r="K435" s="4" t="e">
        <f t="shared" si="530"/>
        <v>#VALUE!</v>
      </c>
      <c r="L435" s="4" t="e">
        <f t="shared" si="531"/>
        <v>#VALUE!</v>
      </c>
      <c r="M435" s="4">
        <f t="shared" si="506"/>
        <v>1000</v>
      </c>
      <c r="N435" s="4">
        <f t="shared" ref="N435:O435" si="567">MIN(IFERROR(FIND(" ",$C435,M435+1),1000))</f>
        <v>1000</v>
      </c>
      <c r="O435" s="4">
        <f t="shared" si="567"/>
        <v>1000</v>
      </c>
      <c r="P435" s="4">
        <f t="shared" si="508"/>
        <v>0</v>
      </c>
      <c r="Q435" s="4" t="str">
        <f t="shared" si="537"/>
        <v/>
      </c>
      <c r="R435" s="4" t="str">
        <f t="shared" si="553"/>
        <v/>
      </c>
      <c r="S435" s="4" t="str">
        <f t="shared" si="543"/>
        <v/>
      </c>
      <c r="T435" s="4" t="e">
        <f t="shared" si="509"/>
        <v>#VALUE!</v>
      </c>
      <c r="U435" s="4" t="e">
        <f t="shared" si="510"/>
        <v>#VALUE!</v>
      </c>
      <c r="V435" s="4" t="b">
        <f t="shared" si="501"/>
        <v>0</v>
      </c>
      <c r="W435" s="13" t="str">
        <f t="shared" si="502"/>
        <v>Да</v>
      </c>
      <c r="X435" s="4" t="e">
        <f>(IF(COUNTIFS($G$2:G435,"+",$W$2:W435,"Да")&gt;1,"&amp; ","")&amp;D435&amp;J435&amp;E435&amp;SUBSTITUTE(L435,"""",""))</f>
        <v>#VALUE!</v>
      </c>
      <c r="Y435" s="4" t="e">
        <f t="shared" si="540"/>
        <v>#VALUE!</v>
      </c>
    </row>
    <row r="436" spans="1:25" x14ac:dyDescent="0.3">
      <c r="A436" s="11"/>
      <c r="B436" s="5" t="str">
        <f t="shared" si="503"/>
        <v/>
      </c>
      <c r="C436" s="5" t="str">
        <f t="shared" si="504"/>
        <v/>
      </c>
      <c r="D436" s="4" t="s">
        <v>10</v>
      </c>
      <c r="E436" s="4" t="s">
        <v>11</v>
      </c>
      <c r="F436" s="4" t="str">
        <f t="shared" si="527"/>
        <v>!!!</v>
      </c>
      <c r="G436" s="4" t="str">
        <f t="shared" si="505"/>
        <v>+</v>
      </c>
      <c r="H436" s="4"/>
      <c r="I436" s="4" t="str">
        <f t="shared" si="528"/>
        <v>!!!</v>
      </c>
      <c r="J436" s="4" t="e">
        <f t="shared" si="529"/>
        <v>#VALUE!</v>
      </c>
      <c r="K436" s="4" t="e">
        <f t="shared" si="530"/>
        <v>#VALUE!</v>
      </c>
      <c r="L436" s="4" t="e">
        <f t="shared" si="531"/>
        <v>#VALUE!</v>
      </c>
      <c r="M436" s="4">
        <f t="shared" si="506"/>
        <v>1000</v>
      </c>
      <c r="N436" s="4">
        <f t="shared" ref="N436:O436" si="568">MIN(IFERROR(FIND(" ",$C436,M436+1),1000))</f>
        <v>1000</v>
      </c>
      <c r="O436" s="4">
        <f t="shared" si="568"/>
        <v>1000</v>
      </c>
      <c r="P436" s="4">
        <f t="shared" si="508"/>
        <v>0</v>
      </c>
      <c r="Q436" s="4" t="str">
        <f t="shared" si="537"/>
        <v/>
      </c>
      <c r="R436" s="4" t="str">
        <f t="shared" si="553"/>
        <v/>
      </c>
      <c r="S436" s="4" t="str">
        <f t="shared" si="543"/>
        <v/>
      </c>
      <c r="T436" s="4" t="e">
        <f t="shared" si="509"/>
        <v>#VALUE!</v>
      </c>
      <c r="U436" s="4" t="e">
        <f t="shared" si="510"/>
        <v>#VALUE!</v>
      </c>
      <c r="V436" s="4" t="b">
        <f t="shared" si="501"/>
        <v>0</v>
      </c>
      <c r="W436" s="13" t="str">
        <f t="shared" si="502"/>
        <v>Да</v>
      </c>
      <c r="X436" s="4" t="e">
        <f>(IF(COUNTIFS($G$2:G436,"+",$W$2:W436,"Да")&gt;1,"&amp; ","")&amp;D436&amp;J436&amp;E436&amp;SUBSTITUTE(L436,"""",""))</f>
        <v>#VALUE!</v>
      </c>
      <c r="Y436" s="4" t="e">
        <f t="shared" si="540"/>
        <v>#VALUE!</v>
      </c>
    </row>
    <row r="437" spans="1:25" x14ac:dyDescent="0.3">
      <c r="A437" s="11"/>
      <c r="B437" s="5" t="str">
        <f t="shared" si="503"/>
        <v/>
      </c>
      <c r="C437" s="5" t="str">
        <f t="shared" si="504"/>
        <v/>
      </c>
      <c r="D437" s="4" t="s">
        <v>10</v>
      </c>
      <c r="E437" s="4" t="s">
        <v>11</v>
      </c>
      <c r="F437" s="4" t="str">
        <f t="shared" si="527"/>
        <v>!!!</v>
      </c>
      <c r="G437" s="4" t="str">
        <f t="shared" si="505"/>
        <v>+</v>
      </c>
      <c r="H437" s="4"/>
      <c r="I437" s="4" t="str">
        <f t="shared" si="528"/>
        <v>!!!</v>
      </c>
      <c r="J437" s="4" t="e">
        <f t="shared" si="529"/>
        <v>#VALUE!</v>
      </c>
      <c r="K437" s="4" t="e">
        <f t="shared" si="530"/>
        <v>#VALUE!</v>
      </c>
      <c r="L437" s="4" t="e">
        <f t="shared" si="531"/>
        <v>#VALUE!</v>
      </c>
      <c r="M437" s="4">
        <f t="shared" si="506"/>
        <v>1000</v>
      </c>
      <c r="N437" s="4">
        <f t="shared" ref="N437:O437" si="569">MIN(IFERROR(FIND(" ",$C437,M437+1),1000))</f>
        <v>1000</v>
      </c>
      <c r="O437" s="4">
        <f t="shared" si="569"/>
        <v>1000</v>
      </c>
      <c r="P437" s="4">
        <f t="shared" si="508"/>
        <v>0</v>
      </c>
      <c r="Q437" s="4" t="str">
        <f t="shared" si="537"/>
        <v/>
      </c>
      <c r="R437" s="4" t="str">
        <f t="shared" si="553"/>
        <v/>
      </c>
      <c r="S437" s="4" t="str">
        <f t="shared" si="543"/>
        <v/>
      </c>
      <c r="T437" s="4" t="e">
        <f t="shared" si="509"/>
        <v>#VALUE!</v>
      </c>
      <c r="U437" s="4" t="e">
        <f t="shared" si="510"/>
        <v>#VALUE!</v>
      </c>
      <c r="V437" s="4" t="b">
        <f t="shared" si="501"/>
        <v>0</v>
      </c>
      <c r="W437" s="13" t="str">
        <f t="shared" si="502"/>
        <v>Да</v>
      </c>
      <c r="X437" s="4" t="e">
        <f>(IF(COUNTIFS($G$2:G437,"+",$W$2:W437,"Да")&gt;1,"&amp; ","")&amp;D437&amp;J437&amp;E437&amp;SUBSTITUTE(L437,"""",""))</f>
        <v>#VALUE!</v>
      </c>
      <c r="Y437" s="4" t="e">
        <f t="shared" si="540"/>
        <v>#VALUE!</v>
      </c>
    </row>
    <row r="438" spans="1:25" x14ac:dyDescent="0.3">
      <c r="A438" s="11"/>
      <c r="B438" s="5" t="str">
        <f t="shared" si="503"/>
        <v/>
      </c>
      <c r="C438" s="5" t="str">
        <f t="shared" si="504"/>
        <v/>
      </c>
      <c r="D438" s="4" t="s">
        <v>10</v>
      </c>
      <c r="E438" s="4" t="s">
        <v>11</v>
      </c>
      <c r="F438" s="4" t="str">
        <f t="shared" si="527"/>
        <v>!!!</v>
      </c>
      <c r="G438" s="4" t="str">
        <f t="shared" si="505"/>
        <v>+</v>
      </c>
      <c r="H438" s="4"/>
      <c r="I438" s="4" t="str">
        <f t="shared" si="528"/>
        <v>!!!</v>
      </c>
      <c r="J438" s="4" t="e">
        <f t="shared" si="529"/>
        <v>#VALUE!</v>
      </c>
      <c r="K438" s="4" t="e">
        <f t="shared" si="530"/>
        <v>#VALUE!</v>
      </c>
      <c r="L438" s="4" t="e">
        <f t="shared" si="531"/>
        <v>#VALUE!</v>
      </c>
      <c r="M438" s="4">
        <f t="shared" si="506"/>
        <v>1000</v>
      </c>
      <c r="N438" s="4">
        <f t="shared" ref="N438:O438" si="570">MIN(IFERROR(FIND(" ",$C438,M438+1),1000))</f>
        <v>1000</v>
      </c>
      <c r="O438" s="4">
        <f t="shared" si="570"/>
        <v>1000</v>
      </c>
      <c r="P438" s="4">
        <f t="shared" si="508"/>
        <v>0</v>
      </c>
      <c r="Q438" s="4" t="str">
        <f t="shared" si="537"/>
        <v/>
      </c>
      <c r="R438" s="4" t="str">
        <f t="shared" si="553"/>
        <v/>
      </c>
      <c r="S438" s="4" t="str">
        <f t="shared" si="543"/>
        <v/>
      </c>
      <c r="T438" s="4" t="e">
        <f t="shared" si="509"/>
        <v>#VALUE!</v>
      </c>
      <c r="U438" s="4" t="e">
        <f t="shared" si="510"/>
        <v>#VALUE!</v>
      </c>
      <c r="V438" s="4" t="b">
        <f t="shared" si="501"/>
        <v>0</v>
      </c>
      <c r="W438" s="13" t="str">
        <f t="shared" si="502"/>
        <v>Да</v>
      </c>
      <c r="X438" s="4" t="e">
        <f>(IF(COUNTIFS($G$2:G438,"+",$W$2:W438,"Да")&gt;1,"&amp; ","")&amp;D438&amp;J438&amp;E438&amp;SUBSTITUTE(L438,"""",""))</f>
        <v>#VALUE!</v>
      </c>
      <c r="Y438" s="4" t="e">
        <f t="shared" si="540"/>
        <v>#VALUE!</v>
      </c>
    </row>
    <row r="439" spans="1:25" x14ac:dyDescent="0.3">
      <c r="A439" s="11"/>
      <c r="B439" s="5" t="str">
        <f t="shared" si="503"/>
        <v/>
      </c>
      <c r="C439" s="5" t="str">
        <f t="shared" si="504"/>
        <v/>
      </c>
      <c r="D439" s="4" t="s">
        <v>10</v>
      </c>
      <c r="E439" s="4" t="s">
        <v>11</v>
      </c>
      <c r="F439" s="4" t="str">
        <f t="shared" si="527"/>
        <v>!!!</v>
      </c>
      <c r="G439" s="4" t="str">
        <f t="shared" si="505"/>
        <v>+</v>
      </c>
      <c r="H439" s="4"/>
      <c r="I439" s="4" t="str">
        <f t="shared" si="528"/>
        <v>!!!</v>
      </c>
      <c r="J439" s="4" t="e">
        <f t="shared" si="529"/>
        <v>#VALUE!</v>
      </c>
      <c r="K439" s="4" t="e">
        <f t="shared" si="530"/>
        <v>#VALUE!</v>
      </c>
      <c r="L439" s="4" t="e">
        <f t="shared" si="531"/>
        <v>#VALUE!</v>
      </c>
      <c r="M439" s="4">
        <f t="shared" si="506"/>
        <v>1000</v>
      </c>
      <c r="N439" s="4">
        <f t="shared" ref="N439:O439" si="571">MIN(IFERROR(FIND(" ",$C439,M439+1),1000))</f>
        <v>1000</v>
      </c>
      <c r="O439" s="4">
        <f t="shared" si="571"/>
        <v>1000</v>
      </c>
      <c r="P439" s="4">
        <f t="shared" si="508"/>
        <v>0</v>
      </c>
      <c r="Q439" s="4" t="str">
        <f t="shared" si="537"/>
        <v/>
      </c>
      <c r="R439" s="4" t="str">
        <f t="shared" si="553"/>
        <v/>
      </c>
      <c r="S439" s="4" t="str">
        <f t="shared" si="543"/>
        <v/>
      </c>
      <c r="T439" s="4" t="e">
        <f t="shared" si="509"/>
        <v>#VALUE!</v>
      </c>
      <c r="U439" s="4" t="e">
        <f t="shared" si="510"/>
        <v>#VALUE!</v>
      </c>
      <c r="V439" s="4" t="b">
        <f t="shared" si="501"/>
        <v>0</v>
      </c>
      <c r="W439" s="13" t="str">
        <f t="shared" si="502"/>
        <v>Да</v>
      </c>
      <c r="X439" s="4" t="e">
        <f>(IF(COUNTIFS($G$2:G439,"+",$W$2:W439,"Да")&gt;1,"&amp; ","")&amp;D439&amp;J439&amp;E439&amp;SUBSTITUTE(L439,"""",""))</f>
        <v>#VALUE!</v>
      </c>
      <c r="Y439" s="4" t="e">
        <f t="shared" si="540"/>
        <v>#VALUE!</v>
      </c>
    </row>
    <row r="440" spans="1:25" x14ac:dyDescent="0.3">
      <c r="A440" s="11"/>
      <c r="B440" s="5" t="str">
        <f t="shared" si="503"/>
        <v/>
      </c>
      <c r="C440" s="5" t="str">
        <f t="shared" si="504"/>
        <v/>
      </c>
      <c r="D440" s="4" t="s">
        <v>10</v>
      </c>
      <c r="E440" s="4" t="s">
        <v>11</v>
      </c>
      <c r="F440" s="4" t="str">
        <f t="shared" si="527"/>
        <v>!!!</v>
      </c>
      <c r="G440" s="4" t="str">
        <f t="shared" si="505"/>
        <v>+</v>
      </c>
      <c r="H440" s="4"/>
      <c r="I440" s="4" t="str">
        <f t="shared" si="528"/>
        <v>!!!</v>
      </c>
      <c r="J440" s="4" t="e">
        <f t="shared" si="529"/>
        <v>#VALUE!</v>
      </c>
      <c r="K440" s="4" t="e">
        <f t="shared" si="530"/>
        <v>#VALUE!</v>
      </c>
      <c r="L440" s="4" t="e">
        <f t="shared" si="531"/>
        <v>#VALUE!</v>
      </c>
      <c r="M440" s="4">
        <f t="shared" si="506"/>
        <v>1000</v>
      </c>
      <c r="N440" s="4">
        <f t="shared" ref="N440:O440" si="572">MIN(IFERROR(FIND(" ",$C440,M440+1),1000))</f>
        <v>1000</v>
      </c>
      <c r="O440" s="4">
        <f t="shared" si="572"/>
        <v>1000</v>
      </c>
      <c r="P440" s="4">
        <f t="shared" si="508"/>
        <v>0</v>
      </c>
      <c r="Q440" s="4" t="str">
        <f t="shared" si="537"/>
        <v/>
      </c>
      <c r="R440" s="4" t="str">
        <f t="shared" si="553"/>
        <v/>
      </c>
      <c r="S440" s="4" t="str">
        <f t="shared" si="543"/>
        <v/>
      </c>
      <c r="T440" s="4" t="e">
        <f t="shared" si="509"/>
        <v>#VALUE!</v>
      </c>
      <c r="U440" s="4" t="e">
        <f t="shared" si="510"/>
        <v>#VALUE!</v>
      </c>
      <c r="V440" s="4" t="b">
        <f t="shared" si="501"/>
        <v>0</v>
      </c>
      <c r="W440" s="13" t="str">
        <f t="shared" si="502"/>
        <v>Да</v>
      </c>
      <c r="X440" s="4" t="e">
        <f>(IF(COUNTIFS($G$2:G440,"+",$W$2:W440,"Да")&gt;1,"&amp; ","")&amp;D440&amp;J440&amp;E440&amp;SUBSTITUTE(L440,"""",""))</f>
        <v>#VALUE!</v>
      </c>
      <c r="Y440" s="4" t="e">
        <f t="shared" si="540"/>
        <v>#VALUE!</v>
      </c>
    </row>
    <row r="441" spans="1:25" x14ac:dyDescent="0.3">
      <c r="A441" s="11"/>
      <c r="B441" s="5" t="str">
        <f t="shared" si="503"/>
        <v/>
      </c>
      <c r="C441" s="5" t="str">
        <f t="shared" si="504"/>
        <v/>
      </c>
      <c r="D441" s="4" t="s">
        <v>10</v>
      </c>
      <c r="E441" s="4" t="s">
        <v>11</v>
      </c>
      <c r="F441" s="4" t="str">
        <f t="shared" si="527"/>
        <v>!!!</v>
      </c>
      <c r="G441" s="4" t="str">
        <f t="shared" si="505"/>
        <v>+</v>
      </c>
      <c r="H441" s="4"/>
      <c r="I441" s="4" t="str">
        <f t="shared" si="528"/>
        <v>!!!</v>
      </c>
      <c r="J441" s="4" t="e">
        <f t="shared" si="529"/>
        <v>#VALUE!</v>
      </c>
      <c r="K441" s="4" t="e">
        <f t="shared" si="530"/>
        <v>#VALUE!</v>
      </c>
      <c r="L441" s="4" t="e">
        <f t="shared" si="531"/>
        <v>#VALUE!</v>
      </c>
      <c r="M441" s="4">
        <f t="shared" si="506"/>
        <v>1000</v>
      </c>
      <c r="N441" s="4">
        <f t="shared" ref="N441:O441" si="573">MIN(IFERROR(FIND(" ",$C441,M441+1),1000))</f>
        <v>1000</v>
      </c>
      <c r="O441" s="4">
        <f t="shared" si="573"/>
        <v>1000</v>
      </c>
      <c r="P441" s="4">
        <f t="shared" si="508"/>
        <v>0</v>
      </c>
      <c r="Q441" s="4" t="str">
        <f t="shared" si="537"/>
        <v/>
      </c>
      <c r="R441" s="4" t="str">
        <f t="shared" si="553"/>
        <v/>
      </c>
      <c r="S441" s="4" t="str">
        <f t="shared" si="543"/>
        <v/>
      </c>
      <c r="T441" s="4" t="e">
        <f t="shared" si="509"/>
        <v>#VALUE!</v>
      </c>
      <c r="U441" s="4" t="e">
        <f t="shared" si="510"/>
        <v>#VALUE!</v>
      </c>
      <c r="V441" s="4" t="b">
        <f t="shared" si="501"/>
        <v>0</v>
      </c>
      <c r="W441" s="13" t="str">
        <f t="shared" si="502"/>
        <v>Да</v>
      </c>
      <c r="X441" s="4" t="e">
        <f>(IF(COUNTIFS($G$2:G441,"+",$W$2:W441,"Да")&gt;1,"&amp; ","")&amp;D441&amp;J441&amp;E441&amp;SUBSTITUTE(L441,"""",""))</f>
        <v>#VALUE!</v>
      </c>
      <c r="Y441" s="4" t="e">
        <f t="shared" si="540"/>
        <v>#VALUE!</v>
      </c>
    </row>
    <row r="442" spans="1:25" x14ac:dyDescent="0.3">
      <c r="A442" s="11"/>
      <c r="B442" s="5" t="str">
        <f t="shared" si="503"/>
        <v/>
      </c>
      <c r="C442" s="5" t="str">
        <f t="shared" si="504"/>
        <v/>
      </c>
      <c r="D442" s="4" t="s">
        <v>10</v>
      </c>
      <c r="E442" s="4" t="s">
        <v>11</v>
      </c>
      <c r="F442" s="4" t="str">
        <f t="shared" si="527"/>
        <v>!!!</v>
      </c>
      <c r="G442" s="4" t="str">
        <f t="shared" si="505"/>
        <v>+</v>
      </c>
      <c r="H442" s="4"/>
      <c r="I442" s="4" t="str">
        <f t="shared" si="528"/>
        <v>!!!</v>
      </c>
      <c r="J442" s="4" t="e">
        <f t="shared" si="529"/>
        <v>#VALUE!</v>
      </c>
      <c r="K442" s="4" t="e">
        <f t="shared" si="530"/>
        <v>#VALUE!</v>
      </c>
      <c r="L442" s="4" t="e">
        <f t="shared" si="531"/>
        <v>#VALUE!</v>
      </c>
      <c r="M442" s="4">
        <f t="shared" si="506"/>
        <v>1000</v>
      </c>
      <c r="N442" s="4">
        <f t="shared" ref="N442:O442" si="574">MIN(IFERROR(FIND(" ",$C442,M442+1),1000))</f>
        <v>1000</v>
      </c>
      <c r="O442" s="4">
        <f t="shared" si="574"/>
        <v>1000</v>
      </c>
      <c r="P442" s="4">
        <f t="shared" si="508"/>
        <v>0</v>
      </c>
      <c r="Q442" s="4" t="str">
        <f t="shared" si="537"/>
        <v/>
      </c>
      <c r="R442" s="4" t="str">
        <f t="shared" si="553"/>
        <v/>
      </c>
      <c r="S442" s="4" t="str">
        <f t="shared" si="543"/>
        <v/>
      </c>
      <c r="T442" s="4" t="e">
        <f t="shared" si="509"/>
        <v>#VALUE!</v>
      </c>
      <c r="U442" s="4" t="e">
        <f t="shared" si="510"/>
        <v>#VALUE!</v>
      </c>
      <c r="V442" s="4" t="b">
        <f t="shared" si="501"/>
        <v>0</v>
      </c>
      <c r="W442" s="13" t="str">
        <f t="shared" si="502"/>
        <v>Да</v>
      </c>
      <c r="X442" s="4" t="e">
        <f>(IF(COUNTIFS($G$2:G442,"+",$W$2:W442,"Да")&gt;1,"&amp; ","")&amp;D442&amp;J442&amp;E442&amp;SUBSTITUTE(L442,"""",""))</f>
        <v>#VALUE!</v>
      </c>
      <c r="Y442" s="4" t="e">
        <f t="shared" si="540"/>
        <v>#VALUE!</v>
      </c>
    </row>
    <row r="443" spans="1:25" x14ac:dyDescent="0.3">
      <c r="A443" s="11"/>
      <c r="B443" s="5" t="str">
        <f t="shared" si="503"/>
        <v/>
      </c>
      <c r="C443" s="5" t="str">
        <f t="shared" si="504"/>
        <v/>
      </c>
      <c r="D443" s="4" t="s">
        <v>10</v>
      </c>
      <c r="E443" s="4" t="s">
        <v>11</v>
      </c>
      <c r="F443" s="4" t="str">
        <f t="shared" si="527"/>
        <v>!!!</v>
      </c>
      <c r="G443" s="4" t="str">
        <f t="shared" si="505"/>
        <v>+</v>
      </c>
      <c r="H443" s="4"/>
      <c r="I443" s="4" t="str">
        <f t="shared" si="528"/>
        <v>!!!</v>
      </c>
      <c r="J443" s="4" t="e">
        <f t="shared" si="529"/>
        <v>#VALUE!</v>
      </c>
      <c r="K443" s="4" t="e">
        <f t="shared" si="530"/>
        <v>#VALUE!</v>
      </c>
      <c r="L443" s="4" t="e">
        <f t="shared" si="531"/>
        <v>#VALUE!</v>
      </c>
      <c r="M443" s="4">
        <f t="shared" si="506"/>
        <v>1000</v>
      </c>
      <c r="N443" s="4">
        <f t="shared" ref="N443:O443" si="575">MIN(IFERROR(FIND(" ",$C443,M443+1),1000))</f>
        <v>1000</v>
      </c>
      <c r="O443" s="4">
        <f t="shared" si="575"/>
        <v>1000</v>
      </c>
      <c r="P443" s="4">
        <f t="shared" si="508"/>
        <v>0</v>
      </c>
      <c r="Q443" s="4" t="str">
        <f t="shared" si="537"/>
        <v/>
      </c>
      <c r="R443" s="4" t="str">
        <f t="shared" si="553"/>
        <v/>
      </c>
      <c r="S443" s="4" t="str">
        <f t="shared" si="543"/>
        <v/>
      </c>
      <c r="T443" s="4" t="e">
        <f t="shared" si="509"/>
        <v>#VALUE!</v>
      </c>
      <c r="U443" s="4" t="e">
        <f t="shared" si="510"/>
        <v>#VALUE!</v>
      </c>
      <c r="V443" s="4" t="b">
        <f t="shared" si="501"/>
        <v>0</v>
      </c>
      <c r="W443" s="13" t="str">
        <f t="shared" si="502"/>
        <v>Да</v>
      </c>
      <c r="X443" s="4" t="e">
        <f>(IF(COUNTIFS($G$2:G443,"+",$W$2:W443,"Да")&gt;1,"&amp; ","")&amp;D443&amp;J443&amp;E443&amp;SUBSTITUTE(L443,"""",""))</f>
        <v>#VALUE!</v>
      </c>
      <c r="Y443" s="4" t="e">
        <f t="shared" si="540"/>
        <v>#VALUE!</v>
      </c>
    </row>
    <row r="444" spans="1:25" x14ac:dyDescent="0.3">
      <c r="A444" s="11"/>
      <c r="B444" s="5" t="str">
        <f t="shared" si="503"/>
        <v/>
      </c>
      <c r="C444" s="5" t="str">
        <f t="shared" si="504"/>
        <v/>
      </c>
      <c r="D444" s="4" t="s">
        <v>10</v>
      </c>
      <c r="E444" s="4" t="s">
        <v>11</v>
      </c>
      <c r="F444" s="4" t="str">
        <f t="shared" si="527"/>
        <v>!!!</v>
      </c>
      <c r="G444" s="4" t="str">
        <f t="shared" si="505"/>
        <v>+</v>
      </c>
      <c r="H444" s="4"/>
      <c r="I444" s="4" t="str">
        <f t="shared" si="528"/>
        <v>!!!</v>
      </c>
      <c r="J444" s="4" t="e">
        <f t="shared" si="529"/>
        <v>#VALUE!</v>
      </c>
      <c r="K444" s="4" t="e">
        <f t="shared" si="530"/>
        <v>#VALUE!</v>
      </c>
      <c r="L444" s="4" t="e">
        <f t="shared" si="531"/>
        <v>#VALUE!</v>
      </c>
      <c r="M444" s="4">
        <f t="shared" si="506"/>
        <v>1000</v>
      </c>
      <c r="N444" s="4">
        <f t="shared" ref="N444:O444" si="576">MIN(IFERROR(FIND(" ",$C444,M444+1),1000))</f>
        <v>1000</v>
      </c>
      <c r="O444" s="4">
        <f t="shared" si="576"/>
        <v>1000</v>
      </c>
      <c r="P444" s="4">
        <f t="shared" si="508"/>
        <v>0</v>
      </c>
      <c r="Q444" s="4" t="str">
        <f t="shared" si="537"/>
        <v/>
      </c>
      <c r="R444" s="4" t="str">
        <f t="shared" si="553"/>
        <v/>
      </c>
      <c r="S444" s="4" t="str">
        <f t="shared" si="543"/>
        <v/>
      </c>
      <c r="T444" s="4" t="e">
        <f t="shared" si="509"/>
        <v>#VALUE!</v>
      </c>
      <c r="U444" s="4" t="e">
        <f t="shared" si="510"/>
        <v>#VALUE!</v>
      </c>
      <c r="V444" s="4" t="b">
        <f t="shared" si="501"/>
        <v>0</v>
      </c>
      <c r="W444" s="13" t="str">
        <f t="shared" si="502"/>
        <v>Да</v>
      </c>
      <c r="X444" s="4" t="e">
        <f>(IF(COUNTIFS($G$2:G444,"+",$W$2:W444,"Да")&gt;1,"&amp; ","")&amp;D444&amp;J444&amp;E444&amp;SUBSTITUTE(L444,"""",""))</f>
        <v>#VALUE!</v>
      </c>
      <c r="Y444" s="4" t="e">
        <f t="shared" si="540"/>
        <v>#VALUE!</v>
      </c>
    </row>
    <row r="445" spans="1:25" x14ac:dyDescent="0.3">
      <c r="A445" s="11"/>
      <c r="B445" s="5" t="str">
        <f t="shared" si="503"/>
        <v/>
      </c>
      <c r="C445" s="5" t="str">
        <f t="shared" si="504"/>
        <v/>
      </c>
      <c r="D445" s="4" t="s">
        <v>10</v>
      </c>
      <c r="E445" s="4" t="s">
        <v>11</v>
      </c>
      <c r="F445" s="4" t="str">
        <f t="shared" si="527"/>
        <v>!!!</v>
      </c>
      <c r="G445" s="4" t="str">
        <f t="shared" si="505"/>
        <v>+</v>
      </c>
      <c r="H445" s="4"/>
      <c r="I445" s="4" t="str">
        <f t="shared" si="528"/>
        <v>!!!</v>
      </c>
      <c r="J445" s="4" t="e">
        <f t="shared" si="529"/>
        <v>#VALUE!</v>
      </c>
      <c r="K445" s="4" t="e">
        <f t="shared" si="530"/>
        <v>#VALUE!</v>
      </c>
      <c r="L445" s="4" t="e">
        <f t="shared" si="531"/>
        <v>#VALUE!</v>
      </c>
      <c r="M445" s="4">
        <f t="shared" si="506"/>
        <v>1000</v>
      </c>
      <c r="N445" s="4">
        <f t="shared" ref="N445:O445" si="577">MIN(IFERROR(FIND(" ",$C445,M445+1),1000))</f>
        <v>1000</v>
      </c>
      <c r="O445" s="4">
        <f t="shared" si="577"/>
        <v>1000</v>
      </c>
      <c r="P445" s="4">
        <f t="shared" si="508"/>
        <v>0</v>
      </c>
      <c r="Q445" s="4" t="str">
        <f t="shared" si="537"/>
        <v/>
      </c>
      <c r="R445" s="4" t="str">
        <f t="shared" si="553"/>
        <v/>
      </c>
      <c r="S445" s="4" t="str">
        <f t="shared" si="543"/>
        <v/>
      </c>
      <c r="T445" s="4" t="e">
        <f t="shared" si="509"/>
        <v>#VALUE!</v>
      </c>
      <c r="U445" s="4" t="e">
        <f t="shared" si="510"/>
        <v>#VALUE!</v>
      </c>
      <c r="V445" s="4" t="b">
        <f t="shared" si="501"/>
        <v>0</v>
      </c>
      <c r="W445" s="13" t="str">
        <f t="shared" si="502"/>
        <v>Да</v>
      </c>
      <c r="X445" s="4" t="e">
        <f>(IF(COUNTIFS($G$2:G445,"+",$W$2:W445,"Да")&gt;1,"&amp; ","")&amp;D445&amp;J445&amp;E445&amp;SUBSTITUTE(L445,"""",""))</f>
        <v>#VALUE!</v>
      </c>
      <c r="Y445" s="4" t="e">
        <f t="shared" si="540"/>
        <v>#VALUE!</v>
      </c>
    </row>
    <row r="446" spans="1:25" x14ac:dyDescent="0.3">
      <c r="A446" s="11"/>
      <c r="B446" s="5" t="str">
        <f t="shared" si="503"/>
        <v/>
      </c>
      <c r="C446" s="5" t="str">
        <f t="shared" si="504"/>
        <v/>
      </c>
      <c r="D446" s="4" t="s">
        <v>10</v>
      </c>
      <c r="E446" s="4" t="s">
        <v>11</v>
      </c>
      <c r="F446" s="4" t="str">
        <f t="shared" si="527"/>
        <v>!!!</v>
      </c>
      <c r="G446" s="4" t="str">
        <f t="shared" si="505"/>
        <v>+</v>
      </c>
      <c r="H446" s="4"/>
      <c r="I446" s="4" t="str">
        <f t="shared" si="528"/>
        <v>!!!</v>
      </c>
      <c r="J446" s="4" t="e">
        <f t="shared" si="529"/>
        <v>#VALUE!</v>
      </c>
      <c r="K446" s="4" t="e">
        <f t="shared" si="530"/>
        <v>#VALUE!</v>
      </c>
      <c r="L446" s="4" t="e">
        <f t="shared" si="531"/>
        <v>#VALUE!</v>
      </c>
      <c r="M446" s="4">
        <f t="shared" si="506"/>
        <v>1000</v>
      </c>
      <c r="N446" s="4">
        <f t="shared" ref="N446:O446" si="578">MIN(IFERROR(FIND(" ",$C446,M446+1),1000))</f>
        <v>1000</v>
      </c>
      <c r="O446" s="4">
        <f t="shared" si="578"/>
        <v>1000</v>
      </c>
      <c r="P446" s="4">
        <f t="shared" si="508"/>
        <v>0</v>
      </c>
      <c r="Q446" s="4" t="str">
        <f t="shared" si="537"/>
        <v/>
      </c>
      <c r="R446" s="4" t="str">
        <f t="shared" si="553"/>
        <v/>
      </c>
      <c r="S446" s="4" t="str">
        <f t="shared" si="543"/>
        <v/>
      </c>
      <c r="T446" s="4" t="e">
        <f t="shared" si="509"/>
        <v>#VALUE!</v>
      </c>
      <c r="U446" s="4" t="e">
        <f t="shared" si="510"/>
        <v>#VALUE!</v>
      </c>
      <c r="V446" s="4" t="b">
        <f t="shared" si="501"/>
        <v>0</v>
      </c>
      <c r="W446" s="13" t="str">
        <f t="shared" si="502"/>
        <v>Да</v>
      </c>
      <c r="X446" s="4" t="e">
        <f>(IF(COUNTIFS($G$2:G446,"+",$W$2:W446,"Да")&gt;1,"&amp; ","")&amp;D446&amp;J446&amp;E446&amp;SUBSTITUTE(L446,"""",""))</f>
        <v>#VALUE!</v>
      </c>
      <c r="Y446" s="4" t="e">
        <f t="shared" si="540"/>
        <v>#VALUE!</v>
      </c>
    </row>
    <row r="447" spans="1:25" x14ac:dyDescent="0.3">
      <c r="A447" s="11"/>
      <c r="B447" s="5" t="str">
        <f t="shared" si="503"/>
        <v/>
      </c>
      <c r="C447" s="5" t="str">
        <f t="shared" si="504"/>
        <v/>
      </c>
      <c r="D447" s="4" t="s">
        <v>10</v>
      </c>
      <c r="E447" s="4" t="s">
        <v>11</v>
      </c>
      <c r="F447" s="4" t="str">
        <f t="shared" si="527"/>
        <v>!!!</v>
      </c>
      <c r="G447" s="4" t="str">
        <f t="shared" si="505"/>
        <v>+</v>
      </c>
      <c r="H447" s="4"/>
      <c r="I447" s="4" t="str">
        <f t="shared" si="528"/>
        <v>!!!</v>
      </c>
      <c r="J447" s="4" t="e">
        <f t="shared" si="529"/>
        <v>#VALUE!</v>
      </c>
      <c r="K447" s="4" t="e">
        <f t="shared" si="530"/>
        <v>#VALUE!</v>
      </c>
      <c r="L447" s="4" t="e">
        <f t="shared" si="531"/>
        <v>#VALUE!</v>
      </c>
      <c r="M447" s="4">
        <f t="shared" si="506"/>
        <v>1000</v>
      </c>
      <c r="N447" s="4">
        <f t="shared" ref="N447:O447" si="579">MIN(IFERROR(FIND(" ",$C447,M447+1),1000))</f>
        <v>1000</v>
      </c>
      <c r="O447" s="4">
        <f t="shared" si="579"/>
        <v>1000</v>
      </c>
      <c r="P447" s="4">
        <f t="shared" si="508"/>
        <v>0</v>
      </c>
      <c r="Q447" s="4" t="str">
        <f t="shared" si="537"/>
        <v/>
      </c>
      <c r="R447" s="4" t="str">
        <f t="shared" si="553"/>
        <v/>
      </c>
      <c r="S447" s="4" t="str">
        <f t="shared" si="543"/>
        <v/>
      </c>
      <c r="T447" s="4" t="e">
        <f t="shared" si="509"/>
        <v>#VALUE!</v>
      </c>
      <c r="U447" s="4" t="e">
        <f t="shared" si="510"/>
        <v>#VALUE!</v>
      </c>
      <c r="V447" s="4" t="b">
        <f t="shared" si="501"/>
        <v>0</v>
      </c>
      <c r="W447" s="13" t="str">
        <f t="shared" si="502"/>
        <v>Да</v>
      </c>
      <c r="X447" s="4" t="e">
        <f>(IF(COUNTIFS($G$2:G447,"+",$W$2:W447,"Да")&gt;1,"&amp; ","")&amp;D447&amp;J447&amp;E447&amp;SUBSTITUTE(L447,"""",""))</f>
        <v>#VALUE!</v>
      </c>
      <c r="Y447" s="4" t="e">
        <f t="shared" si="540"/>
        <v>#VALUE!</v>
      </c>
    </row>
    <row r="448" spans="1:25" x14ac:dyDescent="0.3">
      <c r="A448" s="11"/>
      <c r="B448" s="5" t="str">
        <f t="shared" si="503"/>
        <v/>
      </c>
      <c r="C448" s="5" t="str">
        <f t="shared" si="504"/>
        <v/>
      </c>
      <c r="D448" s="4" t="s">
        <v>10</v>
      </c>
      <c r="E448" s="4" t="s">
        <v>11</v>
      </c>
      <c r="F448" s="4" t="str">
        <f t="shared" si="527"/>
        <v>!!!</v>
      </c>
      <c r="G448" s="4" t="str">
        <f t="shared" si="505"/>
        <v>+</v>
      </c>
      <c r="H448" s="4"/>
      <c r="I448" s="4" t="str">
        <f t="shared" si="528"/>
        <v>!!!</v>
      </c>
      <c r="J448" s="4" t="e">
        <f t="shared" si="529"/>
        <v>#VALUE!</v>
      </c>
      <c r="K448" s="4" t="e">
        <f t="shared" si="530"/>
        <v>#VALUE!</v>
      </c>
      <c r="L448" s="4" t="e">
        <f t="shared" si="531"/>
        <v>#VALUE!</v>
      </c>
      <c r="M448" s="4">
        <f t="shared" si="506"/>
        <v>1000</v>
      </c>
      <c r="N448" s="4">
        <f t="shared" ref="N448:O448" si="580">MIN(IFERROR(FIND(" ",$C448,M448+1),1000))</f>
        <v>1000</v>
      </c>
      <c r="O448" s="4">
        <f t="shared" si="580"/>
        <v>1000</v>
      </c>
      <c r="P448" s="4">
        <f t="shared" si="508"/>
        <v>0</v>
      </c>
      <c r="Q448" s="4" t="str">
        <f t="shared" si="537"/>
        <v/>
      </c>
      <c r="R448" s="4" t="str">
        <f t="shared" si="553"/>
        <v/>
      </c>
      <c r="S448" s="4" t="str">
        <f t="shared" si="543"/>
        <v/>
      </c>
      <c r="T448" s="4" t="e">
        <f t="shared" si="509"/>
        <v>#VALUE!</v>
      </c>
      <c r="U448" s="4" t="e">
        <f t="shared" si="510"/>
        <v>#VALUE!</v>
      </c>
      <c r="V448" s="4" t="b">
        <f t="shared" si="501"/>
        <v>0</v>
      </c>
      <c r="W448" s="13" t="str">
        <f t="shared" si="502"/>
        <v>Да</v>
      </c>
      <c r="X448" s="4" t="e">
        <f>(IF(COUNTIFS($G$2:G448,"+",$W$2:W448,"Да")&gt;1,"&amp; ","")&amp;D448&amp;J448&amp;E448&amp;SUBSTITUTE(L448,"""",""))</f>
        <v>#VALUE!</v>
      </c>
      <c r="Y448" s="4" t="e">
        <f t="shared" si="540"/>
        <v>#VALUE!</v>
      </c>
    </row>
    <row r="449" spans="1:25" x14ac:dyDescent="0.3">
      <c r="A449" s="11"/>
      <c r="B449" s="5" t="str">
        <f t="shared" si="503"/>
        <v/>
      </c>
      <c r="C449" s="5" t="str">
        <f t="shared" si="504"/>
        <v/>
      </c>
      <c r="D449" s="4" t="s">
        <v>10</v>
      </c>
      <c r="E449" s="4" t="s">
        <v>11</v>
      </c>
      <c r="F449" s="4" t="str">
        <f t="shared" si="527"/>
        <v>!!!</v>
      </c>
      <c r="G449" s="4" t="str">
        <f t="shared" si="505"/>
        <v>+</v>
      </c>
      <c r="H449" s="4"/>
      <c r="I449" s="4" t="str">
        <f t="shared" si="528"/>
        <v>!!!</v>
      </c>
      <c r="J449" s="4" t="e">
        <f t="shared" si="529"/>
        <v>#VALUE!</v>
      </c>
      <c r="K449" s="4" t="e">
        <f t="shared" si="530"/>
        <v>#VALUE!</v>
      </c>
      <c r="L449" s="4" t="e">
        <f t="shared" si="531"/>
        <v>#VALUE!</v>
      </c>
      <c r="M449" s="4">
        <f t="shared" si="506"/>
        <v>1000</v>
      </c>
      <c r="N449" s="4">
        <f t="shared" ref="N449:O449" si="581">MIN(IFERROR(FIND(" ",$C449,M449+1),1000))</f>
        <v>1000</v>
      </c>
      <c r="O449" s="4">
        <f t="shared" si="581"/>
        <v>1000</v>
      </c>
      <c r="P449" s="4">
        <f t="shared" si="508"/>
        <v>0</v>
      </c>
      <c r="Q449" s="4" t="str">
        <f t="shared" si="537"/>
        <v/>
      </c>
      <c r="R449" s="4" t="str">
        <f t="shared" si="553"/>
        <v/>
      </c>
      <c r="S449" s="4" t="str">
        <f t="shared" si="543"/>
        <v/>
      </c>
      <c r="T449" s="4" t="e">
        <f t="shared" si="509"/>
        <v>#VALUE!</v>
      </c>
      <c r="U449" s="4" t="e">
        <f t="shared" si="510"/>
        <v>#VALUE!</v>
      </c>
      <c r="V449" s="4" t="b">
        <f t="shared" si="501"/>
        <v>0</v>
      </c>
      <c r="W449" s="13" t="str">
        <f t="shared" si="502"/>
        <v>Да</v>
      </c>
      <c r="X449" s="4" t="e">
        <f>(IF(COUNTIFS($G$2:G449,"+",$W$2:W449,"Да")&gt;1,"&amp; ","")&amp;D449&amp;J449&amp;E449&amp;SUBSTITUTE(L449,"""",""))</f>
        <v>#VALUE!</v>
      </c>
      <c r="Y449" s="4" t="e">
        <f t="shared" si="540"/>
        <v>#VALUE!</v>
      </c>
    </row>
    <row r="450" spans="1:25" x14ac:dyDescent="0.3">
      <c r="A450" s="11"/>
      <c r="B450" s="5" t="str">
        <f t="shared" si="503"/>
        <v/>
      </c>
      <c r="C450" s="5" t="str">
        <f t="shared" si="504"/>
        <v/>
      </c>
      <c r="D450" s="4" t="s">
        <v>10</v>
      </c>
      <c r="E450" s="4" t="s">
        <v>11</v>
      </c>
      <c r="F450" s="4" t="str">
        <f t="shared" si="527"/>
        <v>!!!</v>
      </c>
      <c r="G450" s="4" t="str">
        <f t="shared" si="505"/>
        <v>+</v>
      </c>
      <c r="H450" s="4"/>
      <c r="I450" s="4" t="str">
        <f t="shared" si="528"/>
        <v>!!!</v>
      </c>
      <c r="J450" s="4" t="e">
        <f t="shared" si="529"/>
        <v>#VALUE!</v>
      </c>
      <c r="K450" s="4" t="e">
        <f t="shared" si="530"/>
        <v>#VALUE!</v>
      </c>
      <c r="L450" s="4" t="e">
        <f t="shared" si="531"/>
        <v>#VALUE!</v>
      </c>
      <c r="M450" s="4">
        <f t="shared" si="506"/>
        <v>1000</v>
      </c>
      <c r="N450" s="4">
        <f t="shared" ref="N450:O450" si="582">MIN(IFERROR(FIND(" ",$C450,M450+1),1000))</f>
        <v>1000</v>
      </c>
      <c r="O450" s="4">
        <f t="shared" si="582"/>
        <v>1000</v>
      </c>
      <c r="P450" s="4">
        <f t="shared" si="508"/>
        <v>0</v>
      </c>
      <c r="Q450" s="4" t="str">
        <f t="shared" si="537"/>
        <v/>
      </c>
      <c r="R450" s="4" t="str">
        <f t="shared" si="553"/>
        <v/>
      </c>
      <c r="S450" s="4" t="str">
        <f t="shared" si="543"/>
        <v/>
      </c>
      <c r="T450" s="4" t="e">
        <f t="shared" si="509"/>
        <v>#VALUE!</v>
      </c>
      <c r="U450" s="4" t="e">
        <f t="shared" si="510"/>
        <v>#VALUE!</v>
      </c>
      <c r="V450" s="4" t="b">
        <f t="shared" ref="V450:V513" si="583">OR(IFERROR(MATCH(U450,Q:Q,0),0)&lt;&gt;0,IFERROR(MATCH(U450,R:R,0),0)&lt;&gt;0)</f>
        <v>0</v>
      </c>
      <c r="W450" s="13" t="str">
        <f t="shared" ref="W450:W513" si="584">IF(A450="","Да",IF(OR(F450="!!!",NOT(V450)),"Нет","Да"))</f>
        <v>Да</v>
      </c>
      <c r="X450" s="4" t="e">
        <f>(IF(COUNTIFS($G$2:G450,"+",$W$2:W450,"Да")&gt;1,"&amp; ","")&amp;D450&amp;J450&amp;E450&amp;SUBSTITUTE(L450,"""",""))</f>
        <v>#VALUE!</v>
      </c>
      <c r="Y450" s="4" t="e">
        <f t="shared" si="540"/>
        <v>#VALUE!</v>
      </c>
    </row>
    <row r="451" spans="1:25" x14ac:dyDescent="0.3">
      <c r="A451" s="11"/>
      <c r="B451" s="5" t="str">
        <f t="shared" ref="B451:B514" si="585">TRIM(LEFT(A451,IFERROR(FIND("'",A451)-1,1000)))</f>
        <v/>
      </c>
      <c r="C451" s="5" t="str">
        <f t="shared" ref="C451:C514" si="586">SUBSTITUTE(SUBSTITUTE(SUBSTITUTE(SUBSTITUTE(TRIM(LEFT(A451,IFERROR(FIND("'",A451)-1,1000))),"&lt;&lt;","&lt;"),"--","-"),"&gt;&gt;","&gt;"),"&amp;","")</f>
        <v/>
      </c>
      <c r="D451" s="4" t="s">
        <v>10</v>
      </c>
      <c r="E451" s="4" t="s">
        <v>11</v>
      </c>
      <c r="F451" s="4" t="str">
        <f t="shared" si="527"/>
        <v>!!!</v>
      </c>
      <c r="G451" s="4" t="str">
        <f t="shared" ref="G451:G514" si="587">IF(AND($A$2="",$A$3="",$A$4="",$A$5=""),"+",IF(F451="!!!","X","+"))</f>
        <v>+</v>
      </c>
      <c r="H451" s="4"/>
      <c r="I451" s="4" t="str">
        <f t="shared" si="528"/>
        <v>!!!</v>
      </c>
      <c r="J451" s="4" t="e">
        <f t="shared" si="529"/>
        <v>#VALUE!</v>
      </c>
      <c r="K451" s="4" t="e">
        <f t="shared" si="530"/>
        <v>#VALUE!</v>
      </c>
      <c r="L451" s="4" t="e">
        <f t="shared" si="531"/>
        <v>#VALUE!</v>
      </c>
      <c r="M451" s="4">
        <f t="shared" ref="M451:M514" si="588">MIN(IFERROR(FIND(" ",$C451),1000))</f>
        <v>1000</v>
      </c>
      <c r="N451" s="4">
        <f t="shared" ref="N451:O451" si="589">MIN(IFERROR(FIND(" ",$C451,M451+1),1000))</f>
        <v>1000</v>
      </c>
      <c r="O451" s="4">
        <f t="shared" si="589"/>
        <v>1000</v>
      </c>
      <c r="P451" s="4">
        <f t="shared" ref="P451:P514" si="590">MIN(IFERROR(FIND(" ",C451,O451+1),0),IFERROR(FIND("&lt;",C451,O451+1),0),IFERROR(FIND(":",C451,O451+1),0))</f>
        <v>0</v>
      </c>
      <c r="Q451" s="4" t="str">
        <f t="shared" si="537"/>
        <v/>
      </c>
      <c r="R451" s="4" t="str">
        <f t="shared" si="553"/>
        <v/>
      </c>
      <c r="S451" s="4" t="str">
        <f t="shared" si="543"/>
        <v/>
      </c>
      <c r="T451" s="4" t="e">
        <f t="shared" ref="T451:T514" si="591">FIND(" ",C451,FIND("as",C451))+1</f>
        <v>#VALUE!</v>
      </c>
      <c r="U451" s="4" t="e">
        <f t="shared" ref="U451:U514" si="592">MID(C451,T451,MIN(FIND(" ",C451,T451),FIND("&lt;",C451,T451))-T451)</f>
        <v>#VALUE!</v>
      </c>
      <c r="V451" s="4" t="b">
        <f t="shared" si="583"/>
        <v>0</v>
      </c>
      <c r="W451" s="13" t="str">
        <f t="shared" si="584"/>
        <v>Да</v>
      </c>
      <c r="X451" s="4" t="e">
        <f>(IF(COUNTIFS($G$2:G451,"+",$W$2:W451,"Да")&gt;1,"&amp; ","")&amp;D451&amp;J451&amp;E451&amp;SUBSTITUTE(L451,"""",""))</f>
        <v>#VALUE!</v>
      </c>
      <c r="Y451" s="4" t="e">
        <f t="shared" si="540"/>
        <v>#VALUE!</v>
      </c>
    </row>
    <row r="452" spans="1:25" x14ac:dyDescent="0.3">
      <c r="A452" s="11"/>
      <c r="B452" s="5" t="str">
        <f t="shared" si="585"/>
        <v/>
      </c>
      <c r="C452" s="5" t="str">
        <f t="shared" si="586"/>
        <v/>
      </c>
      <c r="D452" s="4" t="s">
        <v>10</v>
      </c>
      <c r="E452" s="4" t="s">
        <v>11</v>
      </c>
      <c r="F452" s="4" t="str">
        <f t="shared" si="527"/>
        <v>!!!</v>
      </c>
      <c r="G452" s="4" t="str">
        <f t="shared" si="587"/>
        <v>+</v>
      </c>
      <c r="H452" s="4"/>
      <c r="I452" s="4" t="str">
        <f t="shared" si="528"/>
        <v>!!!</v>
      </c>
      <c r="J452" s="4" t="e">
        <f t="shared" si="529"/>
        <v>#VALUE!</v>
      </c>
      <c r="K452" s="4" t="e">
        <f t="shared" si="530"/>
        <v>#VALUE!</v>
      </c>
      <c r="L452" s="4" t="e">
        <f t="shared" si="531"/>
        <v>#VALUE!</v>
      </c>
      <c r="M452" s="4">
        <f t="shared" si="588"/>
        <v>1000</v>
      </c>
      <c r="N452" s="4">
        <f t="shared" ref="N452:O452" si="593">MIN(IFERROR(FIND(" ",$C452,M452+1),1000))</f>
        <v>1000</v>
      </c>
      <c r="O452" s="4">
        <f t="shared" si="593"/>
        <v>1000</v>
      </c>
      <c r="P452" s="4">
        <f t="shared" si="590"/>
        <v>0</v>
      </c>
      <c r="Q452" s="4" t="str">
        <f t="shared" si="537"/>
        <v/>
      </c>
      <c r="R452" s="4" t="str">
        <f t="shared" si="553"/>
        <v/>
      </c>
      <c r="S452" s="4" t="str">
        <f t="shared" si="543"/>
        <v/>
      </c>
      <c r="T452" s="4" t="e">
        <f t="shared" si="591"/>
        <v>#VALUE!</v>
      </c>
      <c r="U452" s="4" t="e">
        <f t="shared" si="592"/>
        <v>#VALUE!</v>
      </c>
      <c r="V452" s="4" t="b">
        <f t="shared" si="583"/>
        <v>0</v>
      </c>
      <c r="W452" s="13" t="str">
        <f t="shared" si="584"/>
        <v>Да</v>
      </c>
      <c r="X452" s="4" t="e">
        <f>(IF(COUNTIFS($G$2:G452,"+",$W$2:W452,"Да")&gt;1,"&amp; ","")&amp;D452&amp;J452&amp;E452&amp;SUBSTITUTE(L452,"""",""))</f>
        <v>#VALUE!</v>
      </c>
      <c r="Y452" s="4" t="e">
        <f t="shared" si="540"/>
        <v>#VALUE!</v>
      </c>
    </row>
    <row r="453" spans="1:25" x14ac:dyDescent="0.3">
      <c r="A453" s="11"/>
      <c r="B453" s="5" t="str">
        <f t="shared" si="585"/>
        <v/>
      </c>
      <c r="C453" s="5" t="str">
        <f t="shared" si="586"/>
        <v/>
      </c>
      <c r="D453" s="4" t="s">
        <v>10</v>
      </c>
      <c r="E453" s="4" t="s">
        <v>11</v>
      </c>
      <c r="F453" s="4" t="str">
        <f t="shared" si="527"/>
        <v>!!!</v>
      </c>
      <c r="G453" s="4" t="str">
        <f t="shared" si="587"/>
        <v>+</v>
      </c>
      <c r="H453" s="4"/>
      <c r="I453" s="4" t="str">
        <f t="shared" si="528"/>
        <v>!!!</v>
      </c>
      <c r="J453" s="4" t="e">
        <f t="shared" si="529"/>
        <v>#VALUE!</v>
      </c>
      <c r="K453" s="4" t="e">
        <f t="shared" si="530"/>
        <v>#VALUE!</v>
      </c>
      <c r="L453" s="4" t="e">
        <f t="shared" si="531"/>
        <v>#VALUE!</v>
      </c>
      <c r="M453" s="4">
        <f t="shared" si="588"/>
        <v>1000</v>
      </c>
      <c r="N453" s="4">
        <f t="shared" ref="N453:O453" si="594">MIN(IFERROR(FIND(" ",$C453,M453+1),1000))</f>
        <v>1000</v>
      </c>
      <c r="O453" s="4">
        <f t="shared" si="594"/>
        <v>1000</v>
      </c>
      <c r="P453" s="4">
        <f t="shared" si="590"/>
        <v>0</v>
      </c>
      <c r="Q453" s="4" t="str">
        <f t="shared" si="537"/>
        <v/>
      </c>
      <c r="R453" s="4" t="str">
        <f t="shared" si="553"/>
        <v/>
      </c>
      <c r="S453" s="4" t="str">
        <f t="shared" si="543"/>
        <v/>
      </c>
      <c r="T453" s="4" t="e">
        <f t="shared" si="591"/>
        <v>#VALUE!</v>
      </c>
      <c r="U453" s="4" t="e">
        <f t="shared" si="592"/>
        <v>#VALUE!</v>
      </c>
      <c r="V453" s="4" t="b">
        <f t="shared" si="583"/>
        <v>0</v>
      </c>
      <c r="W453" s="13" t="str">
        <f t="shared" si="584"/>
        <v>Да</v>
      </c>
      <c r="X453" s="4" t="e">
        <f>(IF(COUNTIFS($G$2:G453,"+",$W$2:W453,"Да")&gt;1,"&amp; ","")&amp;D453&amp;J453&amp;E453&amp;SUBSTITUTE(L453,"""",""))</f>
        <v>#VALUE!</v>
      </c>
      <c r="Y453" s="4" t="e">
        <f t="shared" si="540"/>
        <v>#VALUE!</v>
      </c>
    </row>
    <row r="454" spans="1:25" x14ac:dyDescent="0.3">
      <c r="A454" s="11"/>
      <c r="B454" s="5" t="str">
        <f t="shared" si="585"/>
        <v/>
      </c>
      <c r="C454" s="5" t="str">
        <f t="shared" si="586"/>
        <v/>
      </c>
      <c r="D454" s="4" t="s">
        <v>10</v>
      </c>
      <c r="E454" s="4" t="s">
        <v>11</v>
      </c>
      <c r="F454" s="4" t="str">
        <f t="shared" si="527"/>
        <v>!!!</v>
      </c>
      <c r="G454" s="4" t="str">
        <f t="shared" si="587"/>
        <v>+</v>
      </c>
      <c r="H454" s="4"/>
      <c r="I454" s="4" t="str">
        <f t="shared" si="528"/>
        <v>!!!</v>
      </c>
      <c r="J454" s="4" t="e">
        <f t="shared" si="529"/>
        <v>#VALUE!</v>
      </c>
      <c r="K454" s="4" t="e">
        <f t="shared" si="530"/>
        <v>#VALUE!</v>
      </c>
      <c r="L454" s="4" t="e">
        <f t="shared" si="531"/>
        <v>#VALUE!</v>
      </c>
      <c r="M454" s="4">
        <f t="shared" si="588"/>
        <v>1000</v>
      </c>
      <c r="N454" s="4">
        <f t="shared" ref="N454:O454" si="595">MIN(IFERROR(FIND(" ",$C454,M454+1),1000))</f>
        <v>1000</v>
      </c>
      <c r="O454" s="4">
        <f t="shared" si="595"/>
        <v>1000</v>
      </c>
      <c r="P454" s="4">
        <f t="shared" si="590"/>
        <v>0</v>
      </c>
      <c r="Q454" s="4" t="str">
        <f t="shared" si="537"/>
        <v/>
      </c>
      <c r="R454" s="4" t="str">
        <f t="shared" si="553"/>
        <v/>
      </c>
      <c r="S454" s="4" t="str">
        <f t="shared" si="543"/>
        <v/>
      </c>
      <c r="T454" s="4" t="e">
        <f t="shared" si="591"/>
        <v>#VALUE!</v>
      </c>
      <c r="U454" s="4" t="e">
        <f t="shared" si="592"/>
        <v>#VALUE!</v>
      </c>
      <c r="V454" s="4" t="b">
        <f t="shared" si="583"/>
        <v>0</v>
      </c>
      <c r="W454" s="13" t="str">
        <f t="shared" si="584"/>
        <v>Да</v>
      </c>
      <c r="X454" s="4" t="e">
        <f>(IF(COUNTIFS($G$2:G454,"+",$W$2:W454,"Да")&gt;1,"&amp; ","")&amp;D454&amp;J454&amp;E454&amp;SUBSTITUTE(L454,"""",""))</f>
        <v>#VALUE!</v>
      </c>
      <c r="Y454" s="4" t="e">
        <f t="shared" si="540"/>
        <v>#VALUE!</v>
      </c>
    </row>
    <row r="455" spans="1:25" x14ac:dyDescent="0.3">
      <c r="A455" s="11"/>
      <c r="B455" s="5" t="str">
        <f t="shared" si="585"/>
        <v/>
      </c>
      <c r="C455" s="5" t="str">
        <f t="shared" si="586"/>
        <v/>
      </c>
      <c r="D455" s="4" t="s">
        <v>10</v>
      </c>
      <c r="E455" s="4" t="s">
        <v>11</v>
      </c>
      <c r="F455" s="4" t="str">
        <f t="shared" si="527"/>
        <v>!!!</v>
      </c>
      <c r="G455" s="4" t="str">
        <f t="shared" si="587"/>
        <v>+</v>
      </c>
      <c r="H455" s="4"/>
      <c r="I455" s="4" t="str">
        <f t="shared" si="528"/>
        <v>!!!</v>
      </c>
      <c r="J455" s="4" t="e">
        <f t="shared" si="529"/>
        <v>#VALUE!</v>
      </c>
      <c r="K455" s="4" t="e">
        <f t="shared" si="530"/>
        <v>#VALUE!</v>
      </c>
      <c r="L455" s="4" t="e">
        <f t="shared" si="531"/>
        <v>#VALUE!</v>
      </c>
      <c r="M455" s="4">
        <f t="shared" si="588"/>
        <v>1000</v>
      </c>
      <c r="N455" s="4">
        <f t="shared" ref="N455:O455" si="596">MIN(IFERROR(FIND(" ",$C455,M455+1),1000))</f>
        <v>1000</v>
      </c>
      <c r="O455" s="4">
        <f t="shared" si="596"/>
        <v>1000</v>
      </c>
      <c r="P455" s="4">
        <f t="shared" si="590"/>
        <v>0</v>
      </c>
      <c r="Q455" s="4" t="str">
        <f t="shared" si="537"/>
        <v/>
      </c>
      <c r="R455" s="4" t="str">
        <f t="shared" si="553"/>
        <v/>
      </c>
      <c r="S455" s="4" t="str">
        <f t="shared" si="543"/>
        <v/>
      </c>
      <c r="T455" s="4" t="e">
        <f t="shared" si="591"/>
        <v>#VALUE!</v>
      </c>
      <c r="U455" s="4" t="e">
        <f t="shared" si="592"/>
        <v>#VALUE!</v>
      </c>
      <c r="V455" s="4" t="b">
        <f t="shared" si="583"/>
        <v>0</v>
      </c>
      <c r="W455" s="13" t="str">
        <f t="shared" si="584"/>
        <v>Да</v>
      </c>
      <c r="X455" s="4" t="e">
        <f>(IF(COUNTIFS($G$2:G455,"+",$W$2:W455,"Да")&gt;1,"&amp; ","")&amp;D455&amp;J455&amp;E455&amp;SUBSTITUTE(L455,"""",""))</f>
        <v>#VALUE!</v>
      </c>
      <c r="Y455" s="4" t="e">
        <f t="shared" si="540"/>
        <v>#VALUE!</v>
      </c>
    </row>
    <row r="456" spans="1:25" x14ac:dyDescent="0.3">
      <c r="A456" s="11"/>
      <c r="B456" s="5" t="str">
        <f t="shared" si="585"/>
        <v/>
      </c>
      <c r="C456" s="5" t="str">
        <f t="shared" si="586"/>
        <v/>
      </c>
      <c r="D456" s="4" t="s">
        <v>10</v>
      </c>
      <c r="E456" s="4" t="s">
        <v>11</v>
      </c>
      <c r="F456" s="4" t="str">
        <f t="shared" si="527"/>
        <v>!!!</v>
      </c>
      <c r="G456" s="4" t="str">
        <f t="shared" si="587"/>
        <v>+</v>
      </c>
      <c r="H456" s="4"/>
      <c r="I456" s="4" t="str">
        <f t="shared" si="528"/>
        <v>!!!</v>
      </c>
      <c r="J456" s="4" t="e">
        <f t="shared" si="529"/>
        <v>#VALUE!</v>
      </c>
      <c r="K456" s="4" t="e">
        <f t="shared" si="530"/>
        <v>#VALUE!</v>
      </c>
      <c r="L456" s="4" t="e">
        <f t="shared" si="531"/>
        <v>#VALUE!</v>
      </c>
      <c r="M456" s="4">
        <f t="shared" si="588"/>
        <v>1000</v>
      </c>
      <c r="N456" s="4">
        <f t="shared" ref="N456:O456" si="597">MIN(IFERROR(FIND(" ",$C456,M456+1),1000))</f>
        <v>1000</v>
      </c>
      <c r="O456" s="4">
        <f t="shared" si="597"/>
        <v>1000</v>
      </c>
      <c r="P456" s="4">
        <f t="shared" si="590"/>
        <v>0</v>
      </c>
      <c r="Q456" s="4" t="str">
        <f t="shared" si="537"/>
        <v/>
      </c>
      <c r="R456" s="4" t="str">
        <f t="shared" si="553"/>
        <v/>
      </c>
      <c r="S456" s="4" t="str">
        <f t="shared" si="543"/>
        <v/>
      </c>
      <c r="T456" s="4" t="e">
        <f t="shared" si="591"/>
        <v>#VALUE!</v>
      </c>
      <c r="U456" s="4" t="e">
        <f t="shared" si="592"/>
        <v>#VALUE!</v>
      </c>
      <c r="V456" s="4" t="b">
        <f t="shared" si="583"/>
        <v>0</v>
      </c>
      <c r="W456" s="13" t="str">
        <f t="shared" si="584"/>
        <v>Да</v>
      </c>
      <c r="X456" s="4" t="e">
        <f>(IF(COUNTIFS($G$2:G456,"+",$W$2:W456,"Да")&gt;1,"&amp; ","")&amp;D456&amp;J456&amp;E456&amp;SUBSTITUTE(L456,"""",""))</f>
        <v>#VALUE!</v>
      </c>
      <c r="Y456" s="4" t="e">
        <f t="shared" si="540"/>
        <v>#VALUE!</v>
      </c>
    </row>
    <row r="457" spans="1:25" x14ac:dyDescent="0.3">
      <c r="A457" s="11"/>
      <c r="B457" s="5" t="str">
        <f t="shared" si="585"/>
        <v/>
      </c>
      <c r="C457" s="5" t="str">
        <f t="shared" si="586"/>
        <v/>
      </c>
      <c r="D457" s="4" t="s">
        <v>10</v>
      </c>
      <c r="E457" s="4" t="s">
        <v>11</v>
      </c>
      <c r="F457" s="4" t="str">
        <f t="shared" si="527"/>
        <v>!!!</v>
      </c>
      <c r="G457" s="4" t="str">
        <f t="shared" si="587"/>
        <v>+</v>
      </c>
      <c r="H457" s="4"/>
      <c r="I457" s="4" t="str">
        <f t="shared" si="528"/>
        <v>!!!</v>
      </c>
      <c r="J457" s="4" t="e">
        <f t="shared" si="529"/>
        <v>#VALUE!</v>
      </c>
      <c r="K457" s="4" t="e">
        <f t="shared" si="530"/>
        <v>#VALUE!</v>
      </c>
      <c r="L457" s="4" t="e">
        <f t="shared" si="531"/>
        <v>#VALUE!</v>
      </c>
      <c r="M457" s="4">
        <f t="shared" si="588"/>
        <v>1000</v>
      </c>
      <c r="N457" s="4">
        <f t="shared" ref="N457:O457" si="598">MIN(IFERROR(FIND(" ",$C457,M457+1),1000))</f>
        <v>1000</v>
      </c>
      <c r="O457" s="4">
        <f t="shared" si="598"/>
        <v>1000</v>
      </c>
      <c r="P457" s="4">
        <f t="shared" si="590"/>
        <v>0</v>
      </c>
      <c r="Q457" s="4" t="str">
        <f t="shared" si="537"/>
        <v/>
      </c>
      <c r="R457" s="4" t="str">
        <f t="shared" si="553"/>
        <v/>
      </c>
      <c r="S457" s="4" t="str">
        <f t="shared" si="543"/>
        <v/>
      </c>
      <c r="T457" s="4" t="e">
        <f t="shared" si="591"/>
        <v>#VALUE!</v>
      </c>
      <c r="U457" s="4" t="e">
        <f t="shared" si="592"/>
        <v>#VALUE!</v>
      </c>
      <c r="V457" s="4" t="b">
        <f t="shared" si="583"/>
        <v>0</v>
      </c>
      <c r="W457" s="13" t="str">
        <f t="shared" si="584"/>
        <v>Да</v>
      </c>
      <c r="X457" s="4" t="e">
        <f>(IF(COUNTIFS($G$2:G457,"+",$W$2:W457,"Да")&gt;1,"&amp; ","")&amp;D457&amp;J457&amp;E457&amp;SUBSTITUTE(L457,"""",""))</f>
        <v>#VALUE!</v>
      </c>
      <c r="Y457" s="4" t="e">
        <f t="shared" si="540"/>
        <v>#VALUE!</v>
      </c>
    </row>
    <row r="458" spans="1:25" x14ac:dyDescent="0.3">
      <c r="A458" s="11"/>
      <c r="B458" s="5" t="str">
        <f t="shared" si="585"/>
        <v/>
      </c>
      <c r="C458" s="5" t="str">
        <f t="shared" si="586"/>
        <v/>
      </c>
      <c r="D458" s="4" t="s">
        <v>10</v>
      </c>
      <c r="E458" s="4" t="s">
        <v>11</v>
      </c>
      <c r="F458" s="4" t="str">
        <f t="shared" si="527"/>
        <v>!!!</v>
      </c>
      <c r="G458" s="4" t="str">
        <f t="shared" si="587"/>
        <v>+</v>
      </c>
      <c r="H458" s="4"/>
      <c r="I458" s="4" t="str">
        <f t="shared" si="528"/>
        <v>!!!</v>
      </c>
      <c r="J458" s="4" t="e">
        <f t="shared" si="529"/>
        <v>#VALUE!</v>
      </c>
      <c r="K458" s="4" t="e">
        <f t="shared" si="530"/>
        <v>#VALUE!</v>
      </c>
      <c r="L458" s="4" t="e">
        <f t="shared" si="531"/>
        <v>#VALUE!</v>
      </c>
      <c r="M458" s="4">
        <f t="shared" si="588"/>
        <v>1000</v>
      </c>
      <c r="N458" s="4">
        <f t="shared" ref="N458:O458" si="599">MIN(IFERROR(FIND(" ",$C458,M458+1),1000))</f>
        <v>1000</v>
      </c>
      <c r="O458" s="4">
        <f t="shared" si="599"/>
        <v>1000</v>
      </c>
      <c r="P458" s="4">
        <f t="shared" si="590"/>
        <v>0</v>
      </c>
      <c r="Q458" s="4" t="str">
        <f t="shared" si="537"/>
        <v/>
      </c>
      <c r="R458" s="4" t="str">
        <f t="shared" si="553"/>
        <v/>
      </c>
      <c r="S458" s="4" t="str">
        <f t="shared" si="543"/>
        <v/>
      </c>
      <c r="T458" s="4" t="e">
        <f t="shared" si="591"/>
        <v>#VALUE!</v>
      </c>
      <c r="U458" s="4" t="e">
        <f t="shared" si="592"/>
        <v>#VALUE!</v>
      </c>
      <c r="V458" s="4" t="b">
        <f t="shared" si="583"/>
        <v>0</v>
      </c>
      <c r="W458" s="13" t="str">
        <f t="shared" si="584"/>
        <v>Да</v>
      </c>
      <c r="X458" s="4" t="e">
        <f>(IF(COUNTIFS($G$2:G458,"+",$W$2:W458,"Да")&gt;1,"&amp; ","")&amp;D458&amp;J458&amp;E458&amp;SUBSTITUTE(L458,"""",""))</f>
        <v>#VALUE!</v>
      </c>
      <c r="Y458" s="4" t="e">
        <f t="shared" si="540"/>
        <v>#VALUE!</v>
      </c>
    </row>
    <row r="459" spans="1:25" x14ac:dyDescent="0.3">
      <c r="A459" s="11"/>
      <c r="B459" s="5" t="str">
        <f t="shared" si="585"/>
        <v/>
      </c>
      <c r="C459" s="5" t="str">
        <f t="shared" si="586"/>
        <v/>
      </c>
      <c r="D459" s="4" t="s">
        <v>10</v>
      </c>
      <c r="E459" s="4" t="s">
        <v>11</v>
      </c>
      <c r="F459" s="4" t="str">
        <f t="shared" si="527"/>
        <v>!!!</v>
      </c>
      <c r="G459" s="4" t="str">
        <f t="shared" si="587"/>
        <v>+</v>
      </c>
      <c r="H459" s="4"/>
      <c r="I459" s="4" t="str">
        <f t="shared" si="528"/>
        <v>!!!</v>
      </c>
      <c r="J459" s="4" t="e">
        <f t="shared" si="529"/>
        <v>#VALUE!</v>
      </c>
      <c r="K459" s="4" t="e">
        <f t="shared" si="530"/>
        <v>#VALUE!</v>
      </c>
      <c r="L459" s="4" t="e">
        <f t="shared" si="531"/>
        <v>#VALUE!</v>
      </c>
      <c r="M459" s="4">
        <f t="shared" si="588"/>
        <v>1000</v>
      </c>
      <c r="N459" s="4">
        <f t="shared" ref="N459:O459" si="600">MIN(IFERROR(FIND(" ",$C459,M459+1),1000))</f>
        <v>1000</v>
      </c>
      <c r="O459" s="4">
        <f t="shared" si="600"/>
        <v>1000</v>
      </c>
      <c r="P459" s="4">
        <f t="shared" si="590"/>
        <v>0</v>
      </c>
      <c r="Q459" s="4" t="str">
        <f t="shared" si="537"/>
        <v/>
      </c>
      <c r="R459" s="4" t="str">
        <f t="shared" si="553"/>
        <v/>
      </c>
      <c r="S459" s="4" t="str">
        <f t="shared" si="543"/>
        <v/>
      </c>
      <c r="T459" s="4" t="e">
        <f t="shared" si="591"/>
        <v>#VALUE!</v>
      </c>
      <c r="U459" s="4" t="e">
        <f t="shared" si="592"/>
        <v>#VALUE!</v>
      </c>
      <c r="V459" s="4" t="b">
        <f t="shared" si="583"/>
        <v>0</v>
      </c>
      <c r="W459" s="13" t="str">
        <f t="shared" si="584"/>
        <v>Да</v>
      </c>
      <c r="X459" s="4" t="e">
        <f>(IF(COUNTIFS($G$2:G459,"+",$W$2:W459,"Да")&gt;1,"&amp; ","")&amp;D459&amp;J459&amp;E459&amp;SUBSTITUTE(L459,"""",""))</f>
        <v>#VALUE!</v>
      </c>
      <c r="Y459" s="4" t="e">
        <f t="shared" si="540"/>
        <v>#VALUE!</v>
      </c>
    </row>
    <row r="460" spans="1:25" x14ac:dyDescent="0.3">
      <c r="A460" s="11"/>
      <c r="B460" s="5" t="str">
        <f t="shared" si="585"/>
        <v/>
      </c>
      <c r="C460" s="5" t="str">
        <f t="shared" si="586"/>
        <v/>
      </c>
      <c r="D460" s="4" t="s">
        <v>10</v>
      </c>
      <c r="E460" s="4" t="s">
        <v>11</v>
      </c>
      <c r="F460" s="4" t="str">
        <f t="shared" si="527"/>
        <v>!!!</v>
      </c>
      <c r="G460" s="4" t="str">
        <f t="shared" si="587"/>
        <v>+</v>
      </c>
      <c r="H460" s="4"/>
      <c r="I460" s="4" t="str">
        <f t="shared" si="528"/>
        <v>!!!</v>
      </c>
      <c r="J460" s="4" t="e">
        <f t="shared" si="529"/>
        <v>#VALUE!</v>
      </c>
      <c r="K460" s="4" t="e">
        <f t="shared" si="530"/>
        <v>#VALUE!</v>
      </c>
      <c r="L460" s="4" t="e">
        <f t="shared" si="531"/>
        <v>#VALUE!</v>
      </c>
      <c r="M460" s="4">
        <f t="shared" si="588"/>
        <v>1000</v>
      </c>
      <c r="N460" s="4">
        <f t="shared" ref="N460:O460" si="601">MIN(IFERROR(FIND(" ",$C460,M460+1),1000))</f>
        <v>1000</v>
      </c>
      <c r="O460" s="4">
        <f t="shared" si="601"/>
        <v>1000</v>
      </c>
      <c r="P460" s="4">
        <f t="shared" si="590"/>
        <v>0</v>
      </c>
      <c r="Q460" s="4" t="str">
        <f t="shared" si="537"/>
        <v/>
      </c>
      <c r="R460" s="4" t="str">
        <f t="shared" si="553"/>
        <v/>
      </c>
      <c r="S460" s="4" t="str">
        <f t="shared" si="543"/>
        <v/>
      </c>
      <c r="T460" s="4" t="e">
        <f t="shared" si="591"/>
        <v>#VALUE!</v>
      </c>
      <c r="U460" s="4" t="e">
        <f t="shared" si="592"/>
        <v>#VALUE!</v>
      </c>
      <c r="V460" s="4" t="b">
        <f t="shared" si="583"/>
        <v>0</v>
      </c>
      <c r="W460" s="13" t="str">
        <f t="shared" si="584"/>
        <v>Да</v>
      </c>
      <c r="X460" s="4" t="e">
        <f>(IF(COUNTIFS($G$2:G460,"+",$W$2:W460,"Да")&gt;1,"&amp; ","")&amp;D460&amp;J460&amp;E460&amp;SUBSTITUTE(L460,"""",""))</f>
        <v>#VALUE!</v>
      </c>
      <c r="Y460" s="4" t="e">
        <f t="shared" si="540"/>
        <v>#VALUE!</v>
      </c>
    </row>
    <row r="461" spans="1:25" x14ac:dyDescent="0.3">
      <c r="A461" s="11"/>
      <c r="B461" s="5" t="str">
        <f t="shared" si="585"/>
        <v/>
      </c>
      <c r="C461" s="5" t="str">
        <f t="shared" si="586"/>
        <v/>
      </c>
      <c r="D461" s="4" t="s">
        <v>10</v>
      </c>
      <c r="E461" s="4" t="s">
        <v>11</v>
      </c>
      <c r="F461" s="4" t="str">
        <f t="shared" si="527"/>
        <v>!!!</v>
      </c>
      <c r="G461" s="4" t="str">
        <f t="shared" si="587"/>
        <v>+</v>
      </c>
      <c r="H461" s="4"/>
      <c r="I461" s="4" t="str">
        <f t="shared" si="528"/>
        <v>!!!</v>
      </c>
      <c r="J461" s="4" t="e">
        <f t="shared" si="529"/>
        <v>#VALUE!</v>
      </c>
      <c r="K461" s="4" t="e">
        <f t="shared" si="530"/>
        <v>#VALUE!</v>
      </c>
      <c r="L461" s="4" t="e">
        <f t="shared" si="531"/>
        <v>#VALUE!</v>
      </c>
      <c r="M461" s="4">
        <f t="shared" si="588"/>
        <v>1000</v>
      </c>
      <c r="N461" s="4">
        <f t="shared" ref="N461:O461" si="602">MIN(IFERROR(FIND(" ",$C461,M461+1),1000))</f>
        <v>1000</v>
      </c>
      <c r="O461" s="4">
        <f t="shared" si="602"/>
        <v>1000</v>
      </c>
      <c r="P461" s="4">
        <f t="shared" si="590"/>
        <v>0</v>
      </c>
      <c r="Q461" s="4" t="str">
        <f t="shared" si="537"/>
        <v/>
      </c>
      <c r="R461" s="4" t="str">
        <f t="shared" si="553"/>
        <v/>
      </c>
      <c r="S461" s="4" t="str">
        <f t="shared" si="543"/>
        <v/>
      </c>
      <c r="T461" s="4" t="e">
        <f t="shared" si="591"/>
        <v>#VALUE!</v>
      </c>
      <c r="U461" s="4" t="e">
        <f t="shared" si="592"/>
        <v>#VALUE!</v>
      </c>
      <c r="V461" s="4" t="b">
        <f t="shared" si="583"/>
        <v>0</v>
      </c>
      <c r="W461" s="13" t="str">
        <f t="shared" si="584"/>
        <v>Да</v>
      </c>
      <c r="X461" s="4" t="e">
        <f>(IF(COUNTIFS($G$2:G461,"+",$W$2:W461,"Да")&gt;1,"&amp; ","")&amp;D461&amp;J461&amp;E461&amp;SUBSTITUTE(L461,"""",""))</f>
        <v>#VALUE!</v>
      </c>
      <c r="Y461" s="4" t="e">
        <f t="shared" si="540"/>
        <v>#VALUE!</v>
      </c>
    </row>
    <row r="462" spans="1:25" x14ac:dyDescent="0.3">
      <c r="A462" s="11"/>
      <c r="B462" s="5" t="str">
        <f t="shared" si="585"/>
        <v/>
      </c>
      <c r="C462" s="5" t="str">
        <f t="shared" si="586"/>
        <v/>
      </c>
      <c r="D462" s="4" t="s">
        <v>10</v>
      </c>
      <c r="E462" s="4" t="s">
        <v>11</v>
      </c>
      <c r="F462" s="4" t="str">
        <f t="shared" si="527"/>
        <v>!!!</v>
      </c>
      <c r="G462" s="4" t="str">
        <f t="shared" si="587"/>
        <v>+</v>
      </c>
      <c r="H462" s="4"/>
      <c r="I462" s="4" t="str">
        <f t="shared" si="528"/>
        <v>!!!</v>
      </c>
      <c r="J462" s="4" t="e">
        <f t="shared" si="529"/>
        <v>#VALUE!</v>
      </c>
      <c r="K462" s="4" t="e">
        <f t="shared" si="530"/>
        <v>#VALUE!</v>
      </c>
      <c r="L462" s="4" t="e">
        <f t="shared" si="531"/>
        <v>#VALUE!</v>
      </c>
      <c r="M462" s="4">
        <f t="shared" si="588"/>
        <v>1000</v>
      </c>
      <c r="N462" s="4">
        <f t="shared" ref="N462:O462" si="603">MIN(IFERROR(FIND(" ",$C462,M462+1),1000))</f>
        <v>1000</v>
      </c>
      <c r="O462" s="4">
        <f t="shared" si="603"/>
        <v>1000</v>
      </c>
      <c r="P462" s="4">
        <f t="shared" si="590"/>
        <v>0</v>
      </c>
      <c r="Q462" s="4" t="str">
        <f t="shared" si="537"/>
        <v/>
      </c>
      <c r="R462" s="4" t="str">
        <f t="shared" si="553"/>
        <v/>
      </c>
      <c r="S462" s="4" t="str">
        <f t="shared" si="543"/>
        <v/>
      </c>
      <c r="T462" s="4" t="e">
        <f t="shared" si="591"/>
        <v>#VALUE!</v>
      </c>
      <c r="U462" s="4" t="e">
        <f t="shared" si="592"/>
        <v>#VALUE!</v>
      </c>
      <c r="V462" s="4" t="b">
        <f t="shared" si="583"/>
        <v>0</v>
      </c>
      <c r="W462" s="13" t="str">
        <f t="shared" si="584"/>
        <v>Да</v>
      </c>
      <c r="X462" s="4" t="e">
        <f>(IF(COUNTIFS($G$2:G462,"+",$W$2:W462,"Да")&gt;1,"&amp; ","")&amp;D462&amp;J462&amp;E462&amp;SUBSTITUTE(L462,"""",""))</f>
        <v>#VALUE!</v>
      </c>
      <c r="Y462" s="4" t="e">
        <f t="shared" si="540"/>
        <v>#VALUE!</v>
      </c>
    </row>
    <row r="463" spans="1:25" x14ac:dyDescent="0.3">
      <c r="A463" s="11"/>
      <c r="B463" s="5" t="str">
        <f t="shared" si="585"/>
        <v/>
      </c>
      <c r="C463" s="5" t="str">
        <f t="shared" si="586"/>
        <v/>
      </c>
      <c r="D463" s="4" t="s">
        <v>10</v>
      </c>
      <c r="E463" s="4" t="s">
        <v>11</v>
      </c>
      <c r="F463" s="4" t="str">
        <f t="shared" si="527"/>
        <v>!!!</v>
      </c>
      <c r="G463" s="4" t="str">
        <f t="shared" si="587"/>
        <v>+</v>
      </c>
      <c r="H463" s="4"/>
      <c r="I463" s="4" t="str">
        <f t="shared" si="528"/>
        <v>!!!</v>
      </c>
      <c r="J463" s="4" t="e">
        <f t="shared" si="529"/>
        <v>#VALUE!</v>
      </c>
      <c r="K463" s="4" t="e">
        <f t="shared" si="530"/>
        <v>#VALUE!</v>
      </c>
      <c r="L463" s="4" t="e">
        <f t="shared" si="531"/>
        <v>#VALUE!</v>
      </c>
      <c r="M463" s="4">
        <f t="shared" si="588"/>
        <v>1000</v>
      </c>
      <c r="N463" s="4">
        <f t="shared" ref="N463:O463" si="604">MIN(IFERROR(FIND(" ",$C463,M463+1),1000))</f>
        <v>1000</v>
      </c>
      <c r="O463" s="4">
        <f t="shared" si="604"/>
        <v>1000</v>
      </c>
      <c r="P463" s="4">
        <f t="shared" si="590"/>
        <v>0</v>
      </c>
      <c r="Q463" s="4" t="str">
        <f t="shared" si="537"/>
        <v/>
      </c>
      <c r="R463" s="4" t="str">
        <f t="shared" si="553"/>
        <v/>
      </c>
      <c r="S463" s="4" t="str">
        <f t="shared" si="543"/>
        <v/>
      </c>
      <c r="T463" s="4" t="e">
        <f t="shared" si="591"/>
        <v>#VALUE!</v>
      </c>
      <c r="U463" s="4" t="e">
        <f t="shared" si="592"/>
        <v>#VALUE!</v>
      </c>
      <c r="V463" s="4" t="b">
        <f t="shared" si="583"/>
        <v>0</v>
      </c>
      <c r="W463" s="13" t="str">
        <f t="shared" si="584"/>
        <v>Да</v>
      </c>
      <c r="X463" s="4" t="e">
        <f>(IF(COUNTIFS($G$2:G463,"+",$W$2:W463,"Да")&gt;1,"&amp; ","")&amp;D463&amp;J463&amp;E463&amp;SUBSTITUTE(L463,"""",""))</f>
        <v>#VALUE!</v>
      </c>
      <c r="Y463" s="4" t="e">
        <f t="shared" si="540"/>
        <v>#VALUE!</v>
      </c>
    </row>
    <row r="464" spans="1:25" x14ac:dyDescent="0.3">
      <c r="A464" s="11"/>
      <c r="B464" s="5" t="str">
        <f t="shared" si="585"/>
        <v/>
      </c>
      <c r="C464" s="5" t="str">
        <f t="shared" si="586"/>
        <v/>
      </c>
      <c r="D464" s="4" t="s">
        <v>10</v>
      </c>
      <c r="E464" s="4" t="s">
        <v>11</v>
      </c>
      <c r="F464" s="4" t="str">
        <f t="shared" si="527"/>
        <v>!!!</v>
      </c>
      <c r="G464" s="4" t="str">
        <f t="shared" si="587"/>
        <v>+</v>
      </c>
      <c r="H464" s="4"/>
      <c r="I464" s="4" t="str">
        <f t="shared" si="528"/>
        <v>!!!</v>
      </c>
      <c r="J464" s="4" t="e">
        <f t="shared" si="529"/>
        <v>#VALUE!</v>
      </c>
      <c r="K464" s="4" t="e">
        <f t="shared" si="530"/>
        <v>#VALUE!</v>
      </c>
      <c r="L464" s="4" t="e">
        <f t="shared" si="531"/>
        <v>#VALUE!</v>
      </c>
      <c r="M464" s="4">
        <f t="shared" si="588"/>
        <v>1000</v>
      </c>
      <c r="N464" s="4">
        <f t="shared" ref="N464:O464" si="605">MIN(IFERROR(FIND(" ",$C464,M464+1),1000))</f>
        <v>1000</v>
      </c>
      <c r="O464" s="4">
        <f t="shared" si="605"/>
        <v>1000</v>
      </c>
      <c r="P464" s="4">
        <f t="shared" si="590"/>
        <v>0</v>
      </c>
      <c r="Q464" s="4" t="str">
        <f t="shared" si="537"/>
        <v/>
      </c>
      <c r="R464" s="4" t="str">
        <f t="shared" si="553"/>
        <v/>
      </c>
      <c r="S464" s="4" t="str">
        <f t="shared" si="543"/>
        <v/>
      </c>
      <c r="T464" s="4" t="e">
        <f t="shared" si="591"/>
        <v>#VALUE!</v>
      </c>
      <c r="U464" s="4" t="e">
        <f t="shared" si="592"/>
        <v>#VALUE!</v>
      </c>
      <c r="V464" s="4" t="b">
        <f t="shared" si="583"/>
        <v>0</v>
      </c>
      <c r="W464" s="13" t="str">
        <f t="shared" si="584"/>
        <v>Да</v>
      </c>
      <c r="X464" s="4" t="e">
        <f>(IF(COUNTIFS($G$2:G464,"+",$W$2:W464,"Да")&gt;1,"&amp; ","")&amp;D464&amp;J464&amp;E464&amp;SUBSTITUTE(L464,"""",""))</f>
        <v>#VALUE!</v>
      </c>
      <c r="Y464" s="4" t="e">
        <f t="shared" si="540"/>
        <v>#VALUE!</v>
      </c>
    </row>
    <row r="465" spans="1:25" x14ac:dyDescent="0.3">
      <c r="A465" s="11"/>
      <c r="B465" s="5" t="str">
        <f t="shared" si="585"/>
        <v/>
      </c>
      <c r="C465" s="5" t="str">
        <f t="shared" si="586"/>
        <v/>
      </c>
      <c r="D465" s="4" t="s">
        <v>10</v>
      </c>
      <c r="E465" s="4" t="s">
        <v>11</v>
      </c>
      <c r="F465" s="4" t="str">
        <f t="shared" si="527"/>
        <v>!!!</v>
      </c>
      <c r="G465" s="4" t="str">
        <f t="shared" si="587"/>
        <v>+</v>
      </c>
      <c r="H465" s="4"/>
      <c r="I465" s="4" t="str">
        <f t="shared" si="528"/>
        <v>!!!</v>
      </c>
      <c r="J465" s="4" t="e">
        <f t="shared" si="529"/>
        <v>#VALUE!</v>
      </c>
      <c r="K465" s="4" t="e">
        <f t="shared" si="530"/>
        <v>#VALUE!</v>
      </c>
      <c r="L465" s="4" t="e">
        <f t="shared" si="531"/>
        <v>#VALUE!</v>
      </c>
      <c r="M465" s="4">
        <f t="shared" si="588"/>
        <v>1000</v>
      </c>
      <c r="N465" s="4">
        <f t="shared" ref="N465:O465" si="606">MIN(IFERROR(FIND(" ",$C465,M465+1),1000))</f>
        <v>1000</v>
      </c>
      <c r="O465" s="4">
        <f t="shared" si="606"/>
        <v>1000</v>
      </c>
      <c r="P465" s="4">
        <f t="shared" si="590"/>
        <v>0</v>
      </c>
      <c r="Q465" s="4" t="str">
        <f t="shared" si="537"/>
        <v/>
      </c>
      <c r="R465" s="4" t="str">
        <f t="shared" si="553"/>
        <v/>
      </c>
      <c r="S465" s="4" t="str">
        <f t="shared" si="543"/>
        <v/>
      </c>
      <c r="T465" s="4" t="e">
        <f t="shared" si="591"/>
        <v>#VALUE!</v>
      </c>
      <c r="U465" s="4" t="e">
        <f t="shared" si="592"/>
        <v>#VALUE!</v>
      </c>
      <c r="V465" s="4" t="b">
        <f t="shared" si="583"/>
        <v>0</v>
      </c>
      <c r="W465" s="13" t="str">
        <f t="shared" si="584"/>
        <v>Да</v>
      </c>
      <c r="X465" s="4" t="e">
        <f>(IF(COUNTIFS($G$2:G465,"+",$W$2:W465,"Да")&gt;1,"&amp; ","")&amp;D465&amp;J465&amp;E465&amp;SUBSTITUTE(L465,"""",""))</f>
        <v>#VALUE!</v>
      </c>
      <c r="Y465" s="4" t="e">
        <f t="shared" si="540"/>
        <v>#VALUE!</v>
      </c>
    </row>
    <row r="466" spans="1:25" x14ac:dyDescent="0.3">
      <c r="A466" s="11"/>
      <c r="B466" s="5" t="str">
        <f t="shared" si="585"/>
        <v/>
      </c>
      <c r="C466" s="5" t="str">
        <f t="shared" si="586"/>
        <v/>
      </c>
      <c r="D466" s="4" t="s">
        <v>10</v>
      </c>
      <c r="E466" s="4" t="s">
        <v>11</v>
      </c>
      <c r="F466" s="4" t="str">
        <f t="shared" si="527"/>
        <v>!!!</v>
      </c>
      <c r="G466" s="4" t="str">
        <f t="shared" si="587"/>
        <v>+</v>
      </c>
      <c r="H466" s="4"/>
      <c r="I466" s="4" t="str">
        <f t="shared" si="528"/>
        <v>!!!</v>
      </c>
      <c r="J466" s="4" t="e">
        <f t="shared" si="529"/>
        <v>#VALUE!</v>
      </c>
      <c r="K466" s="4" t="e">
        <f t="shared" si="530"/>
        <v>#VALUE!</v>
      </c>
      <c r="L466" s="4" t="e">
        <f t="shared" si="531"/>
        <v>#VALUE!</v>
      </c>
      <c r="M466" s="4">
        <f t="shared" si="588"/>
        <v>1000</v>
      </c>
      <c r="N466" s="4">
        <f t="shared" ref="N466:O466" si="607">MIN(IFERROR(FIND(" ",$C466,M466+1),1000))</f>
        <v>1000</v>
      </c>
      <c r="O466" s="4">
        <f t="shared" si="607"/>
        <v>1000</v>
      </c>
      <c r="P466" s="4">
        <f t="shared" si="590"/>
        <v>0</v>
      </c>
      <c r="Q466" s="4" t="str">
        <f t="shared" si="537"/>
        <v/>
      </c>
      <c r="R466" s="4" t="str">
        <f t="shared" si="553"/>
        <v/>
      </c>
      <c r="S466" s="4" t="str">
        <f t="shared" si="543"/>
        <v/>
      </c>
      <c r="T466" s="4" t="e">
        <f t="shared" si="591"/>
        <v>#VALUE!</v>
      </c>
      <c r="U466" s="4" t="e">
        <f t="shared" si="592"/>
        <v>#VALUE!</v>
      </c>
      <c r="V466" s="4" t="b">
        <f t="shared" si="583"/>
        <v>0</v>
      </c>
      <c r="W466" s="13" t="str">
        <f t="shared" si="584"/>
        <v>Да</v>
      </c>
      <c r="X466" s="4" t="e">
        <f>(IF(COUNTIFS($G$2:G466,"+",$W$2:W466,"Да")&gt;1,"&amp; ","")&amp;D466&amp;J466&amp;E466&amp;SUBSTITUTE(L466,"""",""))</f>
        <v>#VALUE!</v>
      </c>
      <c r="Y466" s="4" t="e">
        <f t="shared" si="540"/>
        <v>#VALUE!</v>
      </c>
    </row>
    <row r="467" spans="1:25" x14ac:dyDescent="0.3">
      <c r="A467" s="11"/>
      <c r="B467" s="5" t="str">
        <f t="shared" si="585"/>
        <v/>
      </c>
      <c r="C467" s="5" t="str">
        <f t="shared" si="586"/>
        <v/>
      </c>
      <c r="D467" s="4" t="s">
        <v>10</v>
      </c>
      <c r="E467" s="4" t="s">
        <v>11</v>
      </c>
      <c r="F467" s="4" t="str">
        <f t="shared" si="527"/>
        <v>!!!</v>
      </c>
      <c r="G467" s="4" t="str">
        <f t="shared" si="587"/>
        <v>+</v>
      </c>
      <c r="H467" s="4"/>
      <c r="I467" s="4" t="str">
        <f t="shared" si="528"/>
        <v>!!!</v>
      </c>
      <c r="J467" s="4" t="e">
        <f t="shared" si="529"/>
        <v>#VALUE!</v>
      </c>
      <c r="K467" s="4" t="e">
        <f t="shared" si="530"/>
        <v>#VALUE!</v>
      </c>
      <c r="L467" s="4" t="e">
        <f t="shared" si="531"/>
        <v>#VALUE!</v>
      </c>
      <c r="M467" s="4">
        <f t="shared" si="588"/>
        <v>1000</v>
      </c>
      <c r="N467" s="4">
        <f t="shared" ref="N467:O467" si="608">MIN(IFERROR(FIND(" ",$C467,M467+1),1000))</f>
        <v>1000</v>
      </c>
      <c r="O467" s="4">
        <f t="shared" si="608"/>
        <v>1000</v>
      </c>
      <c r="P467" s="4">
        <f t="shared" si="590"/>
        <v>0</v>
      </c>
      <c r="Q467" s="4" t="str">
        <f t="shared" si="537"/>
        <v/>
      </c>
      <c r="R467" s="4" t="str">
        <f t="shared" si="553"/>
        <v/>
      </c>
      <c r="S467" s="4" t="str">
        <f t="shared" si="543"/>
        <v/>
      </c>
      <c r="T467" s="4" t="e">
        <f t="shared" si="591"/>
        <v>#VALUE!</v>
      </c>
      <c r="U467" s="4" t="e">
        <f t="shared" si="592"/>
        <v>#VALUE!</v>
      </c>
      <c r="V467" s="4" t="b">
        <f t="shared" si="583"/>
        <v>0</v>
      </c>
      <c r="W467" s="13" t="str">
        <f t="shared" si="584"/>
        <v>Да</v>
      </c>
      <c r="X467" s="4" t="e">
        <f>(IF(COUNTIFS($G$2:G467,"+",$W$2:W467,"Да")&gt;1,"&amp; ","")&amp;D467&amp;J467&amp;E467&amp;SUBSTITUTE(L467,"""",""))</f>
        <v>#VALUE!</v>
      </c>
      <c r="Y467" s="4" t="e">
        <f t="shared" si="540"/>
        <v>#VALUE!</v>
      </c>
    </row>
    <row r="468" spans="1:25" x14ac:dyDescent="0.3">
      <c r="A468" s="11"/>
      <c r="B468" s="5" t="str">
        <f t="shared" si="585"/>
        <v/>
      </c>
      <c r="C468" s="5" t="str">
        <f t="shared" si="586"/>
        <v/>
      </c>
      <c r="D468" s="4" t="s">
        <v>10</v>
      </c>
      <c r="E468" s="4" t="s">
        <v>11</v>
      </c>
      <c r="F468" s="4" t="str">
        <f t="shared" ref="F468:F531" si="609">IFERROR(SEARCH(" as ",B468),"!!!")</f>
        <v>!!!</v>
      </c>
      <c r="G468" s="4" t="str">
        <f t="shared" si="587"/>
        <v>+</v>
      </c>
      <c r="H468" s="4"/>
      <c r="I468" s="4" t="str">
        <f t="shared" ref="I468:I531" si="610">IFERROR(SEARCH(" ",B468),"!!!")</f>
        <v>!!!</v>
      </c>
      <c r="J468" s="4" t="e">
        <f t="shared" ref="J468:J531" si="611">RIGHT(B468,LEN(B468)-F468-3)</f>
        <v>#VALUE!</v>
      </c>
      <c r="K468" s="4" t="e">
        <f t="shared" ref="K468:K531" si="612">MID(B468,I468+1,F468-I468)</f>
        <v>#VALUE!</v>
      </c>
      <c r="L468" s="4" t="e">
        <f t="shared" ref="L468:L531" si="613">MID(B468,I468+1,F468-I468)</f>
        <v>#VALUE!</v>
      </c>
      <c r="M468" s="4">
        <f t="shared" si="588"/>
        <v>1000</v>
      </c>
      <c r="N468" s="4">
        <f t="shared" ref="N468:O468" si="614">MIN(IFERROR(FIND(" ",$C468,M468+1),1000))</f>
        <v>1000</v>
      </c>
      <c r="O468" s="4">
        <f t="shared" si="614"/>
        <v>1000</v>
      </c>
      <c r="P468" s="4">
        <f t="shared" si="590"/>
        <v>0</v>
      </c>
      <c r="Q468" s="4" t="str">
        <f t="shared" si="537"/>
        <v/>
      </c>
      <c r="R468" s="4" t="str">
        <f t="shared" si="553"/>
        <v/>
      </c>
      <c r="S468" s="4" t="str">
        <f t="shared" si="543"/>
        <v/>
      </c>
      <c r="T468" s="4" t="e">
        <f t="shared" si="591"/>
        <v>#VALUE!</v>
      </c>
      <c r="U468" s="4" t="e">
        <f t="shared" si="592"/>
        <v>#VALUE!</v>
      </c>
      <c r="V468" s="4" t="b">
        <f t="shared" si="583"/>
        <v>0</v>
      </c>
      <c r="W468" s="13" t="str">
        <f t="shared" si="584"/>
        <v>Да</v>
      </c>
      <c r="X468" s="4" t="e">
        <f>(IF(COUNTIFS($G$2:G468,"+",$W$2:W468,"Да")&gt;1,"&amp; ","")&amp;D468&amp;J468&amp;E468&amp;SUBSTITUTE(L468,"""",""))</f>
        <v>#VALUE!</v>
      </c>
      <c r="Y468" s="4" t="e">
        <f t="shared" si="540"/>
        <v>#VALUE!</v>
      </c>
    </row>
    <row r="469" spans="1:25" x14ac:dyDescent="0.3">
      <c r="A469" s="11"/>
      <c r="B469" s="5" t="str">
        <f t="shared" si="585"/>
        <v/>
      </c>
      <c r="C469" s="5" t="str">
        <f t="shared" si="586"/>
        <v/>
      </c>
      <c r="D469" s="4" t="s">
        <v>10</v>
      </c>
      <c r="E469" s="4" t="s">
        <v>11</v>
      </c>
      <c r="F469" s="4" t="str">
        <f t="shared" si="609"/>
        <v>!!!</v>
      </c>
      <c r="G469" s="4" t="str">
        <f t="shared" si="587"/>
        <v>+</v>
      </c>
      <c r="H469" s="4"/>
      <c r="I469" s="4" t="str">
        <f t="shared" si="610"/>
        <v>!!!</v>
      </c>
      <c r="J469" s="4" t="e">
        <f t="shared" si="611"/>
        <v>#VALUE!</v>
      </c>
      <c r="K469" s="4" t="e">
        <f t="shared" si="612"/>
        <v>#VALUE!</v>
      </c>
      <c r="L469" s="4" t="e">
        <f t="shared" si="613"/>
        <v>#VALUE!</v>
      </c>
      <c r="M469" s="4">
        <f t="shared" si="588"/>
        <v>1000</v>
      </c>
      <c r="N469" s="4">
        <f t="shared" ref="N469:O469" si="615">MIN(IFERROR(FIND(" ",$C469,M469+1),1000))</f>
        <v>1000</v>
      </c>
      <c r="O469" s="4">
        <f t="shared" si="615"/>
        <v>1000</v>
      </c>
      <c r="P469" s="4">
        <f t="shared" si="590"/>
        <v>0</v>
      </c>
      <c r="Q469" s="4" t="str">
        <f t="shared" si="537"/>
        <v/>
      </c>
      <c r="R469" s="4" t="str">
        <f t="shared" si="553"/>
        <v/>
      </c>
      <c r="S469" s="4" t="str">
        <f t="shared" si="543"/>
        <v/>
      </c>
      <c r="T469" s="4" t="e">
        <f t="shared" si="591"/>
        <v>#VALUE!</v>
      </c>
      <c r="U469" s="4" t="e">
        <f t="shared" si="592"/>
        <v>#VALUE!</v>
      </c>
      <c r="V469" s="4" t="b">
        <f t="shared" si="583"/>
        <v>0</v>
      </c>
      <c r="W469" s="13" t="str">
        <f t="shared" si="584"/>
        <v>Да</v>
      </c>
      <c r="X469" s="4" t="e">
        <f>(IF(COUNTIFS($G$2:G469,"+",$W$2:W469,"Да")&gt;1,"&amp; ","")&amp;D469&amp;J469&amp;E469&amp;SUBSTITUTE(L469,"""",""))</f>
        <v>#VALUE!</v>
      </c>
      <c r="Y469" s="4" t="e">
        <f t="shared" si="540"/>
        <v>#VALUE!</v>
      </c>
    </row>
    <row r="470" spans="1:25" x14ac:dyDescent="0.3">
      <c r="A470" s="11"/>
      <c r="B470" s="5" t="str">
        <f t="shared" si="585"/>
        <v/>
      </c>
      <c r="C470" s="5" t="str">
        <f t="shared" si="586"/>
        <v/>
      </c>
      <c r="D470" s="4" t="s">
        <v>10</v>
      </c>
      <c r="E470" s="4" t="s">
        <v>11</v>
      </c>
      <c r="F470" s="4" t="str">
        <f t="shared" si="609"/>
        <v>!!!</v>
      </c>
      <c r="G470" s="4" t="str">
        <f t="shared" si="587"/>
        <v>+</v>
      </c>
      <c r="H470" s="4"/>
      <c r="I470" s="4" t="str">
        <f t="shared" si="610"/>
        <v>!!!</v>
      </c>
      <c r="J470" s="4" t="e">
        <f t="shared" si="611"/>
        <v>#VALUE!</v>
      </c>
      <c r="K470" s="4" t="e">
        <f t="shared" si="612"/>
        <v>#VALUE!</v>
      </c>
      <c r="L470" s="4" t="e">
        <f t="shared" si="613"/>
        <v>#VALUE!</v>
      </c>
      <c r="M470" s="4">
        <f t="shared" si="588"/>
        <v>1000</v>
      </c>
      <c r="N470" s="4">
        <f t="shared" ref="N470:O470" si="616">MIN(IFERROR(FIND(" ",$C470,M470+1),1000))</f>
        <v>1000</v>
      </c>
      <c r="O470" s="4">
        <f t="shared" si="616"/>
        <v>1000</v>
      </c>
      <c r="P470" s="4">
        <f t="shared" si="590"/>
        <v>0</v>
      </c>
      <c r="Q470" s="4" t="str">
        <f t="shared" si="537"/>
        <v/>
      </c>
      <c r="R470" s="4" t="str">
        <f t="shared" si="553"/>
        <v/>
      </c>
      <c r="S470" s="4" t="str">
        <f t="shared" si="543"/>
        <v/>
      </c>
      <c r="T470" s="4" t="e">
        <f t="shared" si="591"/>
        <v>#VALUE!</v>
      </c>
      <c r="U470" s="4" t="e">
        <f t="shared" si="592"/>
        <v>#VALUE!</v>
      </c>
      <c r="V470" s="4" t="b">
        <f t="shared" si="583"/>
        <v>0</v>
      </c>
      <c r="W470" s="13" t="str">
        <f t="shared" si="584"/>
        <v>Да</v>
      </c>
      <c r="X470" s="4" t="e">
        <f>(IF(COUNTIFS($G$2:G470,"+",$W$2:W470,"Да")&gt;1,"&amp; ","")&amp;D470&amp;J470&amp;E470&amp;SUBSTITUTE(L470,"""",""))</f>
        <v>#VALUE!</v>
      </c>
      <c r="Y470" s="4" t="e">
        <f t="shared" si="540"/>
        <v>#VALUE!</v>
      </c>
    </row>
    <row r="471" spans="1:25" x14ac:dyDescent="0.3">
      <c r="A471" s="11"/>
      <c r="B471" s="5" t="str">
        <f t="shared" si="585"/>
        <v/>
      </c>
      <c r="C471" s="5" t="str">
        <f t="shared" si="586"/>
        <v/>
      </c>
      <c r="D471" s="4" t="s">
        <v>10</v>
      </c>
      <c r="E471" s="4" t="s">
        <v>11</v>
      </c>
      <c r="F471" s="4" t="str">
        <f t="shared" si="609"/>
        <v>!!!</v>
      </c>
      <c r="G471" s="4" t="str">
        <f t="shared" si="587"/>
        <v>+</v>
      </c>
      <c r="H471" s="4"/>
      <c r="I471" s="4" t="str">
        <f t="shared" si="610"/>
        <v>!!!</v>
      </c>
      <c r="J471" s="4" t="e">
        <f t="shared" si="611"/>
        <v>#VALUE!</v>
      </c>
      <c r="K471" s="4" t="e">
        <f t="shared" si="612"/>
        <v>#VALUE!</v>
      </c>
      <c r="L471" s="4" t="e">
        <f t="shared" si="613"/>
        <v>#VALUE!</v>
      </c>
      <c r="M471" s="4">
        <f t="shared" si="588"/>
        <v>1000</v>
      </c>
      <c r="N471" s="4">
        <f t="shared" ref="N471:O471" si="617">MIN(IFERROR(FIND(" ",$C471,M471+1),1000))</f>
        <v>1000</v>
      </c>
      <c r="O471" s="4">
        <f t="shared" si="617"/>
        <v>1000</v>
      </c>
      <c r="P471" s="4">
        <f t="shared" si="590"/>
        <v>0</v>
      </c>
      <c r="Q471" s="4" t="str">
        <f t="shared" si="537"/>
        <v/>
      </c>
      <c r="R471" s="4" t="str">
        <f t="shared" si="553"/>
        <v/>
      </c>
      <c r="S471" s="4" t="str">
        <f t="shared" si="543"/>
        <v/>
      </c>
      <c r="T471" s="4" t="e">
        <f t="shared" si="591"/>
        <v>#VALUE!</v>
      </c>
      <c r="U471" s="4" t="e">
        <f t="shared" si="592"/>
        <v>#VALUE!</v>
      </c>
      <c r="V471" s="4" t="b">
        <f t="shared" si="583"/>
        <v>0</v>
      </c>
      <c r="W471" s="13" t="str">
        <f t="shared" si="584"/>
        <v>Да</v>
      </c>
      <c r="X471" s="4" t="e">
        <f>(IF(COUNTIFS($G$2:G471,"+",$W$2:W471,"Да")&gt;1,"&amp; ","")&amp;D471&amp;J471&amp;E471&amp;SUBSTITUTE(L471,"""",""))</f>
        <v>#VALUE!</v>
      </c>
      <c r="Y471" s="4" t="e">
        <f t="shared" si="540"/>
        <v>#VALUE!</v>
      </c>
    </row>
    <row r="472" spans="1:25" x14ac:dyDescent="0.3">
      <c r="A472" s="11"/>
      <c r="B472" s="5" t="str">
        <f t="shared" si="585"/>
        <v/>
      </c>
      <c r="C472" s="5" t="str">
        <f t="shared" si="586"/>
        <v/>
      </c>
      <c r="D472" s="4" t="s">
        <v>10</v>
      </c>
      <c r="E472" s="4" t="s">
        <v>11</v>
      </c>
      <c r="F472" s="4" t="str">
        <f t="shared" si="609"/>
        <v>!!!</v>
      </c>
      <c r="G472" s="4" t="str">
        <f t="shared" si="587"/>
        <v>+</v>
      </c>
      <c r="H472" s="4"/>
      <c r="I472" s="4" t="str">
        <f t="shared" si="610"/>
        <v>!!!</v>
      </c>
      <c r="J472" s="4" t="e">
        <f t="shared" si="611"/>
        <v>#VALUE!</v>
      </c>
      <c r="K472" s="4" t="e">
        <f t="shared" si="612"/>
        <v>#VALUE!</v>
      </c>
      <c r="L472" s="4" t="e">
        <f t="shared" si="613"/>
        <v>#VALUE!</v>
      </c>
      <c r="M472" s="4">
        <f t="shared" si="588"/>
        <v>1000</v>
      </c>
      <c r="N472" s="4">
        <f t="shared" ref="N472:O472" si="618">MIN(IFERROR(FIND(" ",$C472,M472+1),1000))</f>
        <v>1000</v>
      </c>
      <c r="O472" s="4">
        <f t="shared" si="618"/>
        <v>1000</v>
      </c>
      <c r="P472" s="4">
        <f t="shared" si="590"/>
        <v>0</v>
      </c>
      <c r="Q472" s="4" t="str">
        <f t="shared" ref="Q472:Q535" si="619">LEFT(C472,M472-1)</f>
        <v/>
      </c>
      <c r="R472" s="4" t="str">
        <f t="shared" si="553"/>
        <v/>
      </c>
      <c r="S472" s="4" t="str">
        <f t="shared" si="543"/>
        <v/>
      </c>
      <c r="T472" s="4" t="e">
        <f t="shared" si="591"/>
        <v>#VALUE!</v>
      </c>
      <c r="U472" s="4" t="e">
        <f t="shared" si="592"/>
        <v>#VALUE!</v>
      </c>
      <c r="V472" s="4" t="b">
        <f t="shared" si="583"/>
        <v>0</v>
      </c>
      <c r="W472" s="13" t="str">
        <f t="shared" si="584"/>
        <v>Да</v>
      </c>
      <c r="X472" s="4" t="e">
        <f>(IF(COUNTIFS($G$2:G472,"+",$W$2:W472,"Да")&gt;1,"&amp; ","")&amp;D472&amp;J472&amp;E472&amp;SUBSTITUTE(L472,"""",""))</f>
        <v>#VALUE!</v>
      </c>
      <c r="Y472" s="4" t="e">
        <f t="shared" si="540"/>
        <v>#VALUE!</v>
      </c>
    </row>
    <row r="473" spans="1:25" x14ac:dyDescent="0.3">
      <c r="A473" s="11"/>
      <c r="B473" s="5" t="str">
        <f t="shared" si="585"/>
        <v/>
      </c>
      <c r="C473" s="5" t="str">
        <f t="shared" si="586"/>
        <v/>
      </c>
      <c r="D473" s="4" t="s">
        <v>10</v>
      </c>
      <c r="E473" s="4" t="s">
        <v>11</v>
      </c>
      <c r="F473" s="4" t="str">
        <f t="shared" si="609"/>
        <v>!!!</v>
      </c>
      <c r="G473" s="4" t="str">
        <f t="shared" si="587"/>
        <v>+</v>
      </c>
      <c r="H473" s="4"/>
      <c r="I473" s="4" t="str">
        <f t="shared" si="610"/>
        <v>!!!</v>
      </c>
      <c r="J473" s="4" t="e">
        <f t="shared" si="611"/>
        <v>#VALUE!</v>
      </c>
      <c r="K473" s="4" t="e">
        <f t="shared" si="612"/>
        <v>#VALUE!</v>
      </c>
      <c r="L473" s="4" t="e">
        <f t="shared" si="613"/>
        <v>#VALUE!</v>
      </c>
      <c r="M473" s="4">
        <f t="shared" si="588"/>
        <v>1000</v>
      </c>
      <c r="N473" s="4">
        <f t="shared" ref="N473:O473" si="620">MIN(IFERROR(FIND(" ",$C473,M473+1),1000))</f>
        <v>1000</v>
      </c>
      <c r="O473" s="4">
        <f t="shared" si="620"/>
        <v>1000</v>
      </c>
      <c r="P473" s="4">
        <f t="shared" si="590"/>
        <v>0</v>
      </c>
      <c r="Q473" s="4" t="str">
        <f t="shared" si="619"/>
        <v/>
      </c>
      <c r="R473" s="4" t="str">
        <f t="shared" si="553"/>
        <v/>
      </c>
      <c r="S473" s="4" t="str">
        <f t="shared" si="543"/>
        <v/>
      </c>
      <c r="T473" s="4" t="e">
        <f t="shared" si="591"/>
        <v>#VALUE!</v>
      </c>
      <c r="U473" s="4" t="e">
        <f t="shared" si="592"/>
        <v>#VALUE!</v>
      </c>
      <c r="V473" s="4" t="b">
        <f t="shared" si="583"/>
        <v>0</v>
      </c>
      <c r="W473" s="13" t="str">
        <f t="shared" si="584"/>
        <v>Да</v>
      </c>
      <c r="X473" s="4" t="e">
        <f>(IF(COUNTIFS($G$2:G473,"+",$W$2:W473,"Да")&gt;1,"&amp; ","")&amp;D473&amp;J473&amp;E473&amp;SUBSTITUTE(L473,"""",""))</f>
        <v>#VALUE!</v>
      </c>
      <c r="Y473" s="4" t="e">
        <f t="shared" si="540"/>
        <v>#VALUE!</v>
      </c>
    </row>
    <row r="474" spans="1:25" x14ac:dyDescent="0.3">
      <c r="A474" s="11"/>
      <c r="B474" s="5" t="str">
        <f t="shared" si="585"/>
        <v/>
      </c>
      <c r="C474" s="5" t="str">
        <f t="shared" si="586"/>
        <v/>
      </c>
      <c r="D474" s="4" t="s">
        <v>10</v>
      </c>
      <c r="E474" s="4" t="s">
        <v>11</v>
      </c>
      <c r="F474" s="4" t="str">
        <f t="shared" si="609"/>
        <v>!!!</v>
      </c>
      <c r="G474" s="4" t="str">
        <f t="shared" si="587"/>
        <v>+</v>
      </c>
      <c r="H474" s="4"/>
      <c r="I474" s="4" t="str">
        <f t="shared" si="610"/>
        <v>!!!</v>
      </c>
      <c r="J474" s="4" t="e">
        <f t="shared" si="611"/>
        <v>#VALUE!</v>
      </c>
      <c r="K474" s="4" t="e">
        <f t="shared" si="612"/>
        <v>#VALUE!</v>
      </c>
      <c r="L474" s="4" t="e">
        <f t="shared" si="613"/>
        <v>#VALUE!</v>
      </c>
      <c r="M474" s="4">
        <f t="shared" si="588"/>
        <v>1000</v>
      </c>
      <c r="N474" s="4">
        <f t="shared" ref="N474:O474" si="621">MIN(IFERROR(FIND(" ",$C474,M474+1),1000))</f>
        <v>1000</v>
      </c>
      <c r="O474" s="4">
        <f t="shared" si="621"/>
        <v>1000</v>
      </c>
      <c r="P474" s="4">
        <f t="shared" si="590"/>
        <v>0</v>
      </c>
      <c r="Q474" s="4" t="str">
        <f t="shared" si="619"/>
        <v/>
      </c>
      <c r="R474" s="4" t="str">
        <f t="shared" si="553"/>
        <v/>
      </c>
      <c r="S474" s="4" t="str">
        <f t="shared" si="543"/>
        <v/>
      </c>
      <c r="T474" s="4" t="e">
        <f t="shared" si="591"/>
        <v>#VALUE!</v>
      </c>
      <c r="U474" s="4" t="e">
        <f t="shared" si="592"/>
        <v>#VALUE!</v>
      </c>
      <c r="V474" s="4" t="b">
        <f t="shared" si="583"/>
        <v>0</v>
      </c>
      <c r="W474" s="13" t="str">
        <f t="shared" si="584"/>
        <v>Да</v>
      </c>
      <c r="X474" s="4" t="e">
        <f>(IF(COUNTIFS($G$2:G474,"+",$W$2:W474,"Да")&gt;1,"&amp; ","")&amp;D474&amp;J474&amp;E474&amp;SUBSTITUTE(L474,"""",""))</f>
        <v>#VALUE!</v>
      </c>
      <c r="Y474" s="4" t="e">
        <f t="shared" ref="Y474:Y537" si="622">IF(S474="",X474,LEFT(X474,FIND(":",X474))&amp;" "&amp;S474)</f>
        <v>#VALUE!</v>
      </c>
    </row>
    <row r="475" spans="1:25" x14ac:dyDescent="0.3">
      <c r="A475" s="11"/>
      <c r="B475" s="5" t="str">
        <f t="shared" si="585"/>
        <v/>
      </c>
      <c r="C475" s="5" t="str">
        <f t="shared" si="586"/>
        <v/>
      </c>
      <c r="D475" s="4" t="s">
        <v>10</v>
      </c>
      <c r="E475" s="4" t="s">
        <v>11</v>
      </c>
      <c r="F475" s="4" t="str">
        <f t="shared" si="609"/>
        <v>!!!</v>
      </c>
      <c r="G475" s="4" t="str">
        <f t="shared" si="587"/>
        <v>+</v>
      </c>
      <c r="H475" s="4"/>
      <c r="I475" s="4" t="str">
        <f t="shared" si="610"/>
        <v>!!!</v>
      </c>
      <c r="J475" s="4" t="e">
        <f t="shared" si="611"/>
        <v>#VALUE!</v>
      </c>
      <c r="K475" s="4" t="e">
        <f t="shared" si="612"/>
        <v>#VALUE!</v>
      </c>
      <c r="L475" s="4" t="e">
        <f t="shared" si="613"/>
        <v>#VALUE!</v>
      </c>
      <c r="M475" s="4">
        <f t="shared" si="588"/>
        <v>1000</v>
      </c>
      <c r="N475" s="4">
        <f t="shared" ref="N475:O475" si="623">MIN(IFERROR(FIND(" ",$C475,M475+1),1000))</f>
        <v>1000</v>
      </c>
      <c r="O475" s="4">
        <f t="shared" si="623"/>
        <v>1000</v>
      </c>
      <c r="P475" s="4">
        <f t="shared" si="590"/>
        <v>0</v>
      </c>
      <c r="Q475" s="4" t="str">
        <f t="shared" si="619"/>
        <v/>
      </c>
      <c r="R475" s="4" t="str">
        <f t="shared" si="553"/>
        <v/>
      </c>
      <c r="S475" s="4" t="str">
        <f t="shared" si="543"/>
        <v/>
      </c>
      <c r="T475" s="4" t="e">
        <f t="shared" si="591"/>
        <v>#VALUE!</v>
      </c>
      <c r="U475" s="4" t="e">
        <f t="shared" si="592"/>
        <v>#VALUE!</v>
      </c>
      <c r="V475" s="4" t="b">
        <f t="shared" si="583"/>
        <v>0</v>
      </c>
      <c r="W475" s="13" t="str">
        <f t="shared" si="584"/>
        <v>Да</v>
      </c>
      <c r="X475" s="4" t="e">
        <f>(IF(COUNTIFS($G$2:G475,"+",$W$2:W475,"Да")&gt;1,"&amp; ","")&amp;D475&amp;J475&amp;E475&amp;SUBSTITUTE(L475,"""",""))</f>
        <v>#VALUE!</v>
      </c>
      <c r="Y475" s="4" t="e">
        <f t="shared" si="622"/>
        <v>#VALUE!</v>
      </c>
    </row>
    <row r="476" spans="1:25" x14ac:dyDescent="0.3">
      <c r="A476" s="11"/>
      <c r="B476" s="5" t="str">
        <f t="shared" si="585"/>
        <v/>
      </c>
      <c r="C476" s="5" t="str">
        <f t="shared" si="586"/>
        <v/>
      </c>
      <c r="D476" s="4" t="s">
        <v>10</v>
      </c>
      <c r="E476" s="4" t="s">
        <v>11</v>
      </c>
      <c r="F476" s="4" t="str">
        <f t="shared" si="609"/>
        <v>!!!</v>
      </c>
      <c r="G476" s="4" t="str">
        <f t="shared" si="587"/>
        <v>+</v>
      </c>
      <c r="H476" s="4"/>
      <c r="I476" s="4" t="str">
        <f t="shared" si="610"/>
        <v>!!!</v>
      </c>
      <c r="J476" s="4" t="e">
        <f t="shared" si="611"/>
        <v>#VALUE!</v>
      </c>
      <c r="K476" s="4" t="e">
        <f t="shared" si="612"/>
        <v>#VALUE!</v>
      </c>
      <c r="L476" s="4" t="e">
        <f t="shared" si="613"/>
        <v>#VALUE!</v>
      </c>
      <c r="M476" s="4">
        <f t="shared" si="588"/>
        <v>1000</v>
      </c>
      <c r="N476" s="4">
        <f t="shared" ref="N476:O476" si="624">MIN(IFERROR(FIND(" ",$C476,M476+1),1000))</f>
        <v>1000</v>
      </c>
      <c r="O476" s="4">
        <f t="shared" si="624"/>
        <v>1000</v>
      </c>
      <c r="P476" s="4">
        <f t="shared" si="590"/>
        <v>0</v>
      </c>
      <c r="Q476" s="4" t="str">
        <f t="shared" si="619"/>
        <v/>
      </c>
      <c r="R476" s="4" t="str">
        <f t="shared" si="553"/>
        <v/>
      </c>
      <c r="S476" s="4" t="str">
        <f t="shared" ref="S476:S539" si="625">IFERROR(IF(LEFT(A475,1)="'",SUBSTITUTE(A475,"'",""),""),"")</f>
        <v/>
      </c>
      <c r="T476" s="4" t="e">
        <f t="shared" si="591"/>
        <v>#VALUE!</v>
      </c>
      <c r="U476" s="4" t="e">
        <f t="shared" si="592"/>
        <v>#VALUE!</v>
      </c>
      <c r="V476" s="4" t="b">
        <f t="shared" si="583"/>
        <v>0</v>
      </c>
      <c r="W476" s="13" t="str">
        <f t="shared" si="584"/>
        <v>Да</v>
      </c>
      <c r="X476" s="4" t="e">
        <f>(IF(COUNTIFS($G$2:G476,"+",$W$2:W476,"Да")&gt;1,"&amp; ","")&amp;D476&amp;J476&amp;E476&amp;SUBSTITUTE(L476,"""",""))</f>
        <v>#VALUE!</v>
      </c>
      <c r="Y476" s="4" t="e">
        <f t="shared" si="622"/>
        <v>#VALUE!</v>
      </c>
    </row>
    <row r="477" spans="1:25" x14ac:dyDescent="0.3">
      <c r="A477" s="11"/>
      <c r="B477" s="5" t="str">
        <f t="shared" si="585"/>
        <v/>
      </c>
      <c r="C477" s="5" t="str">
        <f t="shared" si="586"/>
        <v/>
      </c>
      <c r="D477" s="4" t="s">
        <v>10</v>
      </c>
      <c r="E477" s="4" t="s">
        <v>11</v>
      </c>
      <c r="F477" s="4" t="str">
        <f t="shared" si="609"/>
        <v>!!!</v>
      </c>
      <c r="G477" s="4" t="str">
        <f t="shared" si="587"/>
        <v>+</v>
      </c>
      <c r="H477" s="4"/>
      <c r="I477" s="4" t="str">
        <f t="shared" si="610"/>
        <v>!!!</v>
      </c>
      <c r="J477" s="4" t="e">
        <f t="shared" si="611"/>
        <v>#VALUE!</v>
      </c>
      <c r="K477" s="4" t="e">
        <f t="shared" si="612"/>
        <v>#VALUE!</v>
      </c>
      <c r="L477" s="4" t="e">
        <f t="shared" si="613"/>
        <v>#VALUE!</v>
      </c>
      <c r="M477" s="4">
        <f t="shared" si="588"/>
        <v>1000</v>
      </c>
      <c r="N477" s="4">
        <f t="shared" ref="N477:O477" si="626">MIN(IFERROR(FIND(" ",$C477,M477+1),1000))</f>
        <v>1000</v>
      </c>
      <c r="O477" s="4">
        <f t="shared" si="626"/>
        <v>1000</v>
      </c>
      <c r="P477" s="4">
        <f t="shared" si="590"/>
        <v>0</v>
      </c>
      <c r="Q477" s="4" t="str">
        <f t="shared" si="619"/>
        <v/>
      </c>
      <c r="R477" s="4" t="str">
        <f t="shared" si="553"/>
        <v/>
      </c>
      <c r="S477" s="4" t="str">
        <f t="shared" si="625"/>
        <v/>
      </c>
      <c r="T477" s="4" t="e">
        <f t="shared" si="591"/>
        <v>#VALUE!</v>
      </c>
      <c r="U477" s="4" t="e">
        <f t="shared" si="592"/>
        <v>#VALUE!</v>
      </c>
      <c r="V477" s="4" t="b">
        <f t="shared" si="583"/>
        <v>0</v>
      </c>
      <c r="W477" s="13" t="str">
        <f t="shared" si="584"/>
        <v>Да</v>
      </c>
      <c r="X477" s="4" t="e">
        <f>(IF(COUNTIFS($G$2:G477,"+",$W$2:W477,"Да")&gt;1,"&amp; ","")&amp;D477&amp;J477&amp;E477&amp;SUBSTITUTE(L477,"""",""))</f>
        <v>#VALUE!</v>
      </c>
      <c r="Y477" s="4" t="e">
        <f t="shared" si="622"/>
        <v>#VALUE!</v>
      </c>
    </row>
    <row r="478" spans="1:25" x14ac:dyDescent="0.3">
      <c r="A478" s="11"/>
      <c r="B478" s="5" t="str">
        <f t="shared" si="585"/>
        <v/>
      </c>
      <c r="C478" s="5" t="str">
        <f t="shared" si="586"/>
        <v/>
      </c>
      <c r="D478" s="4" t="s">
        <v>10</v>
      </c>
      <c r="E478" s="4" t="s">
        <v>11</v>
      </c>
      <c r="F478" s="4" t="str">
        <f t="shared" si="609"/>
        <v>!!!</v>
      </c>
      <c r="G478" s="4" t="str">
        <f t="shared" si="587"/>
        <v>+</v>
      </c>
      <c r="H478" s="4"/>
      <c r="I478" s="4" t="str">
        <f t="shared" si="610"/>
        <v>!!!</v>
      </c>
      <c r="J478" s="4" t="e">
        <f t="shared" si="611"/>
        <v>#VALUE!</v>
      </c>
      <c r="K478" s="4" t="e">
        <f t="shared" si="612"/>
        <v>#VALUE!</v>
      </c>
      <c r="L478" s="4" t="e">
        <f t="shared" si="613"/>
        <v>#VALUE!</v>
      </c>
      <c r="M478" s="4">
        <f t="shared" si="588"/>
        <v>1000</v>
      </c>
      <c r="N478" s="4">
        <f t="shared" ref="N478:O478" si="627">MIN(IFERROR(FIND(" ",$C478,M478+1),1000))</f>
        <v>1000</v>
      </c>
      <c r="O478" s="4">
        <f t="shared" si="627"/>
        <v>1000</v>
      </c>
      <c r="P478" s="4">
        <f t="shared" si="590"/>
        <v>0</v>
      </c>
      <c r="Q478" s="4" t="str">
        <f t="shared" si="619"/>
        <v/>
      </c>
      <c r="R478" s="4" t="str">
        <f t="shared" si="553"/>
        <v/>
      </c>
      <c r="S478" s="4" t="str">
        <f t="shared" si="625"/>
        <v/>
      </c>
      <c r="T478" s="4" t="e">
        <f t="shared" si="591"/>
        <v>#VALUE!</v>
      </c>
      <c r="U478" s="4" t="e">
        <f t="shared" si="592"/>
        <v>#VALUE!</v>
      </c>
      <c r="V478" s="4" t="b">
        <f t="shared" si="583"/>
        <v>0</v>
      </c>
      <c r="W478" s="13" t="str">
        <f t="shared" si="584"/>
        <v>Да</v>
      </c>
      <c r="X478" s="4" t="e">
        <f>(IF(COUNTIFS($G$2:G478,"+",$W$2:W478,"Да")&gt;1,"&amp; ","")&amp;D478&amp;J478&amp;E478&amp;SUBSTITUTE(L478,"""",""))</f>
        <v>#VALUE!</v>
      </c>
      <c r="Y478" s="4" t="e">
        <f t="shared" si="622"/>
        <v>#VALUE!</v>
      </c>
    </row>
    <row r="479" spans="1:25" x14ac:dyDescent="0.3">
      <c r="A479" s="11"/>
      <c r="B479" s="5" t="str">
        <f t="shared" si="585"/>
        <v/>
      </c>
      <c r="C479" s="5" t="str">
        <f t="shared" si="586"/>
        <v/>
      </c>
      <c r="D479" s="4" t="s">
        <v>10</v>
      </c>
      <c r="E479" s="4" t="s">
        <v>11</v>
      </c>
      <c r="F479" s="4" t="str">
        <f t="shared" si="609"/>
        <v>!!!</v>
      </c>
      <c r="G479" s="4" t="str">
        <f t="shared" si="587"/>
        <v>+</v>
      </c>
      <c r="H479" s="4"/>
      <c r="I479" s="4" t="str">
        <f t="shared" si="610"/>
        <v>!!!</v>
      </c>
      <c r="J479" s="4" t="e">
        <f t="shared" si="611"/>
        <v>#VALUE!</v>
      </c>
      <c r="K479" s="4" t="e">
        <f t="shared" si="612"/>
        <v>#VALUE!</v>
      </c>
      <c r="L479" s="4" t="e">
        <f t="shared" si="613"/>
        <v>#VALUE!</v>
      </c>
      <c r="M479" s="4">
        <f t="shared" si="588"/>
        <v>1000</v>
      </c>
      <c r="N479" s="4">
        <f t="shared" ref="N479:O479" si="628">MIN(IFERROR(FIND(" ",$C479,M479+1),1000))</f>
        <v>1000</v>
      </c>
      <c r="O479" s="4">
        <f t="shared" si="628"/>
        <v>1000</v>
      </c>
      <c r="P479" s="4">
        <f t="shared" si="590"/>
        <v>0</v>
      </c>
      <c r="Q479" s="4" t="str">
        <f t="shared" si="619"/>
        <v/>
      </c>
      <c r="R479" s="4" t="str">
        <f t="shared" si="553"/>
        <v/>
      </c>
      <c r="S479" s="4" t="str">
        <f t="shared" si="625"/>
        <v/>
      </c>
      <c r="T479" s="4" t="e">
        <f t="shared" si="591"/>
        <v>#VALUE!</v>
      </c>
      <c r="U479" s="4" t="e">
        <f t="shared" si="592"/>
        <v>#VALUE!</v>
      </c>
      <c r="V479" s="4" t="b">
        <f t="shared" si="583"/>
        <v>0</v>
      </c>
      <c r="W479" s="13" t="str">
        <f t="shared" si="584"/>
        <v>Да</v>
      </c>
      <c r="X479" s="4" t="e">
        <f>(IF(COUNTIFS($G$2:G479,"+",$W$2:W479,"Да")&gt;1,"&amp; ","")&amp;D479&amp;J479&amp;E479&amp;SUBSTITUTE(L479,"""",""))</f>
        <v>#VALUE!</v>
      </c>
      <c r="Y479" s="4" t="e">
        <f t="shared" si="622"/>
        <v>#VALUE!</v>
      </c>
    </row>
    <row r="480" spans="1:25" x14ac:dyDescent="0.3">
      <c r="A480" s="11"/>
      <c r="B480" s="5" t="str">
        <f t="shared" si="585"/>
        <v/>
      </c>
      <c r="C480" s="5" t="str">
        <f t="shared" si="586"/>
        <v/>
      </c>
      <c r="D480" s="4" t="s">
        <v>10</v>
      </c>
      <c r="E480" s="4" t="s">
        <v>11</v>
      </c>
      <c r="F480" s="4" t="str">
        <f t="shared" si="609"/>
        <v>!!!</v>
      </c>
      <c r="G480" s="4" t="str">
        <f t="shared" si="587"/>
        <v>+</v>
      </c>
      <c r="H480" s="4"/>
      <c r="I480" s="4" t="str">
        <f t="shared" si="610"/>
        <v>!!!</v>
      </c>
      <c r="J480" s="4" t="e">
        <f t="shared" si="611"/>
        <v>#VALUE!</v>
      </c>
      <c r="K480" s="4" t="e">
        <f t="shared" si="612"/>
        <v>#VALUE!</v>
      </c>
      <c r="L480" s="4" t="e">
        <f t="shared" si="613"/>
        <v>#VALUE!</v>
      </c>
      <c r="M480" s="4">
        <f t="shared" si="588"/>
        <v>1000</v>
      </c>
      <c r="N480" s="4">
        <f t="shared" ref="N480:O480" si="629">MIN(IFERROR(FIND(" ",$C480,M480+1),1000))</f>
        <v>1000</v>
      </c>
      <c r="O480" s="4">
        <f t="shared" si="629"/>
        <v>1000</v>
      </c>
      <c r="P480" s="4">
        <f t="shared" si="590"/>
        <v>0</v>
      </c>
      <c r="Q480" s="4" t="str">
        <f t="shared" si="619"/>
        <v/>
      </c>
      <c r="R480" s="4" t="str">
        <f t="shared" si="553"/>
        <v/>
      </c>
      <c r="S480" s="4" t="str">
        <f t="shared" si="625"/>
        <v/>
      </c>
      <c r="T480" s="4" t="e">
        <f t="shared" si="591"/>
        <v>#VALUE!</v>
      </c>
      <c r="U480" s="4" t="e">
        <f t="shared" si="592"/>
        <v>#VALUE!</v>
      </c>
      <c r="V480" s="4" t="b">
        <f t="shared" si="583"/>
        <v>0</v>
      </c>
      <c r="W480" s="13" t="str">
        <f t="shared" si="584"/>
        <v>Да</v>
      </c>
      <c r="X480" s="4" t="e">
        <f>(IF(COUNTIFS($G$2:G480,"+",$W$2:W480,"Да")&gt;1,"&amp; ","")&amp;D480&amp;J480&amp;E480&amp;SUBSTITUTE(L480,"""",""))</f>
        <v>#VALUE!</v>
      </c>
      <c r="Y480" s="4" t="e">
        <f t="shared" si="622"/>
        <v>#VALUE!</v>
      </c>
    </row>
    <row r="481" spans="1:25" x14ac:dyDescent="0.3">
      <c r="A481" s="11"/>
      <c r="B481" s="5" t="str">
        <f t="shared" si="585"/>
        <v/>
      </c>
      <c r="C481" s="5" t="str">
        <f t="shared" si="586"/>
        <v/>
      </c>
      <c r="D481" s="4" t="s">
        <v>10</v>
      </c>
      <c r="E481" s="4" t="s">
        <v>11</v>
      </c>
      <c r="F481" s="4" t="str">
        <f t="shared" si="609"/>
        <v>!!!</v>
      </c>
      <c r="G481" s="4" t="str">
        <f t="shared" si="587"/>
        <v>+</v>
      </c>
      <c r="H481" s="4"/>
      <c r="I481" s="4" t="str">
        <f t="shared" si="610"/>
        <v>!!!</v>
      </c>
      <c r="J481" s="4" t="e">
        <f t="shared" si="611"/>
        <v>#VALUE!</v>
      </c>
      <c r="K481" s="4" t="e">
        <f t="shared" si="612"/>
        <v>#VALUE!</v>
      </c>
      <c r="L481" s="4" t="e">
        <f t="shared" si="613"/>
        <v>#VALUE!</v>
      </c>
      <c r="M481" s="4">
        <f t="shared" si="588"/>
        <v>1000</v>
      </c>
      <c r="N481" s="4">
        <f t="shared" ref="N481:O481" si="630">MIN(IFERROR(FIND(" ",$C481,M481+1),1000))</f>
        <v>1000</v>
      </c>
      <c r="O481" s="4">
        <f t="shared" si="630"/>
        <v>1000</v>
      </c>
      <c r="P481" s="4">
        <f t="shared" si="590"/>
        <v>0</v>
      </c>
      <c r="Q481" s="4" t="str">
        <f t="shared" si="619"/>
        <v/>
      </c>
      <c r="R481" s="4" t="str">
        <f t="shared" si="553"/>
        <v/>
      </c>
      <c r="S481" s="4" t="str">
        <f t="shared" si="625"/>
        <v/>
      </c>
      <c r="T481" s="4" t="e">
        <f t="shared" si="591"/>
        <v>#VALUE!</v>
      </c>
      <c r="U481" s="4" t="e">
        <f t="shared" si="592"/>
        <v>#VALUE!</v>
      </c>
      <c r="V481" s="4" t="b">
        <f t="shared" si="583"/>
        <v>0</v>
      </c>
      <c r="W481" s="13" t="str">
        <f t="shared" si="584"/>
        <v>Да</v>
      </c>
      <c r="X481" s="4" t="e">
        <f>(IF(COUNTIFS($G$2:G481,"+",$W$2:W481,"Да")&gt;1,"&amp; ","")&amp;D481&amp;J481&amp;E481&amp;SUBSTITUTE(L481,"""",""))</f>
        <v>#VALUE!</v>
      </c>
      <c r="Y481" s="4" t="e">
        <f t="shared" si="622"/>
        <v>#VALUE!</v>
      </c>
    </row>
    <row r="482" spans="1:25" x14ac:dyDescent="0.3">
      <c r="A482" s="11"/>
      <c r="B482" s="5" t="str">
        <f t="shared" si="585"/>
        <v/>
      </c>
      <c r="C482" s="5" t="str">
        <f t="shared" si="586"/>
        <v/>
      </c>
      <c r="D482" s="4" t="s">
        <v>10</v>
      </c>
      <c r="E482" s="4" t="s">
        <v>11</v>
      </c>
      <c r="F482" s="4" t="str">
        <f t="shared" si="609"/>
        <v>!!!</v>
      </c>
      <c r="G482" s="4" t="str">
        <f t="shared" si="587"/>
        <v>+</v>
      </c>
      <c r="H482" s="4"/>
      <c r="I482" s="4" t="str">
        <f t="shared" si="610"/>
        <v>!!!</v>
      </c>
      <c r="J482" s="4" t="e">
        <f t="shared" si="611"/>
        <v>#VALUE!</v>
      </c>
      <c r="K482" s="4" t="e">
        <f t="shared" si="612"/>
        <v>#VALUE!</v>
      </c>
      <c r="L482" s="4" t="e">
        <f t="shared" si="613"/>
        <v>#VALUE!</v>
      </c>
      <c r="M482" s="4">
        <f t="shared" si="588"/>
        <v>1000</v>
      </c>
      <c r="N482" s="4">
        <f t="shared" ref="N482:O482" si="631">MIN(IFERROR(FIND(" ",$C482,M482+1),1000))</f>
        <v>1000</v>
      </c>
      <c r="O482" s="4">
        <f t="shared" si="631"/>
        <v>1000</v>
      </c>
      <c r="P482" s="4">
        <f t="shared" si="590"/>
        <v>0</v>
      </c>
      <c r="Q482" s="4" t="str">
        <f t="shared" si="619"/>
        <v/>
      </c>
      <c r="R482" s="4" t="str">
        <f t="shared" si="553"/>
        <v/>
      </c>
      <c r="S482" s="4" t="str">
        <f t="shared" si="625"/>
        <v/>
      </c>
      <c r="T482" s="4" t="e">
        <f t="shared" si="591"/>
        <v>#VALUE!</v>
      </c>
      <c r="U482" s="4" t="e">
        <f t="shared" si="592"/>
        <v>#VALUE!</v>
      </c>
      <c r="V482" s="4" t="b">
        <f t="shared" si="583"/>
        <v>0</v>
      </c>
      <c r="W482" s="13" t="str">
        <f t="shared" si="584"/>
        <v>Да</v>
      </c>
      <c r="X482" s="4" t="e">
        <f>(IF(COUNTIFS($G$2:G482,"+",$W$2:W482,"Да")&gt;1,"&amp; ","")&amp;D482&amp;J482&amp;E482&amp;SUBSTITUTE(L482,"""",""))</f>
        <v>#VALUE!</v>
      </c>
      <c r="Y482" s="4" t="e">
        <f t="shared" si="622"/>
        <v>#VALUE!</v>
      </c>
    </row>
    <row r="483" spans="1:25" x14ac:dyDescent="0.3">
      <c r="A483" s="11"/>
      <c r="B483" s="5" t="str">
        <f t="shared" si="585"/>
        <v/>
      </c>
      <c r="C483" s="5" t="str">
        <f t="shared" si="586"/>
        <v/>
      </c>
      <c r="D483" s="4" t="s">
        <v>10</v>
      </c>
      <c r="E483" s="4" t="s">
        <v>11</v>
      </c>
      <c r="F483" s="4" t="str">
        <f t="shared" si="609"/>
        <v>!!!</v>
      </c>
      <c r="G483" s="4" t="str">
        <f t="shared" si="587"/>
        <v>+</v>
      </c>
      <c r="H483" s="4"/>
      <c r="I483" s="4" t="str">
        <f t="shared" si="610"/>
        <v>!!!</v>
      </c>
      <c r="J483" s="4" t="e">
        <f t="shared" si="611"/>
        <v>#VALUE!</v>
      </c>
      <c r="K483" s="4" t="e">
        <f t="shared" si="612"/>
        <v>#VALUE!</v>
      </c>
      <c r="L483" s="4" t="e">
        <f t="shared" si="613"/>
        <v>#VALUE!</v>
      </c>
      <c r="M483" s="4">
        <f t="shared" si="588"/>
        <v>1000</v>
      </c>
      <c r="N483" s="4">
        <f t="shared" ref="N483:O483" si="632">MIN(IFERROR(FIND(" ",$C483,M483+1),1000))</f>
        <v>1000</v>
      </c>
      <c r="O483" s="4">
        <f t="shared" si="632"/>
        <v>1000</v>
      </c>
      <c r="P483" s="4">
        <f t="shared" si="590"/>
        <v>0</v>
      </c>
      <c r="Q483" s="4" t="str">
        <f t="shared" si="619"/>
        <v/>
      </c>
      <c r="R483" s="4" t="str">
        <f t="shared" si="553"/>
        <v/>
      </c>
      <c r="S483" s="4" t="str">
        <f t="shared" si="625"/>
        <v/>
      </c>
      <c r="T483" s="4" t="e">
        <f t="shared" si="591"/>
        <v>#VALUE!</v>
      </c>
      <c r="U483" s="4" t="e">
        <f t="shared" si="592"/>
        <v>#VALUE!</v>
      </c>
      <c r="V483" s="4" t="b">
        <f t="shared" si="583"/>
        <v>0</v>
      </c>
      <c r="W483" s="13" t="str">
        <f t="shared" si="584"/>
        <v>Да</v>
      </c>
      <c r="X483" s="4" t="e">
        <f>(IF(COUNTIFS($G$2:G483,"+",$W$2:W483,"Да")&gt;1,"&amp; ","")&amp;D483&amp;J483&amp;E483&amp;SUBSTITUTE(L483,"""",""))</f>
        <v>#VALUE!</v>
      </c>
      <c r="Y483" s="4" t="e">
        <f t="shared" si="622"/>
        <v>#VALUE!</v>
      </c>
    </row>
    <row r="484" spans="1:25" x14ac:dyDescent="0.3">
      <c r="A484" s="11"/>
      <c r="B484" s="5" t="str">
        <f t="shared" si="585"/>
        <v/>
      </c>
      <c r="C484" s="5" t="str">
        <f t="shared" si="586"/>
        <v/>
      </c>
      <c r="D484" s="4" t="s">
        <v>10</v>
      </c>
      <c r="E484" s="4" t="s">
        <v>11</v>
      </c>
      <c r="F484" s="4" t="str">
        <f t="shared" si="609"/>
        <v>!!!</v>
      </c>
      <c r="G484" s="4" t="str">
        <f t="shared" si="587"/>
        <v>+</v>
      </c>
      <c r="H484" s="4"/>
      <c r="I484" s="4" t="str">
        <f t="shared" si="610"/>
        <v>!!!</v>
      </c>
      <c r="J484" s="4" t="e">
        <f t="shared" si="611"/>
        <v>#VALUE!</v>
      </c>
      <c r="K484" s="4" t="e">
        <f t="shared" si="612"/>
        <v>#VALUE!</v>
      </c>
      <c r="L484" s="4" t="e">
        <f t="shared" si="613"/>
        <v>#VALUE!</v>
      </c>
      <c r="M484" s="4">
        <f t="shared" si="588"/>
        <v>1000</v>
      </c>
      <c r="N484" s="4">
        <f t="shared" ref="N484:O484" si="633">MIN(IFERROR(FIND(" ",$C484,M484+1),1000))</f>
        <v>1000</v>
      </c>
      <c r="O484" s="4">
        <f t="shared" si="633"/>
        <v>1000</v>
      </c>
      <c r="P484" s="4">
        <f t="shared" si="590"/>
        <v>0</v>
      </c>
      <c r="Q484" s="4" t="str">
        <f t="shared" si="619"/>
        <v/>
      </c>
      <c r="R484" s="4" t="str">
        <f t="shared" si="553"/>
        <v/>
      </c>
      <c r="S484" s="4" t="str">
        <f t="shared" si="625"/>
        <v/>
      </c>
      <c r="T484" s="4" t="e">
        <f t="shared" si="591"/>
        <v>#VALUE!</v>
      </c>
      <c r="U484" s="4" t="e">
        <f t="shared" si="592"/>
        <v>#VALUE!</v>
      </c>
      <c r="V484" s="4" t="b">
        <f t="shared" si="583"/>
        <v>0</v>
      </c>
      <c r="W484" s="13" t="str">
        <f t="shared" si="584"/>
        <v>Да</v>
      </c>
      <c r="X484" s="4" t="e">
        <f>(IF(COUNTIFS($G$2:G484,"+",$W$2:W484,"Да")&gt;1,"&amp; ","")&amp;D484&amp;J484&amp;E484&amp;SUBSTITUTE(L484,"""",""))</f>
        <v>#VALUE!</v>
      </c>
      <c r="Y484" s="4" t="e">
        <f t="shared" si="622"/>
        <v>#VALUE!</v>
      </c>
    </row>
    <row r="485" spans="1:25" x14ac:dyDescent="0.3">
      <c r="A485" s="11"/>
      <c r="B485" s="5" t="str">
        <f t="shared" si="585"/>
        <v/>
      </c>
      <c r="C485" s="5" t="str">
        <f t="shared" si="586"/>
        <v/>
      </c>
      <c r="D485" s="4" t="s">
        <v>10</v>
      </c>
      <c r="E485" s="4" t="s">
        <v>11</v>
      </c>
      <c r="F485" s="4" t="str">
        <f t="shared" si="609"/>
        <v>!!!</v>
      </c>
      <c r="G485" s="4" t="str">
        <f t="shared" si="587"/>
        <v>+</v>
      </c>
      <c r="H485" s="4"/>
      <c r="I485" s="4" t="str">
        <f t="shared" si="610"/>
        <v>!!!</v>
      </c>
      <c r="J485" s="4" t="e">
        <f t="shared" si="611"/>
        <v>#VALUE!</v>
      </c>
      <c r="K485" s="4" t="e">
        <f t="shared" si="612"/>
        <v>#VALUE!</v>
      </c>
      <c r="L485" s="4" t="e">
        <f t="shared" si="613"/>
        <v>#VALUE!</v>
      </c>
      <c r="M485" s="4">
        <f t="shared" si="588"/>
        <v>1000</v>
      </c>
      <c r="N485" s="4">
        <f t="shared" ref="N485:O485" si="634">MIN(IFERROR(FIND(" ",$C485,M485+1),1000))</f>
        <v>1000</v>
      </c>
      <c r="O485" s="4">
        <f t="shared" si="634"/>
        <v>1000</v>
      </c>
      <c r="P485" s="4">
        <f t="shared" si="590"/>
        <v>0</v>
      </c>
      <c r="Q485" s="4" t="str">
        <f t="shared" si="619"/>
        <v/>
      </c>
      <c r="R485" s="4" t="str">
        <f t="shared" ref="R485:R548" si="635">IFERROR(MID(C485,N485+1,O485-N485-1),"")</f>
        <v/>
      </c>
      <c r="S485" s="4" t="str">
        <f t="shared" si="625"/>
        <v/>
      </c>
      <c r="T485" s="4" t="e">
        <f t="shared" si="591"/>
        <v>#VALUE!</v>
      </c>
      <c r="U485" s="4" t="e">
        <f t="shared" si="592"/>
        <v>#VALUE!</v>
      </c>
      <c r="V485" s="4" t="b">
        <f t="shared" si="583"/>
        <v>0</v>
      </c>
      <c r="W485" s="13" t="str">
        <f t="shared" si="584"/>
        <v>Да</v>
      </c>
      <c r="X485" s="4" t="e">
        <f>(IF(COUNTIFS($G$2:G485,"+",$W$2:W485,"Да")&gt;1,"&amp; ","")&amp;D485&amp;J485&amp;E485&amp;SUBSTITUTE(L485,"""",""))</f>
        <v>#VALUE!</v>
      </c>
      <c r="Y485" s="4" t="e">
        <f t="shared" si="622"/>
        <v>#VALUE!</v>
      </c>
    </row>
    <row r="486" spans="1:25" x14ac:dyDescent="0.3">
      <c r="A486" s="11"/>
      <c r="B486" s="5" t="str">
        <f t="shared" si="585"/>
        <v/>
      </c>
      <c r="C486" s="5" t="str">
        <f t="shared" si="586"/>
        <v/>
      </c>
      <c r="D486" s="4" t="s">
        <v>10</v>
      </c>
      <c r="E486" s="4" t="s">
        <v>11</v>
      </c>
      <c r="F486" s="4" t="str">
        <f t="shared" si="609"/>
        <v>!!!</v>
      </c>
      <c r="G486" s="4" t="str">
        <f t="shared" si="587"/>
        <v>+</v>
      </c>
      <c r="H486" s="4"/>
      <c r="I486" s="4" t="str">
        <f t="shared" si="610"/>
        <v>!!!</v>
      </c>
      <c r="J486" s="4" t="e">
        <f t="shared" si="611"/>
        <v>#VALUE!</v>
      </c>
      <c r="K486" s="4" t="e">
        <f t="shared" si="612"/>
        <v>#VALUE!</v>
      </c>
      <c r="L486" s="4" t="e">
        <f t="shared" si="613"/>
        <v>#VALUE!</v>
      </c>
      <c r="M486" s="4">
        <f t="shared" si="588"/>
        <v>1000</v>
      </c>
      <c r="N486" s="4">
        <f t="shared" ref="N486:O486" si="636">MIN(IFERROR(FIND(" ",$C486,M486+1),1000))</f>
        <v>1000</v>
      </c>
      <c r="O486" s="4">
        <f t="shared" si="636"/>
        <v>1000</v>
      </c>
      <c r="P486" s="4">
        <f t="shared" si="590"/>
        <v>0</v>
      </c>
      <c r="Q486" s="4" t="str">
        <f t="shared" si="619"/>
        <v/>
      </c>
      <c r="R486" s="4" t="str">
        <f t="shared" si="635"/>
        <v/>
      </c>
      <c r="S486" s="4" t="str">
        <f t="shared" si="625"/>
        <v/>
      </c>
      <c r="T486" s="4" t="e">
        <f t="shared" si="591"/>
        <v>#VALUE!</v>
      </c>
      <c r="U486" s="4" t="e">
        <f t="shared" si="592"/>
        <v>#VALUE!</v>
      </c>
      <c r="V486" s="4" t="b">
        <f t="shared" si="583"/>
        <v>0</v>
      </c>
      <c r="W486" s="13" t="str">
        <f t="shared" si="584"/>
        <v>Да</v>
      </c>
      <c r="X486" s="4" t="e">
        <f>(IF(COUNTIFS($G$2:G486,"+",$W$2:W486,"Да")&gt;1,"&amp; ","")&amp;D486&amp;J486&amp;E486&amp;SUBSTITUTE(L486,"""",""))</f>
        <v>#VALUE!</v>
      </c>
      <c r="Y486" s="4" t="e">
        <f t="shared" si="622"/>
        <v>#VALUE!</v>
      </c>
    </row>
    <row r="487" spans="1:25" x14ac:dyDescent="0.3">
      <c r="A487" s="11"/>
      <c r="B487" s="5" t="str">
        <f t="shared" si="585"/>
        <v/>
      </c>
      <c r="C487" s="5" t="str">
        <f t="shared" si="586"/>
        <v/>
      </c>
      <c r="D487" s="4" t="s">
        <v>10</v>
      </c>
      <c r="E487" s="4" t="s">
        <v>11</v>
      </c>
      <c r="F487" s="4" t="str">
        <f t="shared" si="609"/>
        <v>!!!</v>
      </c>
      <c r="G487" s="4" t="str">
        <f t="shared" si="587"/>
        <v>+</v>
      </c>
      <c r="H487" s="4"/>
      <c r="I487" s="4" t="str">
        <f t="shared" si="610"/>
        <v>!!!</v>
      </c>
      <c r="J487" s="4" t="e">
        <f t="shared" si="611"/>
        <v>#VALUE!</v>
      </c>
      <c r="K487" s="4" t="e">
        <f t="shared" si="612"/>
        <v>#VALUE!</v>
      </c>
      <c r="L487" s="4" t="e">
        <f t="shared" si="613"/>
        <v>#VALUE!</v>
      </c>
      <c r="M487" s="4">
        <f t="shared" si="588"/>
        <v>1000</v>
      </c>
      <c r="N487" s="4">
        <f t="shared" ref="N487:O487" si="637">MIN(IFERROR(FIND(" ",$C487,M487+1),1000))</f>
        <v>1000</v>
      </c>
      <c r="O487" s="4">
        <f t="shared" si="637"/>
        <v>1000</v>
      </c>
      <c r="P487" s="4">
        <f t="shared" si="590"/>
        <v>0</v>
      </c>
      <c r="Q487" s="4" t="str">
        <f t="shared" si="619"/>
        <v/>
      </c>
      <c r="R487" s="4" t="str">
        <f t="shared" si="635"/>
        <v/>
      </c>
      <c r="S487" s="4" t="str">
        <f t="shared" si="625"/>
        <v/>
      </c>
      <c r="T487" s="4" t="e">
        <f t="shared" si="591"/>
        <v>#VALUE!</v>
      </c>
      <c r="U487" s="4" t="e">
        <f t="shared" si="592"/>
        <v>#VALUE!</v>
      </c>
      <c r="V487" s="4" t="b">
        <f t="shared" si="583"/>
        <v>0</v>
      </c>
      <c r="W487" s="13" t="str">
        <f t="shared" si="584"/>
        <v>Да</v>
      </c>
      <c r="X487" s="4" t="e">
        <f>(IF(COUNTIFS($G$2:G487,"+",$W$2:W487,"Да")&gt;1,"&amp; ","")&amp;D487&amp;J487&amp;E487&amp;SUBSTITUTE(L487,"""",""))</f>
        <v>#VALUE!</v>
      </c>
      <c r="Y487" s="4" t="e">
        <f t="shared" si="622"/>
        <v>#VALUE!</v>
      </c>
    </row>
    <row r="488" spans="1:25" x14ac:dyDescent="0.3">
      <c r="A488" s="11"/>
      <c r="B488" s="5" t="str">
        <f t="shared" si="585"/>
        <v/>
      </c>
      <c r="C488" s="5" t="str">
        <f t="shared" si="586"/>
        <v/>
      </c>
      <c r="D488" s="4" t="s">
        <v>10</v>
      </c>
      <c r="E488" s="4" t="s">
        <v>11</v>
      </c>
      <c r="F488" s="4" t="str">
        <f t="shared" si="609"/>
        <v>!!!</v>
      </c>
      <c r="G488" s="4" t="str">
        <f t="shared" si="587"/>
        <v>+</v>
      </c>
      <c r="H488" s="4"/>
      <c r="I488" s="4" t="str">
        <f t="shared" si="610"/>
        <v>!!!</v>
      </c>
      <c r="J488" s="4" t="e">
        <f t="shared" si="611"/>
        <v>#VALUE!</v>
      </c>
      <c r="K488" s="4" t="e">
        <f t="shared" si="612"/>
        <v>#VALUE!</v>
      </c>
      <c r="L488" s="4" t="e">
        <f t="shared" si="613"/>
        <v>#VALUE!</v>
      </c>
      <c r="M488" s="4">
        <f t="shared" si="588"/>
        <v>1000</v>
      </c>
      <c r="N488" s="4">
        <f t="shared" ref="N488:O488" si="638">MIN(IFERROR(FIND(" ",$C488,M488+1),1000))</f>
        <v>1000</v>
      </c>
      <c r="O488" s="4">
        <f t="shared" si="638"/>
        <v>1000</v>
      </c>
      <c r="P488" s="4">
        <f t="shared" si="590"/>
        <v>0</v>
      </c>
      <c r="Q488" s="4" t="str">
        <f t="shared" si="619"/>
        <v/>
      </c>
      <c r="R488" s="4" t="str">
        <f t="shared" si="635"/>
        <v/>
      </c>
      <c r="S488" s="4" t="str">
        <f t="shared" si="625"/>
        <v/>
      </c>
      <c r="T488" s="4" t="e">
        <f t="shared" si="591"/>
        <v>#VALUE!</v>
      </c>
      <c r="U488" s="4" t="e">
        <f t="shared" si="592"/>
        <v>#VALUE!</v>
      </c>
      <c r="V488" s="4" t="b">
        <f t="shared" si="583"/>
        <v>0</v>
      </c>
      <c r="W488" s="13" t="str">
        <f t="shared" si="584"/>
        <v>Да</v>
      </c>
      <c r="X488" s="4" t="e">
        <f>(IF(COUNTIFS($G$2:G488,"+",$W$2:W488,"Да")&gt;1,"&amp; ","")&amp;D488&amp;J488&amp;E488&amp;SUBSTITUTE(L488,"""",""))</f>
        <v>#VALUE!</v>
      </c>
      <c r="Y488" s="4" t="e">
        <f t="shared" si="622"/>
        <v>#VALUE!</v>
      </c>
    </row>
    <row r="489" spans="1:25" x14ac:dyDescent="0.3">
      <c r="A489" s="11"/>
      <c r="B489" s="5" t="str">
        <f t="shared" si="585"/>
        <v/>
      </c>
      <c r="C489" s="5" t="str">
        <f t="shared" si="586"/>
        <v/>
      </c>
      <c r="D489" s="4" t="s">
        <v>10</v>
      </c>
      <c r="E489" s="4" t="s">
        <v>11</v>
      </c>
      <c r="F489" s="4" t="str">
        <f t="shared" si="609"/>
        <v>!!!</v>
      </c>
      <c r="G489" s="4" t="str">
        <f t="shared" si="587"/>
        <v>+</v>
      </c>
      <c r="H489" s="4"/>
      <c r="I489" s="4" t="str">
        <f t="shared" si="610"/>
        <v>!!!</v>
      </c>
      <c r="J489" s="4" t="e">
        <f t="shared" si="611"/>
        <v>#VALUE!</v>
      </c>
      <c r="K489" s="4" t="e">
        <f t="shared" si="612"/>
        <v>#VALUE!</v>
      </c>
      <c r="L489" s="4" t="e">
        <f t="shared" si="613"/>
        <v>#VALUE!</v>
      </c>
      <c r="M489" s="4">
        <f t="shared" si="588"/>
        <v>1000</v>
      </c>
      <c r="N489" s="4">
        <f t="shared" ref="N489:O489" si="639">MIN(IFERROR(FIND(" ",$C489,M489+1),1000))</f>
        <v>1000</v>
      </c>
      <c r="O489" s="4">
        <f t="shared" si="639"/>
        <v>1000</v>
      </c>
      <c r="P489" s="4">
        <f t="shared" si="590"/>
        <v>0</v>
      </c>
      <c r="Q489" s="4" t="str">
        <f t="shared" si="619"/>
        <v/>
      </c>
      <c r="R489" s="4" t="str">
        <f t="shared" si="635"/>
        <v/>
      </c>
      <c r="S489" s="4" t="str">
        <f t="shared" si="625"/>
        <v/>
      </c>
      <c r="T489" s="4" t="e">
        <f t="shared" si="591"/>
        <v>#VALUE!</v>
      </c>
      <c r="U489" s="4" t="e">
        <f t="shared" si="592"/>
        <v>#VALUE!</v>
      </c>
      <c r="V489" s="4" t="b">
        <f t="shared" si="583"/>
        <v>0</v>
      </c>
      <c r="W489" s="13" t="str">
        <f t="shared" si="584"/>
        <v>Да</v>
      </c>
      <c r="X489" s="4" t="e">
        <f>(IF(COUNTIFS($G$2:G489,"+",$W$2:W489,"Да")&gt;1,"&amp; ","")&amp;D489&amp;J489&amp;E489&amp;SUBSTITUTE(L489,"""",""))</f>
        <v>#VALUE!</v>
      </c>
      <c r="Y489" s="4" t="e">
        <f t="shared" si="622"/>
        <v>#VALUE!</v>
      </c>
    </row>
    <row r="490" spans="1:25" x14ac:dyDescent="0.3">
      <c r="A490" s="11"/>
      <c r="B490" s="5" t="str">
        <f t="shared" si="585"/>
        <v/>
      </c>
      <c r="C490" s="5" t="str">
        <f t="shared" si="586"/>
        <v/>
      </c>
      <c r="D490" s="4" t="s">
        <v>10</v>
      </c>
      <c r="E490" s="4" t="s">
        <v>11</v>
      </c>
      <c r="F490" s="4" t="str">
        <f t="shared" si="609"/>
        <v>!!!</v>
      </c>
      <c r="G490" s="4" t="str">
        <f t="shared" si="587"/>
        <v>+</v>
      </c>
      <c r="H490" s="4"/>
      <c r="I490" s="4" t="str">
        <f t="shared" si="610"/>
        <v>!!!</v>
      </c>
      <c r="J490" s="4" t="e">
        <f t="shared" si="611"/>
        <v>#VALUE!</v>
      </c>
      <c r="K490" s="4" t="e">
        <f t="shared" si="612"/>
        <v>#VALUE!</v>
      </c>
      <c r="L490" s="4" t="e">
        <f t="shared" si="613"/>
        <v>#VALUE!</v>
      </c>
      <c r="M490" s="4">
        <f t="shared" si="588"/>
        <v>1000</v>
      </c>
      <c r="N490" s="4">
        <f t="shared" ref="N490:O490" si="640">MIN(IFERROR(FIND(" ",$C490,M490+1),1000))</f>
        <v>1000</v>
      </c>
      <c r="O490" s="4">
        <f t="shared" si="640"/>
        <v>1000</v>
      </c>
      <c r="P490" s="4">
        <f t="shared" si="590"/>
        <v>0</v>
      </c>
      <c r="Q490" s="4" t="str">
        <f t="shared" si="619"/>
        <v/>
      </c>
      <c r="R490" s="4" t="str">
        <f t="shared" si="635"/>
        <v/>
      </c>
      <c r="S490" s="4" t="str">
        <f t="shared" si="625"/>
        <v/>
      </c>
      <c r="T490" s="4" t="e">
        <f t="shared" si="591"/>
        <v>#VALUE!</v>
      </c>
      <c r="U490" s="4" t="e">
        <f t="shared" si="592"/>
        <v>#VALUE!</v>
      </c>
      <c r="V490" s="4" t="b">
        <f t="shared" si="583"/>
        <v>0</v>
      </c>
      <c r="W490" s="13" t="str">
        <f t="shared" si="584"/>
        <v>Да</v>
      </c>
      <c r="X490" s="4" t="e">
        <f>(IF(COUNTIFS($G$2:G490,"+",$W$2:W490,"Да")&gt;1,"&amp; ","")&amp;D490&amp;J490&amp;E490&amp;SUBSTITUTE(L490,"""",""))</f>
        <v>#VALUE!</v>
      </c>
      <c r="Y490" s="4" t="e">
        <f t="shared" si="622"/>
        <v>#VALUE!</v>
      </c>
    </row>
    <row r="491" spans="1:25" x14ac:dyDescent="0.3">
      <c r="A491" s="11"/>
      <c r="B491" s="5" t="str">
        <f t="shared" si="585"/>
        <v/>
      </c>
      <c r="C491" s="5" t="str">
        <f t="shared" si="586"/>
        <v/>
      </c>
      <c r="D491" s="4" t="s">
        <v>10</v>
      </c>
      <c r="E491" s="4" t="s">
        <v>11</v>
      </c>
      <c r="F491" s="4" t="str">
        <f t="shared" si="609"/>
        <v>!!!</v>
      </c>
      <c r="G491" s="4" t="str">
        <f t="shared" si="587"/>
        <v>+</v>
      </c>
      <c r="H491" s="4"/>
      <c r="I491" s="4" t="str">
        <f t="shared" si="610"/>
        <v>!!!</v>
      </c>
      <c r="J491" s="4" t="e">
        <f t="shared" si="611"/>
        <v>#VALUE!</v>
      </c>
      <c r="K491" s="4" t="e">
        <f t="shared" si="612"/>
        <v>#VALUE!</v>
      </c>
      <c r="L491" s="4" t="e">
        <f t="shared" si="613"/>
        <v>#VALUE!</v>
      </c>
      <c r="M491" s="4">
        <f t="shared" si="588"/>
        <v>1000</v>
      </c>
      <c r="N491" s="4">
        <f t="shared" ref="N491:O491" si="641">MIN(IFERROR(FIND(" ",$C491,M491+1),1000))</f>
        <v>1000</v>
      </c>
      <c r="O491" s="4">
        <f t="shared" si="641"/>
        <v>1000</v>
      </c>
      <c r="P491" s="4">
        <f t="shared" si="590"/>
        <v>0</v>
      </c>
      <c r="Q491" s="4" t="str">
        <f t="shared" si="619"/>
        <v/>
      </c>
      <c r="R491" s="4" t="str">
        <f t="shared" si="635"/>
        <v/>
      </c>
      <c r="S491" s="4" t="str">
        <f t="shared" si="625"/>
        <v/>
      </c>
      <c r="T491" s="4" t="e">
        <f t="shared" si="591"/>
        <v>#VALUE!</v>
      </c>
      <c r="U491" s="4" t="e">
        <f t="shared" si="592"/>
        <v>#VALUE!</v>
      </c>
      <c r="V491" s="4" t="b">
        <f t="shared" si="583"/>
        <v>0</v>
      </c>
      <c r="W491" s="13" t="str">
        <f t="shared" si="584"/>
        <v>Да</v>
      </c>
      <c r="X491" s="4" t="e">
        <f>(IF(COUNTIFS($G$2:G491,"+",$W$2:W491,"Да")&gt;1,"&amp; ","")&amp;D491&amp;J491&amp;E491&amp;SUBSTITUTE(L491,"""",""))</f>
        <v>#VALUE!</v>
      </c>
      <c r="Y491" s="4" t="e">
        <f t="shared" si="622"/>
        <v>#VALUE!</v>
      </c>
    </row>
    <row r="492" spans="1:25" x14ac:dyDescent="0.3">
      <c r="A492" s="11"/>
      <c r="B492" s="5" t="str">
        <f t="shared" si="585"/>
        <v/>
      </c>
      <c r="C492" s="5" t="str">
        <f t="shared" si="586"/>
        <v/>
      </c>
      <c r="D492" s="4" t="s">
        <v>10</v>
      </c>
      <c r="E492" s="4" t="s">
        <v>11</v>
      </c>
      <c r="F492" s="4" t="str">
        <f t="shared" si="609"/>
        <v>!!!</v>
      </c>
      <c r="G492" s="4" t="str">
        <f t="shared" si="587"/>
        <v>+</v>
      </c>
      <c r="H492" s="4"/>
      <c r="I492" s="4" t="str">
        <f t="shared" si="610"/>
        <v>!!!</v>
      </c>
      <c r="J492" s="4" t="e">
        <f t="shared" si="611"/>
        <v>#VALUE!</v>
      </c>
      <c r="K492" s="4" t="e">
        <f t="shared" si="612"/>
        <v>#VALUE!</v>
      </c>
      <c r="L492" s="4" t="e">
        <f t="shared" si="613"/>
        <v>#VALUE!</v>
      </c>
      <c r="M492" s="4">
        <f t="shared" si="588"/>
        <v>1000</v>
      </c>
      <c r="N492" s="4">
        <f t="shared" ref="N492:O492" si="642">MIN(IFERROR(FIND(" ",$C492,M492+1),1000))</f>
        <v>1000</v>
      </c>
      <c r="O492" s="4">
        <f t="shared" si="642"/>
        <v>1000</v>
      </c>
      <c r="P492" s="4">
        <f t="shared" si="590"/>
        <v>0</v>
      </c>
      <c r="Q492" s="4" t="str">
        <f t="shared" si="619"/>
        <v/>
      </c>
      <c r="R492" s="4" t="str">
        <f t="shared" si="635"/>
        <v/>
      </c>
      <c r="S492" s="4" t="str">
        <f t="shared" si="625"/>
        <v/>
      </c>
      <c r="T492" s="4" t="e">
        <f t="shared" si="591"/>
        <v>#VALUE!</v>
      </c>
      <c r="U492" s="4" t="e">
        <f t="shared" si="592"/>
        <v>#VALUE!</v>
      </c>
      <c r="V492" s="4" t="b">
        <f t="shared" si="583"/>
        <v>0</v>
      </c>
      <c r="W492" s="13" t="str">
        <f t="shared" si="584"/>
        <v>Да</v>
      </c>
      <c r="X492" s="4" t="e">
        <f>(IF(COUNTIFS($G$2:G492,"+",$W$2:W492,"Да")&gt;1,"&amp; ","")&amp;D492&amp;J492&amp;E492&amp;SUBSTITUTE(L492,"""",""))</f>
        <v>#VALUE!</v>
      </c>
      <c r="Y492" s="4" t="e">
        <f t="shared" si="622"/>
        <v>#VALUE!</v>
      </c>
    </row>
    <row r="493" spans="1:25" x14ac:dyDescent="0.3">
      <c r="A493" s="11"/>
      <c r="B493" s="5" t="str">
        <f t="shared" si="585"/>
        <v/>
      </c>
      <c r="C493" s="5" t="str">
        <f t="shared" si="586"/>
        <v/>
      </c>
      <c r="D493" s="4" t="s">
        <v>10</v>
      </c>
      <c r="E493" s="4" t="s">
        <v>11</v>
      </c>
      <c r="F493" s="4" t="str">
        <f t="shared" si="609"/>
        <v>!!!</v>
      </c>
      <c r="G493" s="4" t="str">
        <f t="shared" si="587"/>
        <v>+</v>
      </c>
      <c r="H493" s="4"/>
      <c r="I493" s="4" t="str">
        <f t="shared" si="610"/>
        <v>!!!</v>
      </c>
      <c r="J493" s="4" t="e">
        <f t="shared" si="611"/>
        <v>#VALUE!</v>
      </c>
      <c r="K493" s="4" t="e">
        <f t="shared" si="612"/>
        <v>#VALUE!</v>
      </c>
      <c r="L493" s="4" t="e">
        <f t="shared" si="613"/>
        <v>#VALUE!</v>
      </c>
      <c r="M493" s="4">
        <f t="shared" si="588"/>
        <v>1000</v>
      </c>
      <c r="N493" s="4">
        <f t="shared" ref="N493:O493" si="643">MIN(IFERROR(FIND(" ",$C493,M493+1),1000))</f>
        <v>1000</v>
      </c>
      <c r="O493" s="4">
        <f t="shared" si="643"/>
        <v>1000</v>
      </c>
      <c r="P493" s="4">
        <f t="shared" si="590"/>
        <v>0</v>
      </c>
      <c r="Q493" s="4" t="str">
        <f t="shared" si="619"/>
        <v/>
      </c>
      <c r="R493" s="4" t="str">
        <f t="shared" si="635"/>
        <v/>
      </c>
      <c r="S493" s="4" t="str">
        <f t="shared" si="625"/>
        <v/>
      </c>
      <c r="T493" s="4" t="e">
        <f t="shared" si="591"/>
        <v>#VALUE!</v>
      </c>
      <c r="U493" s="4" t="e">
        <f t="shared" si="592"/>
        <v>#VALUE!</v>
      </c>
      <c r="V493" s="4" t="b">
        <f t="shared" si="583"/>
        <v>0</v>
      </c>
      <c r="W493" s="13" t="str">
        <f t="shared" si="584"/>
        <v>Да</v>
      </c>
      <c r="X493" s="4" t="e">
        <f>(IF(COUNTIFS($G$2:G493,"+",$W$2:W493,"Да")&gt;1,"&amp; ","")&amp;D493&amp;J493&amp;E493&amp;SUBSTITUTE(L493,"""",""))</f>
        <v>#VALUE!</v>
      </c>
      <c r="Y493" s="4" t="e">
        <f t="shared" si="622"/>
        <v>#VALUE!</v>
      </c>
    </row>
    <row r="494" spans="1:25" x14ac:dyDescent="0.3">
      <c r="A494" s="11"/>
      <c r="B494" s="5" t="str">
        <f t="shared" si="585"/>
        <v/>
      </c>
      <c r="C494" s="5" t="str">
        <f t="shared" si="586"/>
        <v/>
      </c>
      <c r="D494" s="4" t="s">
        <v>10</v>
      </c>
      <c r="E494" s="4" t="s">
        <v>11</v>
      </c>
      <c r="F494" s="4" t="str">
        <f t="shared" si="609"/>
        <v>!!!</v>
      </c>
      <c r="G494" s="4" t="str">
        <f t="shared" si="587"/>
        <v>+</v>
      </c>
      <c r="H494" s="4"/>
      <c r="I494" s="4" t="str">
        <f t="shared" si="610"/>
        <v>!!!</v>
      </c>
      <c r="J494" s="4" t="e">
        <f t="shared" si="611"/>
        <v>#VALUE!</v>
      </c>
      <c r="K494" s="4" t="e">
        <f t="shared" si="612"/>
        <v>#VALUE!</v>
      </c>
      <c r="L494" s="4" t="e">
        <f t="shared" si="613"/>
        <v>#VALUE!</v>
      </c>
      <c r="M494" s="4">
        <f t="shared" si="588"/>
        <v>1000</v>
      </c>
      <c r="N494" s="4">
        <f t="shared" ref="N494:O494" si="644">MIN(IFERROR(FIND(" ",$C494,M494+1),1000))</f>
        <v>1000</v>
      </c>
      <c r="O494" s="4">
        <f t="shared" si="644"/>
        <v>1000</v>
      </c>
      <c r="P494" s="4">
        <f t="shared" si="590"/>
        <v>0</v>
      </c>
      <c r="Q494" s="4" t="str">
        <f t="shared" si="619"/>
        <v/>
      </c>
      <c r="R494" s="4" t="str">
        <f t="shared" si="635"/>
        <v/>
      </c>
      <c r="S494" s="4" t="str">
        <f t="shared" si="625"/>
        <v/>
      </c>
      <c r="T494" s="4" t="e">
        <f t="shared" si="591"/>
        <v>#VALUE!</v>
      </c>
      <c r="U494" s="4" t="e">
        <f t="shared" si="592"/>
        <v>#VALUE!</v>
      </c>
      <c r="V494" s="4" t="b">
        <f t="shared" si="583"/>
        <v>0</v>
      </c>
      <c r="W494" s="13" t="str">
        <f t="shared" si="584"/>
        <v>Да</v>
      </c>
      <c r="X494" s="4" t="e">
        <f>(IF(COUNTIFS($G$2:G494,"+",$W$2:W494,"Да")&gt;1,"&amp; ","")&amp;D494&amp;J494&amp;E494&amp;SUBSTITUTE(L494,"""",""))</f>
        <v>#VALUE!</v>
      </c>
      <c r="Y494" s="4" t="e">
        <f t="shared" si="622"/>
        <v>#VALUE!</v>
      </c>
    </row>
    <row r="495" spans="1:25" x14ac:dyDescent="0.3">
      <c r="A495" s="11"/>
      <c r="B495" s="5" t="str">
        <f t="shared" si="585"/>
        <v/>
      </c>
      <c r="C495" s="5" t="str">
        <f t="shared" si="586"/>
        <v/>
      </c>
      <c r="D495" s="4" t="s">
        <v>10</v>
      </c>
      <c r="E495" s="4" t="s">
        <v>11</v>
      </c>
      <c r="F495" s="4" t="str">
        <f t="shared" si="609"/>
        <v>!!!</v>
      </c>
      <c r="G495" s="4" t="str">
        <f t="shared" si="587"/>
        <v>+</v>
      </c>
      <c r="H495" s="4"/>
      <c r="I495" s="4" t="str">
        <f t="shared" si="610"/>
        <v>!!!</v>
      </c>
      <c r="J495" s="4" t="e">
        <f t="shared" si="611"/>
        <v>#VALUE!</v>
      </c>
      <c r="K495" s="4" t="e">
        <f t="shared" si="612"/>
        <v>#VALUE!</v>
      </c>
      <c r="L495" s="4" t="e">
        <f t="shared" si="613"/>
        <v>#VALUE!</v>
      </c>
      <c r="M495" s="4">
        <f t="shared" si="588"/>
        <v>1000</v>
      </c>
      <c r="N495" s="4">
        <f t="shared" ref="N495:O495" si="645">MIN(IFERROR(FIND(" ",$C495,M495+1),1000))</f>
        <v>1000</v>
      </c>
      <c r="O495" s="4">
        <f t="shared" si="645"/>
        <v>1000</v>
      </c>
      <c r="P495" s="4">
        <f t="shared" si="590"/>
        <v>0</v>
      </c>
      <c r="Q495" s="4" t="str">
        <f t="shared" si="619"/>
        <v/>
      </c>
      <c r="R495" s="4" t="str">
        <f t="shared" si="635"/>
        <v/>
      </c>
      <c r="S495" s="4" t="str">
        <f t="shared" si="625"/>
        <v/>
      </c>
      <c r="T495" s="4" t="e">
        <f t="shared" si="591"/>
        <v>#VALUE!</v>
      </c>
      <c r="U495" s="4" t="e">
        <f t="shared" si="592"/>
        <v>#VALUE!</v>
      </c>
      <c r="V495" s="4" t="b">
        <f t="shared" si="583"/>
        <v>0</v>
      </c>
      <c r="W495" s="13" t="str">
        <f t="shared" si="584"/>
        <v>Да</v>
      </c>
      <c r="X495" s="4" t="e">
        <f>(IF(COUNTIFS($G$2:G495,"+",$W$2:W495,"Да")&gt;1,"&amp; ","")&amp;D495&amp;J495&amp;E495&amp;SUBSTITUTE(L495,"""",""))</f>
        <v>#VALUE!</v>
      </c>
      <c r="Y495" s="4" t="e">
        <f t="shared" si="622"/>
        <v>#VALUE!</v>
      </c>
    </row>
    <row r="496" spans="1:25" x14ac:dyDescent="0.3">
      <c r="A496" s="11"/>
      <c r="B496" s="5" t="str">
        <f t="shared" si="585"/>
        <v/>
      </c>
      <c r="C496" s="5" t="str">
        <f t="shared" si="586"/>
        <v/>
      </c>
      <c r="D496" s="4" t="s">
        <v>10</v>
      </c>
      <c r="E496" s="4" t="s">
        <v>11</v>
      </c>
      <c r="F496" s="4" t="str">
        <f t="shared" si="609"/>
        <v>!!!</v>
      </c>
      <c r="G496" s="4" t="str">
        <f t="shared" si="587"/>
        <v>+</v>
      </c>
      <c r="H496" s="4"/>
      <c r="I496" s="4" t="str">
        <f t="shared" si="610"/>
        <v>!!!</v>
      </c>
      <c r="J496" s="4" t="e">
        <f t="shared" si="611"/>
        <v>#VALUE!</v>
      </c>
      <c r="K496" s="4" t="e">
        <f t="shared" si="612"/>
        <v>#VALUE!</v>
      </c>
      <c r="L496" s="4" t="e">
        <f t="shared" si="613"/>
        <v>#VALUE!</v>
      </c>
      <c r="M496" s="4">
        <f t="shared" si="588"/>
        <v>1000</v>
      </c>
      <c r="N496" s="4">
        <f t="shared" ref="N496:O496" si="646">MIN(IFERROR(FIND(" ",$C496,M496+1),1000))</f>
        <v>1000</v>
      </c>
      <c r="O496" s="4">
        <f t="shared" si="646"/>
        <v>1000</v>
      </c>
      <c r="P496" s="4">
        <f t="shared" si="590"/>
        <v>0</v>
      </c>
      <c r="Q496" s="4" t="str">
        <f t="shared" si="619"/>
        <v/>
      </c>
      <c r="R496" s="4" t="str">
        <f t="shared" si="635"/>
        <v/>
      </c>
      <c r="S496" s="4" t="str">
        <f t="shared" si="625"/>
        <v/>
      </c>
      <c r="T496" s="4" t="e">
        <f t="shared" si="591"/>
        <v>#VALUE!</v>
      </c>
      <c r="U496" s="4" t="e">
        <f t="shared" si="592"/>
        <v>#VALUE!</v>
      </c>
      <c r="V496" s="4" t="b">
        <f t="shared" si="583"/>
        <v>0</v>
      </c>
      <c r="W496" s="13" t="str">
        <f t="shared" si="584"/>
        <v>Да</v>
      </c>
      <c r="X496" s="4" t="e">
        <f>(IF(COUNTIFS($G$2:G496,"+",$W$2:W496,"Да")&gt;1,"&amp; ","")&amp;D496&amp;J496&amp;E496&amp;SUBSTITUTE(L496,"""",""))</f>
        <v>#VALUE!</v>
      </c>
      <c r="Y496" s="4" t="e">
        <f t="shared" si="622"/>
        <v>#VALUE!</v>
      </c>
    </row>
    <row r="497" spans="1:25" x14ac:dyDescent="0.3">
      <c r="A497" s="11"/>
      <c r="B497" s="5" t="str">
        <f t="shared" si="585"/>
        <v/>
      </c>
      <c r="C497" s="5" t="str">
        <f t="shared" si="586"/>
        <v/>
      </c>
      <c r="D497" s="4" t="s">
        <v>10</v>
      </c>
      <c r="E497" s="4" t="s">
        <v>11</v>
      </c>
      <c r="F497" s="4" t="str">
        <f t="shared" si="609"/>
        <v>!!!</v>
      </c>
      <c r="G497" s="4" t="str">
        <f t="shared" si="587"/>
        <v>+</v>
      </c>
      <c r="H497" s="4"/>
      <c r="I497" s="4" t="str">
        <f t="shared" si="610"/>
        <v>!!!</v>
      </c>
      <c r="J497" s="4" t="e">
        <f t="shared" si="611"/>
        <v>#VALUE!</v>
      </c>
      <c r="K497" s="4" t="e">
        <f t="shared" si="612"/>
        <v>#VALUE!</v>
      </c>
      <c r="L497" s="4" t="e">
        <f t="shared" si="613"/>
        <v>#VALUE!</v>
      </c>
      <c r="M497" s="4">
        <f t="shared" si="588"/>
        <v>1000</v>
      </c>
      <c r="N497" s="4">
        <f t="shared" ref="N497:O497" si="647">MIN(IFERROR(FIND(" ",$C497,M497+1),1000))</f>
        <v>1000</v>
      </c>
      <c r="O497" s="4">
        <f t="shared" si="647"/>
        <v>1000</v>
      </c>
      <c r="P497" s="4">
        <f t="shared" si="590"/>
        <v>0</v>
      </c>
      <c r="Q497" s="4" t="str">
        <f t="shared" si="619"/>
        <v/>
      </c>
      <c r="R497" s="4" t="str">
        <f t="shared" si="635"/>
        <v/>
      </c>
      <c r="S497" s="4" t="str">
        <f t="shared" si="625"/>
        <v/>
      </c>
      <c r="T497" s="4" t="e">
        <f t="shared" si="591"/>
        <v>#VALUE!</v>
      </c>
      <c r="U497" s="4" t="e">
        <f t="shared" si="592"/>
        <v>#VALUE!</v>
      </c>
      <c r="V497" s="4" t="b">
        <f t="shared" si="583"/>
        <v>0</v>
      </c>
      <c r="W497" s="13" t="str">
        <f t="shared" si="584"/>
        <v>Да</v>
      </c>
      <c r="X497" s="4" t="e">
        <f>(IF(COUNTIFS($G$2:G497,"+",$W$2:W497,"Да")&gt;1,"&amp; ","")&amp;D497&amp;J497&amp;E497&amp;SUBSTITUTE(L497,"""",""))</f>
        <v>#VALUE!</v>
      </c>
      <c r="Y497" s="4" t="e">
        <f t="shared" si="622"/>
        <v>#VALUE!</v>
      </c>
    </row>
    <row r="498" spans="1:25" x14ac:dyDescent="0.3">
      <c r="A498" s="11"/>
      <c r="B498" s="5" t="str">
        <f t="shared" si="585"/>
        <v/>
      </c>
      <c r="C498" s="5" t="str">
        <f t="shared" si="586"/>
        <v/>
      </c>
      <c r="D498" s="4" t="s">
        <v>10</v>
      </c>
      <c r="E498" s="4" t="s">
        <v>11</v>
      </c>
      <c r="F498" s="4" t="str">
        <f t="shared" si="609"/>
        <v>!!!</v>
      </c>
      <c r="G498" s="4" t="str">
        <f t="shared" si="587"/>
        <v>+</v>
      </c>
      <c r="H498" s="4"/>
      <c r="I498" s="4" t="str">
        <f t="shared" si="610"/>
        <v>!!!</v>
      </c>
      <c r="J498" s="4" t="e">
        <f t="shared" si="611"/>
        <v>#VALUE!</v>
      </c>
      <c r="K498" s="4" t="e">
        <f t="shared" si="612"/>
        <v>#VALUE!</v>
      </c>
      <c r="L498" s="4" t="e">
        <f t="shared" si="613"/>
        <v>#VALUE!</v>
      </c>
      <c r="M498" s="4">
        <f t="shared" si="588"/>
        <v>1000</v>
      </c>
      <c r="N498" s="4">
        <f t="shared" ref="N498:O498" si="648">MIN(IFERROR(FIND(" ",$C498,M498+1),1000))</f>
        <v>1000</v>
      </c>
      <c r="O498" s="4">
        <f t="shared" si="648"/>
        <v>1000</v>
      </c>
      <c r="P498" s="4">
        <f t="shared" si="590"/>
        <v>0</v>
      </c>
      <c r="Q498" s="4" t="str">
        <f t="shared" si="619"/>
        <v/>
      </c>
      <c r="R498" s="4" t="str">
        <f t="shared" si="635"/>
        <v/>
      </c>
      <c r="S498" s="4" t="str">
        <f t="shared" si="625"/>
        <v/>
      </c>
      <c r="T498" s="4" t="e">
        <f t="shared" si="591"/>
        <v>#VALUE!</v>
      </c>
      <c r="U498" s="4" t="e">
        <f t="shared" si="592"/>
        <v>#VALUE!</v>
      </c>
      <c r="V498" s="4" t="b">
        <f t="shared" si="583"/>
        <v>0</v>
      </c>
      <c r="W498" s="13" t="str">
        <f t="shared" si="584"/>
        <v>Да</v>
      </c>
      <c r="X498" s="4" t="e">
        <f>(IF(COUNTIFS($G$2:G498,"+",$W$2:W498,"Да")&gt;1,"&amp; ","")&amp;D498&amp;J498&amp;E498&amp;SUBSTITUTE(L498,"""",""))</f>
        <v>#VALUE!</v>
      </c>
      <c r="Y498" s="4" t="e">
        <f t="shared" si="622"/>
        <v>#VALUE!</v>
      </c>
    </row>
    <row r="499" spans="1:25" x14ac:dyDescent="0.3">
      <c r="A499" s="11"/>
      <c r="B499" s="5" t="str">
        <f t="shared" si="585"/>
        <v/>
      </c>
      <c r="C499" s="5" t="str">
        <f t="shared" si="586"/>
        <v/>
      </c>
      <c r="D499" s="4" t="s">
        <v>10</v>
      </c>
      <c r="E499" s="4" t="s">
        <v>11</v>
      </c>
      <c r="F499" s="4" t="str">
        <f t="shared" si="609"/>
        <v>!!!</v>
      </c>
      <c r="G499" s="4" t="str">
        <f t="shared" si="587"/>
        <v>+</v>
      </c>
      <c r="H499" s="4"/>
      <c r="I499" s="4" t="str">
        <f t="shared" si="610"/>
        <v>!!!</v>
      </c>
      <c r="J499" s="4" t="e">
        <f t="shared" si="611"/>
        <v>#VALUE!</v>
      </c>
      <c r="K499" s="4" t="e">
        <f t="shared" si="612"/>
        <v>#VALUE!</v>
      </c>
      <c r="L499" s="4" t="e">
        <f t="shared" si="613"/>
        <v>#VALUE!</v>
      </c>
      <c r="M499" s="4">
        <f t="shared" si="588"/>
        <v>1000</v>
      </c>
      <c r="N499" s="4">
        <f t="shared" ref="N499:O499" si="649">MIN(IFERROR(FIND(" ",$C499,M499+1),1000))</f>
        <v>1000</v>
      </c>
      <c r="O499" s="4">
        <f t="shared" si="649"/>
        <v>1000</v>
      </c>
      <c r="P499" s="4">
        <f t="shared" si="590"/>
        <v>0</v>
      </c>
      <c r="Q499" s="4" t="str">
        <f t="shared" si="619"/>
        <v/>
      </c>
      <c r="R499" s="4" t="str">
        <f t="shared" si="635"/>
        <v/>
      </c>
      <c r="S499" s="4" t="str">
        <f t="shared" si="625"/>
        <v/>
      </c>
      <c r="T499" s="4" t="e">
        <f t="shared" si="591"/>
        <v>#VALUE!</v>
      </c>
      <c r="U499" s="4" t="e">
        <f t="shared" si="592"/>
        <v>#VALUE!</v>
      </c>
      <c r="V499" s="4" t="b">
        <f t="shared" si="583"/>
        <v>0</v>
      </c>
      <c r="W499" s="13" t="str">
        <f t="shared" si="584"/>
        <v>Да</v>
      </c>
      <c r="X499" s="4" t="e">
        <f>(IF(COUNTIFS($G$2:G499,"+",$W$2:W499,"Да")&gt;1,"&amp; ","")&amp;D499&amp;J499&amp;E499&amp;SUBSTITUTE(L499,"""",""))</f>
        <v>#VALUE!</v>
      </c>
      <c r="Y499" s="4" t="e">
        <f t="shared" si="622"/>
        <v>#VALUE!</v>
      </c>
    </row>
    <row r="500" spans="1:25" x14ac:dyDescent="0.3">
      <c r="A500" s="11"/>
      <c r="B500" s="5" t="str">
        <f t="shared" si="585"/>
        <v/>
      </c>
      <c r="C500" s="5" t="str">
        <f t="shared" si="586"/>
        <v/>
      </c>
      <c r="D500" s="4" t="s">
        <v>10</v>
      </c>
      <c r="E500" s="4" t="s">
        <v>11</v>
      </c>
      <c r="F500" s="4" t="str">
        <f t="shared" si="609"/>
        <v>!!!</v>
      </c>
      <c r="G500" s="4" t="str">
        <f t="shared" si="587"/>
        <v>+</v>
      </c>
      <c r="H500" s="4"/>
      <c r="I500" s="4" t="str">
        <f t="shared" si="610"/>
        <v>!!!</v>
      </c>
      <c r="J500" s="4" t="e">
        <f t="shared" si="611"/>
        <v>#VALUE!</v>
      </c>
      <c r="K500" s="4" t="e">
        <f t="shared" si="612"/>
        <v>#VALUE!</v>
      </c>
      <c r="L500" s="4" t="e">
        <f t="shared" si="613"/>
        <v>#VALUE!</v>
      </c>
      <c r="M500" s="4">
        <f t="shared" si="588"/>
        <v>1000</v>
      </c>
      <c r="N500" s="4">
        <f t="shared" ref="N500:O500" si="650">MIN(IFERROR(FIND(" ",$C500,M500+1),1000))</f>
        <v>1000</v>
      </c>
      <c r="O500" s="4">
        <f t="shared" si="650"/>
        <v>1000</v>
      </c>
      <c r="P500" s="4">
        <f t="shared" si="590"/>
        <v>0</v>
      </c>
      <c r="Q500" s="4" t="str">
        <f t="shared" si="619"/>
        <v/>
      </c>
      <c r="R500" s="4" t="str">
        <f t="shared" si="635"/>
        <v/>
      </c>
      <c r="S500" s="4" t="str">
        <f t="shared" si="625"/>
        <v/>
      </c>
      <c r="T500" s="4" t="e">
        <f t="shared" si="591"/>
        <v>#VALUE!</v>
      </c>
      <c r="U500" s="4" t="e">
        <f t="shared" si="592"/>
        <v>#VALUE!</v>
      </c>
      <c r="V500" s="4" t="b">
        <f t="shared" si="583"/>
        <v>0</v>
      </c>
      <c r="W500" s="13" t="str">
        <f t="shared" si="584"/>
        <v>Да</v>
      </c>
      <c r="X500" s="4" t="e">
        <f>(IF(COUNTIFS($G$2:G500,"+",$W$2:W500,"Да")&gt;1,"&amp; ","")&amp;D500&amp;J500&amp;E500&amp;SUBSTITUTE(L500,"""",""))</f>
        <v>#VALUE!</v>
      </c>
      <c r="Y500" s="4" t="e">
        <f t="shared" si="622"/>
        <v>#VALUE!</v>
      </c>
    </row>
    <row r="501" spans="1:25" x14ac:dyDescent="0.3">
      <c r="A501" s="11"/>
      <c r="B501" s="5" t="str">
        <f t="shared" si="585"/>
        <v/>
      </c>
      <c r="C501" s="5" t="str">
        <f t="shared" si="586"/>
        <v/>
      </c>
      <c r="D501" s="4" t="s">
        <v>10</v>
      </c>
      <c r="E501" s="4" t="s">
        <v>11</v>
      </c>
      <c r="F501" s="4" t="str">
        <f t="shared" si="609"/>
        <v>!!!</v>
      </c>
      <c r="G501" s="4" t="str">
        <f t="shared" si="587"/>
        <v>+</v>
      </c>
      <c r="H501" s="4"/>
      <c r="I501" s="4" t="str">
        <f t="shared" si="610"/>
        <v>!!!</v>
      </c>
      <c r="J501" s="4" t="e">
        <f t="shared" si="611"/>
        <v>#VALUE!</v>
      </c>
      <c r="K501" s="4" t="e">
        <f t="shared" si="612"/>
        <v>#VALUE!</v>
      </c>
      <c r="L501" s="4" t="e">
        <f t="shared" si="613"/>
        <v>#VALUE!</v>
      </c>
      <c r="M501" s="4">
        <f t="shared" si="588"/>
        <v>1000</v>
      </c>
      <c r="N501" s="4">
        <f t="shared" ref="N501:O501" si="651">MIN(IFERROR(FIND(" ",$C501,M501+1),1000))</f>
        <v>1000</v>
      </c>
      <c r="O501" s="4">
        <f t="shared" si="651"/>
        <v>1000</v>
      </c>
      <c r="P501" s="4">
        <f t="shared" si="590"/>
        <v>0</v>
      </c>
      <c r="Q501" s="4" t="str">
        <f t="shared" si="619"/>
        <v/>
      </c>
      <c r="R501" s="4" t="str">
        <f t="shared" si="635"/>
        <v/>
      </c>
      <c r="S501" s="4" t="str">
        <f t="shared" si="625"/>
        <v/>
      </c>
      <c r="T501" s="4" t="e">
        <f t="shared" si="591"/>
        <v>#VALUE!</v>
      </c>
      <c r="U501" s="4" t="e">
        <f t="shared" si="592"/>
        <v>#VALUE!</v>
      </c>
      <c r="V501" s="4" t="b">
        <f t="shared" si="583"/>
        <v>0</v>
      </c>
      <c r="W501" s="13" t="str">
        <f t="shared" si="584"/>
        <v>Да</v>
      </c>
      <c r="X501" s="4" t="e">
        <f>(IF(COUNTIFS($G$2:G501,"+",$W$2:W501,"Да")&gt;1,"&amp; ","")&amp;D501&amp;J501&amp;E501&amp;SUBSTITUTE(L501,"""",""))</f>
        <v>#VALUE!</v>
      </c>
      <c r="Y501" s="4" t="e">
        <f t="shared" si="622"/>
        <v>#VALUE!</v>
      </c>
    </row>
    <row r="502" spans="1:25" x14ac:dyDescent="0.3">
      <c r="A502" s="11"/>
      <c r="B502" s="5" t="str">
        <f t="shared" si="585"/>
        <v/>
      </c>
      <c r="C502" s="5" t="str">
        <f t="shared" si="586"/>
        <v/>
      </c>
      <c r="D502" s="4" t="s">
        <v>10</v>
      </c>
      <c r="E502" s="4" t="s">
        <v>11</v>
      </c>
      <c r="F502" s="4" t="str">
        <f t="shared" si="609"/>
        <v>!!!</v>
      </c>
      <c r="G502" s="4" t="str">
        <f t="shared" si="587"/>
        <v>+</v>
      </c>
      <c r="H502" s="4"/>
      <c r="I502" s="4" t="str">
        <f t="shared" si="610"/>
        <v>!!!</v>
      </c>
      <c r="J502" s="4" t="e">
        <f t="shared" si="611"/>
        <v>#VALUE!</v>
      </c>
      <c r="K502" s="4" t="e">
        <f t="shared" si="612"/>
        <v>#VALUE!</v>
      </c>
      <c r="L502" s="4" t="e">
        <f t="shared" si="613"/>
        <v>#VALUE!</v>
      </c>
      <c r="M502" s="4">
        <f t="shared" si="588"/>
        <v>1000</v>
      </c>
      <c r="N502" s="4">
        <f t="shared" ref="N502:O502" si="652">MIN(IFERROR(FIND(" ",$C502,M502+1),1000))</f>
        <v>1000</v>
      </c>
      <c r="O502" s="4">
        <f t="shared" si="652"/>
        <v>1000</v>
      </c>
      <c r="P502" s="4">
        <f t="shared" si="590"/>
        <v>0</v>
      </c>
      <c r="Q502" s="4" t="str">
        <f t="shared" si="619"/>
        <v/>
      </c>
      <c r="R502" s="4" t="str">
        <f t="shared" si="635"/>
        <v/>
      </c>
      <c r="S502" s="4" t="str">
        <f t="shared" si="625"/>
        <v/>
      </c>
      <c r="T502" s="4" t="e">
        <f t="shared" si="591"/>
        <v>#VALUE!</v>
      </c>
      <c r="U502" s="4" t="e">
        <f t="shared" si="592"/>
        <v>#VALUE!</v>
      </c>
      <c r="V502" s="4" t="b">
        <f t="shared" si="583"/>
        <v>0</v>
      </c>
      <c r="W502" s="13" t="str">
        <f t="shared" si="584"/>
        <v>Да</v>
      </c>
      <c r="X502" s="4" t="e">
        <f>(IF(COUNTIFS($G$2:G502,"+",$W$2:W502,"Да")&gt;1,"&amp; ","")&amp;D502&amp;J502&amp;E502&amp;SUBSTITUTE(L502,"""",""))</f>
        <v>#VALUE!</v>
      </c>
      <c r="Y502" s="4" t="e">
        <f t="shared" si="622"/>
        <v>#VALUE!</v>
      </c>
    </row>
    <row r="503" spans="1:25" x14ac:dyDescent="0.3">
      <c r="A503" s="11"/>
      <c r="B503" s="5" t="str">
        <f t="shared" si="585"/>
        <v/>
      </c>
      <c r="C503" s="5" t="str">
        <f t="shared" si="586"/>
        <v/>
      </c>
      <c r="D503" s="4" t="s">
        <v>10</v>
      </c>
      <c r="E503" s="4" t="s">
        <v>11</v>
      </c>
      <c r="F503" s="4" t="str">
        <f t="shared" si="609"/>
        <v>!!!</v>
      </c>
      <c r="G503" s="4" t="str">
        <f t="shared" si="587"/>
        <v>+</v>
      </c>
      <c r="H503" s="4"/>
      <c r="I503" s="4" t="str">
        <f t="shared" si="610"/>
        <v>!!!</v>
      </c>
      <c r="J503" s="4" t="e">
        <f t="shared" si="611"/>
        <v>#VALUE!</v>
      </c>
      <c r="K503" s="4" t="e">
        <f t="shared" si="612"/>
        <v>#VALUE!</v>
      </c>
      <c r="L503" s="4" t="e">
        <f t="shared" si="613"/>
        <v>#VALUE!</v>
      </c>
      <c r="M503" s="4">
        <f t="shared" si="588"/>
        <v>1000</v>
      </c>
      <c r="N503" s="4">
        <f t="shared" ref="N503:O503" si="653">MIN(IFERROR(FIND(" ",$C503,M503+1),1000))</f>
        <v>1000</v>
      </c>
      <c r="O503" s="4">
        <f t="shared" si="653"/>
        <v>1000</v>
      </c>
      <c r="P503" s="4">
        <f t="shared" si="590"/>
        <v>0</v>
      </c>
      <c r="Q503" s="4" t="str">
        <f t="shared" si="619"/>
        <v/>
      </c>
      <c r="R503" s="4" t="str">
        <f t="shared" si="635"/>
        <v/>
      </c>
      <c r="S503" s="4" t="str">
        <f t="shared" si="625"/>
        <v/>
      </c>
      <c r="T503" s="4" t="e">
        <f t="shared" si="591"/>
        <v>#VALUE!</v>
      </c>
      <c r="U503" s="4" t="e">
        <f t="shared" si="592"/>
        <v>#VALUE!</v>
      </c>
      <c r="V503" s="4" t="b">
        <f t="shared" si="583"/>
        <v>0</v>
      </c>
      <c r="W503" s="13" t="str">
        <f t="shared" si="584"/>
        <v>Да</v>
      </c>
      <c r="X503" s="4" t="e">
        <f>(IF(COUNTIFS($G$2:G503,"+",$W$2:W503,"Да")&gt;1,"&amp; ","")&amp;D503&amp;J503&amp;E503&amp;SUBSTITUTE(L503,"""",""))</f>
        <v>#VALUE!</v>
      </c>
      <c r="Y503" s="4" t="e">
        <f t="shared" si="622"/>
        <v>#VALUE!</v>
      </c>
    </row>
    <row r="504" spans="1:25" x14ac:dyDescent="0.3">
      <c r="A504" s="11"/>
      <c r="B504" s="5" t="str">
        <f t="shared" si="585"/>
        <v/>
      </c>
      <c r="C504" s="5" t="str">
        <f t="shared" si="586"/>
        <v/>
      </c>
      <c r="D504" s="4" t="s">
        <v>10</v>
      </c>
      <c r="E504" s="4" t="s">
        <v>11</v>
      </c>
      <c r="F504" s="4" t="str">
        <f t="shared" si="609"/>
        <v>!!!</v>
      </c>
      <c r="G504" s="4" t="str">
        <f t="shared" si="587"/>
        <v>+</v>
      </c>
      <c r="H504" s="4"/>
      <c r="I504" s="4" t="str">
        <f t="shared" si="610"/>
        <v>!!!</v>
      </c>
      <c r="J504" s="4" t="e">
        <f t="shared" si="611"/>
        <v>#VALUE!</v>
      </c>
      <c r="K504" s="4" t="e">
        <f t="shared" si="612"/>
        <v>#VALUE!</v>
      </c>
      <c r="L504" s="4" t="e">
        <f t="shared" si="613"/>
        <v>#VALUE!</v>
      </c>
      <c r="M504" s="4">
        <f t="shared" si="588"/>
        <v>1000</v>
      </c>
      <c r="N504" s="4">
        <f t="shared" ref="N504:O504" si="654">MIN(IFERROR(FIND(" ",$C504,M504+1),1000))</f>
        <v>1000</v>
      </c>
      <c r="O504" s="4">
        <f t="shared" si="654"/>
        <v>1000</v>
      </c>
      <c r="P504" s="4">
        <f t="shared" si="590"/>
        <v>0</v>
      </c>
      <c r="Q504" s="4" t="str">
        <f t="shared" si="619"/>
        <v/>
      </c>
      <c r="R504" s="4" t="str">
        <f t="shared" si="635"/>
        <v/>
      </c>
      <c r="S504" s="4" t="str">
        <f t="shared" si="625"/>
        <v/>
      </c>
      <c r="T504" s="4" t="e">
        <f t="shared" si="591"/>
        <v>#VALUE!</v>
      </c>
      <c r="U504" s="4" t="e">
        <f t="shared" si="592"/>
        <v>#VALUE!</v>
      </c>
      <c r="V504" s="4" t="b">
        <f t="shared" si="583"/>
        <v>0</v>
      </c>
      <c r="W504" s="13" t="str">
        <f t="shared" si="584"/>
        <v>Да</v>
      </c>
      <c r="X504" s="4" t="e">
        <f>(IF(COUNTIFS($G$2:G504,"+",$W$2:W504,"Да")&gt;1,"&amp; ","")&amp;D504&amp;J504&amp;E504&amp;SUBSTITUTE(L504,"""",""))</f>
        <v>#VALUE!</v>
      </c>
      <c r="Y504" s="4" t="e">
        <f t="shared" si="622"/>
        <v>#VALUE!</v>
      </c>
    </row>
    <row r="505" spans="1:25" x14ac:dyDescent="0.3">
      <c r="A505" s="11"/>
      <c r="B505" s="5" t="str">
        <f t="shared" si="585"/>
        <v/>
      </c>
      <c r="C505" s="5" t="str">
        <f t="shared" si="586"/>
        <v/>
      </c>
      <c r="D505" s="4" t="s">
        <v>10</v>
      </c>
      <c r="E505" s="4" t="s">
        <v>11</v>
      </c>
      <c r="F505" s="4" t="str">
        <f t="shared" si="609"/>
        <v>!!!</v>
      </c>
      <c r="G505" s="4" t="str">
        <f t="shared" si="587"/>
        <v>+</v>
      </c>
      <c r="H505" s="4"/>
      <c r="I505" s="4" t="str">
        <f t="shared" si="610"/>
        <v>!!!</v>
      </c>
      <c r="J505" s="4" t="e">
        <f t="shared" si="611"/>
        <v>#VALUE!</v>
      </c>
      <c r="K505" s="4" t="e">
        <f t="shared" si="612"/>
        <v>#VALUE!</v>
      </c>
      <c r="L505" s="4" t="e">
        <f t="shared" si="613"/>
        <v>#VALUE!</v>
      </c>
      <c r="M505" s="4">
        <f t="shared" si="588"/>
        <v>1000</v>
      </c>
      <c r="N505" s="4">
        <f t="shared" ref="N505:O505" si="655">MIN(IFERROR(FIND(" ",$C505,M505+1),1000))</f>
        <v>1000</v>
      </c>
      <c r="O505" s="4">
        <f t="shared" si="655"/>
        <v>1000</v>
      </c>
      <c r="P505" s="4">
        <f t="shared" si="590"/>
        <v>0</v>
      </c>
      <c r="Q505" s="4" t="str">
        <f t="shared" si="619"/>
        <v/>
      </c>
      <c r="R505" s="4" t="str">
        <f t="shared" si="635"/>
        <v/>
      </c>
      <c r="S505" s="4" t="str">
        <f t="shared" si="625"/>
        <v/>
      </c>
      <c r="T505" s="4" t="e">
        <f t="shared" si="591"/>
        <v>#VALUE!</v>
      </c>
      <c r="U505" s="4" t="e">
        <f t="shared" si="592"/>
        <v>#VALUE!</v>
      </c>
      <c r="V505" s="4" t="b">
        <f t="shared" si="583"/>
        <v>0</v>
      </c>
      <c r="W505" s="13" t="str">
        <f t="shared" si="584"/>
        <v>Да</v>
      </c>
      <c r="X505" s="4" t="e">
        <f>(IF(COUNTIFS($G$2:G505,"+",$W$2:W505,"Да")&gt;1,"&amp; ","")&amp;D505&amp;J505&amp;E505&amp;SUBSTITUTE(L505,"""",""))</f>
        <v>#VALUE!</v>
      </c>
      <c r="Y505" s="4" t="e">
        <f t="shared" si="622"/>
        <v>#VALUE!</v>
      </c>
    </row>
    <row r="506" spans="1:25" x14ac:dyDescent="0.3">
      <c r="A506" s="11"/>
      <c r="B506" s="5" t="str">
        <f t="shared" si="585"/>
        <v/>
      </c>
      <c r="C506" s="5" t="str">
        <f t="shared" si="586"/>
        <v/>
      </c>
      <c r="D506" s="4" t="s">
        <v>10</v>
      </c>
      <c r="E506" s="4" t="s">
        <v>11</v>
      </c>
      <c r="F506" s="4" t="str">
        <f t="shared" si="609"/>
        <v>!!!</v>
      </c>
      <c r="G506" s="4" t="str">
        <f t="shared" si="587"/>
        <v>+</v>
      </c>
      <c r="H506" s="4"/>
      <c r="I506" s="4" t="str">
        <f t="shared" si="610"/>
        <v>!!!</v>
      </c>
      <c r="J506" s="4" t="e">
        <f t="shared" si="611"/>
        <v>#VALUE!</v>
      </c>
      <c r="K506" s="4" t="e">
        <f t="shared" si="612"/>
        <v>#VALUE!</v>
      </c>
      <c r="L506" s="4" t="e">
        <f t="shared" si="613"/>
        <v>#VALUE!</v>
      </c>
      <c r="M506" s="4">
        <f t="shared" si="588"/>
        <v>1000</v>
      </c>
      <c r="N506" s="4">
        <f t="shared" ref="N506:O506" si="656">MIN(IFERROR(FIND(" ",$C506,M506+1),1000))</f>
        <v>1000</v>
      </c>
      <c r="O506" s="4">
        <f t="shared" si="656"/>
        <v>1000</v>
      </c>
      <c r="P506" s="4">
        <f t="shared" si="590"/>
        <v>0</v>
      </c>
      <c r="Q506" s="4" t="str">
        <f t="shared" si="619"/>
        <v/>
      </c>
      <c r="R506" s="4" t="str">
        <f t="shared" si="635"/>
        <v/>
      </c>
      <c r="S506" s="4" t="str">
        <f t="shared" si="625"/>
        <v/>
      </c>
      <c r="T506" s="4" t="e">
        <f t="shared" si="591"/>
        <v>#VALUE!</v>
      </c>
      <c r="U506" s="4" t="e">
        <f t="shared" si="592"/>
        <v>#VALUE!</v>
      </c>
      <c r="V506" s="4" t="b">
        <f t="shared" si="583"/>
        <v>0</v>
      </c>
      <c r="W506" s="13" t="str">
        <f t="shared" si="584"/>
        <v>Да</v>
      </c>
      <c r="X506" s="4" t="e">
        <f>(IF(COUNTIFS($G$2:G506,"+",$W$2:W506,"Да")&gt;1,"&amp; ","")&amp;D506&amp;J506&amp;E506&amp;SUBSTITUTE(L506,"""",""))</f>
        <v>#VALUE!</v>
      </c>
      <c r="Y506" s="4" t="e">
        <f t="shared" si="622"/>
        <v>#VALUE!</v>
      </c>
    </row>
    <row r="507" spans="1:25" x14ac:dyDescent="0.3">
      <c r="A507" s="11"/>
      <c r="B507" s="5" t="str">
        <f t="shared" si="585"/>
        <v/>
      </c>
      <c r="C507" s="5" t="str">
        <f t="shared" si="586"/>
        <v/>
      </c>
      <c r="D507" s="4" t="s">
        <v>10</v>
      </c>
      <c r="E507" s="4" t="s">
        <v>11</v>
      </c>
      <c r="F507" s="4" t="str">
        <f t="shared" si="609"/>
        <v>!!!</v>
      </c>
      <c r="G507" s="4" t="str">
        <f t="shared" si="587"/>
        <v>+</v>
      </c>
      <c r="H507" s="4"/>
      <c r="I507" s="4" t="str">
        <f t="shared" si="610"/>
        <v>!!!</v>
      </c>
      <c r="J507" s="4" t="e">
        <f t="shared" si="611"/>
        <v>#VALUE!</v>
      </c>
      <c r="K507" s="4" t="e">
        <f t="shared" si="612"/>
        <v>#VALUE!</v>
      </c>
      <c r="L507" s="4" t="e">
        <f t="shared" si="613"/>
        <v>#VALUE!</v>
      </c>
      <c r="M507" s="4">
        <f t="shared" si="588"/>
        <v>1000</v>
      </c>
      <c r="N507" s="4">
        <f t="shared" ref="N507:O507" si="657">MIN(IFERROR(FIND(" ",$C507,M507+1),1000))</f>
        <v>1000</v>
      </c>
      <c r="O507" s="4">
        <f t="shared" si="657"/>
        <v>1000</v>
      </c>
      <c r="P507" s="4">
        <f t="shared" si="590"/>
        <v>0</v>
      </c>
      <c r="Q507" s="4" t="str">
        <f t="shared" si="619"/>
        <v/>
      </c>
      <c r="R507" s="4" t="str">
        <f t="shared" si="635"/>
        <v/>
      </c>
      <c r="S507" s="4" t="str">
        <f t="shared" si="625"/>
        <v/>
      </c>
      <c r="T507" s="4" t="e">
        <f t="shared" si="591"/>
        <v>#VALUE!</v>
      </c>
      <c r="U507" s="4" t="e">
        <f t="shared" si="592"/>
        <v>#VALUE!</v>
      </c>
      <c r="V507" s="4" t="b">
        <f t="shared" si="583"/>
        <v>0</v>
      </c>
      <c r="W507" s="13" t="str">
        <f t="shared" si="584"/>
        <v>Да</v>
      </c>
      <c r="X507" s="4" t="e">
        <f>(IF(COUNTIFS($G$2:G507,"+",$W$2:W507,"Да")&gt;1,"&amp; ","")&amp;D507&amp;J507&amp;E507&amp;SUBSTITUTE(L507,"""",""))</f>
        <v>#VALUE!</v>
      </c>
      <c r="Y507" s="4" t="e">
        <f t="shared" si="622"/>
        <v>#VALUE!</v>
      </c>
    </row>
    <row r="508" spans="1:25" x14ac:dyDescent="0.3">
      <c r="A508" s="11"/>
      <c r="B508" s="5" t="str">
        <f t="shared" si="585"/>
        <v/>
      </c>
      <c r="C508" s="5" t="str">
        <f t="shared" si="586"/>
        <v/>
      </c>
      <c r="D508" s="4" t="s">
        <v>10</v>
      </c>
      <c r="E508" s="4" t="s">
        <v>11</v>
      </c>
      <c r="F508" s="4" t="str">
        <f t="shared" si="609"/>
        <v>!!!</v>
      </c>
      <c r="G508" s="4" t="str">
        <f t="shared" si="587"/>
        <v>+</v>
      </c>
      <c r="H508" s="4"/>
      <c r="I508" s="4" t="str">
        <f t="shared" si="610"/>
        <v>!!!</v>
      </c>
      <c r="J508" s="4" t="e">
        <f t="shared" si="611"/>
        <v>#VALUE!</v>
      </c>
      <c r="K508" s="4" t="e">
        <f t="shared" si="612"/>
        <v>#VALUE!</v>
      </c>
      <c r="L508" s="4" t="e">
        <f t="shared" si="613"/>
        <v>#VALUE!</v>
      </c>
      <c r="M508" s="4">
        <f t="shared" si="588"/>
        <v>1000</v>
      </c>
      <c r="N508" s="4">
        <f t="shared" ref="N508:O508" si="658">MIN(IFERROR(FIND(" ",$C508,M508+1),1000))</f>
        <v>1000</v>
      </c>
      <c r="O508" s="4">
        <f t="shared" si="658"/>
        <v>1000</v>
      </c>
      <c r="P508" s="4">
        <f t="shared" si="590"/>
        <v>0</v>
      </c>
      <c r="Q508" s="4" t="str">
        <f t="shared" si="619"/>
        <v/>
      </c>
      <c r="R508" s="4" t="str">
        <f t="shared" si="635"/>
        <v/>
      </c>
      <c r="S508" s="4" t="str">
        <f t="shared" si="625"/>
        <v/>
      </c>
      <c r="T508" s="4" t="e">
        <f t="shared" si="591"/>
        <v>#VALUE!</v>
      </c>
      <c r="U508" s="4" t="e">
        <f t="shared" si="592"/>
        <v>#VALUE!</v>
      </c>
      <c r="V508" s="4" t="b">
        <f t="shared" si="583"/>
        <v>0</v>
      </c>
      <c r="W508" s="13" t="str">
        <f t="shared" si="584"/>
        <v>Да</v>
      </c>
      <c r="X508" s="4" t="e">
        <f>(IF(COUNTIFS($G$2:G508,"+",$W$2:W508,"Да")&gt;1,"&amp; ","")&amp;D508&amp;J508&amp;E508&amp;SUBSTITUTE(L508,"""",""))</f>
        <v>#VALUE!</v>
      </c>
      <c r="Y508" s="4" t="e">
        <f t="shared" si="622"/>
        <v>#VALUE!</v>
      </c>
    </row>
    <row r="509" spans="1:25" x14ac:dyDescent="0.3">
      <c r="A509" s="11"/>
      <c r="B509" s="5" t="str">
        <f t="shared" si="585"/>
        <v/>
      </c>
      <c r="C509" s="5" t="str">
        <f t="shared" si="586"/>
        <v/>
      </c>
      <c r="D509" s="4" t="s">
        <v>10</v>
      </c>
      <c r="E509" s="4" t="s">
        <v>11</v>
      </c>
      <c r="F509" s="4" t="str">
        <f t="shared" si="609"/>
        <v>!!!</v>
      </c>
      <c r="G509" s="4" t="str">
        <f t="shared" si="587"/>
        <v>+</v>
      </c>
      <c r="H509" s="4"/>
      <c r="I509" s="4" t="str">
        <f t="shared" si="610"/>
        <v>!!!</v>
      </c>
      <c r="J509" s="4" t="e">
        <f t="shared" si="611"/>
        <v>#VALUE!</v>
      </c>
      <c r="K509" s="4" t="e">
        <f t="shared" si="612"/>
        <v>#VALUE!</v>
      </c>
      <c r="L509" s="4" t="e">
        <f t="shared" si="613"/>
        <v>#VALUE!</v>
      </c>
      <c r="M509" s="4">
        <f t="shared" si="588"/>
        <v>1000</v>
      </c>
      <c r="N509" s="4">
        <f t="shared" ref="N509:O509" si="659">MIN(IFERROR(FIND(" ",$C509,M509+1),1000))</f>
        <v>1000</v>
      </c>
      <c r="O509" s="4">
        <f t="shared" si="659"/>
        <v>1000</v>
      </c>
      <c r="P509" s="4">
        <f t="shared" si="590"/>
        <v>0</v>
      </c>
      <c r="Q509" s="4" t="str">
        <f t="shared" si="619"/>
        <v/>
      </c>
      <c r="R509" s="4" t="str">
        <f t="shared" si="635"/>
        <v/>
      </c>
      <c r="S509" s="4" t="str">
        <f t="shared" si="625"/>
        <v/>
      </c>
      <c r="T509" s="4" t="e">
        <f t="shared" si="591"/>
        <v>#VALUE!</v>
      </c>
      <c r="U509" s="4" t="e">
        <f t="shared" si="592"/>
        <v>#VALUE!</v>
      </c>
      <c r="V509" s="4" t="b">
        <f t="shared" si="583"/>
        <v>0</v>
      </c>
      <c r="W509" s="13" t="str">
        <f t="shared" si="584"/>
        <v>Да</v>
      </c>
      <c r="X509" s="4" t="e">
        <f>(IF(COUNTIFS($G$2:G509,"+",$W$2:W509,"Да")&gt;1,"&amp; ","")&amp;D509&amp;J509&amp;E509&amp;SUBSTITUTE(L509,"""",""))</f>
        <v>#VALUE!</v>
      </c>
      <c r="Y509" s="4" t="e">
        <f t="shared" si="622"/>
        <v>#VALUE!</v>
      </c>
    </row>
    <row r="510" spans="1:25" x14ac:dyDescent="0.3">
      <c r="A510" s="11"/>
      <c r="B510" s="5" t="str">
        <f t="shared" si="585"/>
        <v/>
      </c>
      <c r="C510" s="5" t="str">
        <f t="shared" si="586"/>
        <v/>
      </c>
      <c r="D510" s="4" t="s">
        <v>10</v>
      </c>
      <c r="E510" s="4" t="s">
        <v>11</v>
      </c>
      <c r="F510" s="4" t="str">
        <f t="shared" si="609"/>
        <v>!!!</v>
      </c>
      <c r="G510" s="4" t="str">
        <f t="shared" si="587"/>
        <v>+</v>
      </c>
      <c r="H510" s="4"/>
      <c r="I510" s="4" t="str">
        <f t="shared" si="610"/>
        <v>!!!</v>
      </c>
      <c r="J510" s="4" t="e">
        <f t="shared" si="611"/>
        <v>#VALUE!</v>
      </c>
      <c r="K510" s="4" t="e">
        <f t="shared" si="612"/>
        <v>#VALUE!</v>
      </c>
      <c r="L510" s="4" t="e">
        <f t="shared" si="613"/>
        <v>#VALUE!</v>
      </c>
      <c r="M510" s="4">
        <f t="shared" si="588"/>
        <v>1000</v>
      </c>
      <c r="N510" s="4">
        <f t="shared" ref="N510:O510" si="660">MIN(IFERROR(FIND(" ",$C510,M510+1),1000))</f>
        <v>1000</v>
      </c>
      <c r="O510" s="4">
        <f t="shared" si="660"/>
        <v>1000</v>
      </c>
      <c r="P510" s="4">
        <f t="shared" si="590"/>
        <v>0</v>
      </c>
      <c r="Q510" s="4" t="str">
        <f t="shared" si="619"/>
        <v/>
      </c>
      <c r="R510" s="4" t="str">
        <f t="shared" si="635"/>
        <v/>
      </c>
      <c r="S510" s="4" t="str">
        <f t="shared" si="625"/>
        <v/>
      </c>
      <c r="T510" s="4" t="e">
        <f t="shared" si="591"/>
        <v>#VALUE!</v>
      </c>
      <c r="U510" s="4" t="e">
        <f t="shared" si="592"/>
        <v>#VALUE!</v>
      </c>
      <c r="V510" s="4" t="b">
        <f t="shared" si="583"/>
        <v>0</v>
      </c>
      <c r="W510" s="13" t="str">
        <f t="shared" si="584"/>
        <v>Да</v>
      </c>
      <c r="X510" s="4" t="e">
        <f>(IF(COUNTIFS($G$2:G510,"+",$W$2:W510,"Да")&gt;1,"&amp; ","")&amp;D510&amp;J510&amp;E510&amp;SUBSTITUTE(L510,"""",""))</f>
        <v>#VALUE!</v>
      </c>
      <c r="Y510" s="4" t="e">
        <f t="shared" si="622"/>
        <v>#VALUE!</v>
      </c>
    </row>
    <row r="511" spans="1:25" x14ac:dyDescent="0.3">
      <c r="A511" s="11"/>
      <c r="B511" s="5" t="str">
        <f t="shared" si="585"/>
        <v/>
      </c>
      <c r="C511" s="5" t="str">
        <f t="shared" si="586"/>
        <v/>
      </c>
      <c r="D511" s="4" t="s">
        <v>10</v>
      </c>
      <c r="E511" s="4" t="s">
        <v>11</v>
      </c>
      <c r="F511" s="4" t="str">
        <f t="shared" si="609"/>
        <v>!!!</v>
      </c>
      <c r="G511" s="4" t="str">
        <f t="shared" si="587"/>
        <v>+</v>
      </c>
      <c r="H511" s="4"/>
      <c r="I511" s="4" t="str">
        <f t="shared" si="610"/>
        <v>!!!</v>
      </c>
      <c r="J511" s="4" t="e">
        <f t="shared" si="611"/>
        <v>#VALUE!</v>
      </c>
      <c r="K511" s="4" t="e">
        <f t="shared" si="612"/>
        <v>#VALUE!</v>
      </c>
      <c r="L511" s="4" t="e">
        <f t="shared" si="613"/>
        <v>#VALUE!</v>
      </c>
      <c r="M511" s="4">
        <f t="shared" si="588"/>
        <v>1000</v>
      </c>
      <c r="N511" s="4">
        <f t="shared" ref="N511:O511" si="661">MIN(IFERROR(FIND(" ",$C511,M511+1),1000))</f>
        <v>1000</v>
      </c>
      <c r="O511" s="4">
        <f t="shared" si="661"/>
        <v>1000</v>
      </c>
      <c r="P511" s="4">
        <f t="shared" si="590"/>
        <v>0</v>
      </c>
      <c r="Q511" s="4" t="str">
        <f t="shared" si="619"/>
        <v/>
      </c>
      <c r="R511" s="4" t="str">
        <f t="shared" si="635"/>
        <v/>
      </c>
      <c r="S511" s="4" t="str">
        <f t="shared" si="625"/>
        <v/>
      </c>
      <c r="T511" s="4" t="e">
        <f t="shared" si="591"/>
        <v>#VALUE!</v>
      </c>
      <c r="U511" s="4" t="e">
        <f t="shared" si="592"/>
        <v>#VALUE!</v>
      </c>
      <c r="V511" s="4" t="b">
        <f t="shared" si="583"/>
        <v>0</v>
      </c>
      <c r="W511" s="13" t="str">
        <f t="shared" si="584"/>
        <v>Да</v>
      </c>
      <c r="X511" s="4" t="e">
        <f>(IF(COUNTIFS($G$2:G511,"+",$W$2:W511,"Да")&gt;1,"&amp; ","")&amp;D511&amp;J511&amp;E511&amp;SUBSTITUTE(L511,"""",""))</f>
        <v>#VALUE!</v>
      </c>
      <c r="Y511" s="4" t="e">
        <f t="shared" si="622"/>
        <v>#VALUE!</v>
      </c>
    </row>
    <row r="512" spans="1:25" x14ac:dyDescent="0.3">
      <c r="A512" s="11"/>
      <c r="B512" s="5" t="str">
        <f t="shared" si="585"/>
        <v/>
      </c>
      <c r="C512" s="5" t="str">
        <f t="shared" si="586"/>
        <v/>
      </c>
      <c r="D512" s="4" t="s">
        <v>10</v>
      </c>
      <c r="E512" s="4" t="s">
        <v>11</v>
      </c>
      <c r="F512" s="4" t="str">
        <f t="shared" si="609"/>
        <v>!!!</v>
      </c>
      <c r="G512" s="4" t="str">
        <f t="shared" si="587"/>
        <v>+</v>
      </c>
      <c r="H512" s="4"/>
      <c r="I512" s="4" t="str">
        <f t="shared" si="610"/>
        <v>!!!</v>
      </c>
      <c r="J512" s="4" t="e">
        <f t="shared" si="611"/>
        <v>#VALUE!</v>
      </c>
      <c r="K512" s="4" t="e">
        <f t="shared" si="612"/>
        <v>#VALUE!</v>
      </c>
      <c r="L512" s="4" t="e">
        <f t="shared" si="613"/>
        <v>#VALUE!</v>
      </c>
      <c r="M512" s="4">
        <f t="shared" si="588"/>
        <v>1000</v>
      </c>
      <c r="N512" s="4">
        <f t="shared" ref="N512:O512" si="662">MIN(IFERROR(FIND(" ",$C512,M512+1),1000))</f>
        <v>1000</v>
      </c>
      <c r="O512" s="4">
        <f t="shared" si="662"/>
        <v>1000</v>
      </c>
      <c r="P512" s="4">
        <f t="shared" si="590"/>
        <v>0</v>
      </c>
      <c r="Q512" s="4" t="str">
        <f t="shared" si="619"/>
        <v/>
      </c>
      <c r="R512" s="4" t="str">
        <f t="shared" si="635"/>
        <v/>
      </c>
      <c r="S512" s="4" t="str">
        <f t="shared" si="625"/>
        <v/>
      </c>
      <c r="T512" s="4" t="e">
        <f t="shared" si="591"/>
        <v>#VALUE!</v>
      </c>
      <c r="U512" s="4" t="e">
        <f t="shared" si="592"/>
        <v>#VALUE!</v>
      </c>
      <c r="V512" s="4" t="b">
        <f t="shared" si="583"/>
        <v>0</v>
      </c>
      <c r="W512" s="13" t="str">
        <f t="shared" si="584"/>
        <v>Да</v>
      </c>
      <c r="X512" s="4" t="e">
        <f>(IF(COUNTIFS($G$2:G512,"+",$W$2:W512,"Да")&gt;1,"&amp; ","")&amp;D512&amp;J512&amp;E512&amp;SUBSTITUTE(L512,"""",""))</f>
        <v>#VALUE!</v>
      </c>
      <c r="Y512" s="4" t="e">
        <f t="shared" si="622"/>
        <v>#VALUE!</v>
      </c>
    </row>
    <row r="513" spans="1:25" x14ac:dyDescent="0.3">
      <c r="A513" s="11"/>
      <c r="B513" s="5" t="str">
        <f t="shared" si="585"/>
        <v/>
      </c>
      <c r="C513" s="5" t="str">
        <f t="shared" si="586"/>
        <v/>
      </c>
      <c r="D513" s="4" t="s">
        <v>10</v>
      </c>
      <c r="E513" s="4" t="s">
        <v>11</v>
      </c>
      <c r="F513" s="4" t="str">
        <f t="shared" si="609"/>
        <v>!!!</v>
      </c>
      <c r="G513" s="4" t="str">
        <f t="shared" si="587"/>
        <v>+</v>
      </c>
      <c r="H513" s="4"/>
      <c r="I513" s="4" t="str">
        <f t="shared" si="610"/>
        <v>!!!</v>
      </c>
      <c r="J513" s="4" t="e">
        <f t="shared" si="611"/>
        <v>#VALUE!</v>
      </c>
      <c r="K513" s="4" t="e">
        <f t="shared" si="612"/>
        <v>#VALUE!</v>
      </c>
      <c r="L513" s="4" t="e">
        <f t="shared" si="613"/>
        <v>#VALUE!</v>
      </c>
      <c r="M513" s="4">
        <f t="shared" si="588"/>
        <v>1000</v>
      </c>
      <c r="N513" s="4">
        <f t="shared" ref="N513:O513" si="663">MIN(IFERROR(FIND(" ",$C513,M513+1),1000))</f>
        <v>1000</v>
      </c>
      <c r="O513" s="4">
        <f t="shared" si="663"/>
        <v>1000</v>
      </c>
      <c r="P513" s="4">
        <f t="shared" si="590"/>
        <v>0</v>
      </c>
      <c r="Q513" s="4" t="str">
        <f t="shared" si="619"/>
        <v/>
      </c>
      <c r="R513" s="4" t="str">
        <f t="shared" si="635"/>
        <v/>
      </c>
      <c r="S513" s="4" t="str">
        <f t="shared" si="625"/>
        <v/>
      </c>
      <c r="T513" s="4" t="e">
        <f t="shared" si="591"/>
        <v>#VALUE!</v>
      </c>
      <c r="U513" s="4" t="e">
        <f t="shared" si="592"/>
        <v>#VALUE!</v>
      </c>
      <c r="V513" s="4" t="b">
        <f t="shared" si="583"/>
        <v>0</v>
      </c>
      <c r="W513" s="13" t="str">
        <f t="shared" si="584"/>
        <v>Да</v>
      </c>
      <c r="X513" s="4" t="e">
        <f>(IF(COUNTIFS($G$2:G513,"+",$W$2:W513,"Да")&gt;1,"&amp; ","")&amp;D513&amp;J513&amp;E513&amp;SUBSTITUTE(L513,"""",""))</f>
        <v>#VALUE!</v>
      </c>
      <c r="Y513" s="4" t="e">
        <f t="shared" si="622"/>
        <v>#VALUE!</v>
      </c>
    </row>
    <row r="514" spans="1:25" x14ac:dyDescent="0.3">
      <c r="A514" s="11"/>
      <c r="B514" s="5" t="str">
        <f t="shared" si="585"/>
        <v/>
      </c>
      <c r="C514" s="5" t="str">
        <f t="shared" si="586"/>
        <v/>
      </c>
      <c r="D514" s="4" t="s">
        <v>10</v>
      </c>
      <c r="E514" s="4" t="s">
        <v>11</v>
      </c>
      <c r="F514" s="4" t="str">
        <f t="shared" si="609"/>
        <v>!!!</v>
      </c>
      <c r="G514" s="4" t="str">
        <f t="shared" si="587"/>
        <v>+</v>
      </c>
      <c r="H514" s="4"/>
      <c r="I514" s="4" t="str">
        <f t="shared" si="610"/>
        <v>!!!</v>
      </c>
      <c r="J514" s="4" t="e">
        <f t="shared" si="611"/>
        <v>#VALUE!</v>
      </c>
      <c r="K514" s="4" t="e">
        <f t="shared" si="612"/>
        <v>#VALUE!</v>
      </c>
      <c r="L514" s="4" t="e">
        <f t="shared" si="613"/>
        <v>#VALUE!</v>
      </c>
      <c r="M514" s="4">
        <f t="shared" si="588"/>
        <v>1000</v>
      </c>
      <c r="N514" s="4">
        <f t="shared" ref="N514:O514" si="664">MIN(IFERROR(FIND(" ",$C514,M514+1),1000))</f>
        <v>1000</v>
      </c>
      <c r="O514" s="4">
        <f t="shared" si="664"/>
        <v>1000</v>
      </c>
      <c r="P514" s="4">
        <f t="shared" si="590"/>
        <v>0</v>
      </c>
      <c r="Q514" s="4" t="str">
        <f t="shared" si="619"/>
        <v/>
      </c>
      <c r="R514" s="4" t="str">
        <f t="shared" si="635"/>
        <v/>
      </c>
      <c r="S514" s="4" t="str">
        <f t="shared" si="625"/>
        <v/>
      </c>
      <c r="T514" s="4" t="e">
        <f t="shared" si="591"/>
        <v>#VALUE!</v>
      </c>
      <c r="U514" s="4" t="e">
        <f t="shared" si="592"/>
        <v>#VALUE!</v>
      </c>
      <c r="V514" s="4" t="b">
        <f t="shared" ref="V514:V577" si="665">OR(IFERROR(MATCH(U514,Q:Q,0),0)&lt;&gt;0,IFERROR(MATCH(U514,R:R,0),0)&lt;&gt;0)</f>
        <v>0</v>
      </c>
      <c r="W514" s="13" t="str">
        <f t="shared" ref="W514:W577" si="666">IF(A514="","Да",IF(OR(F514="!!!",NOT(V514)),"Нет","Да"))</f>
        <v>Да</v>
      </c>
      <c r="X514" s="4" t="e">
        <f>(IF(COUNTIFS($G$2:G514,"+",$W$2:W514,"Да")&gt;1,"&amp; ","")&amp;D514&amp;J514&amp;E514&amp;SUBSTITUTE(L514,"""",""))</f>
        <v>#VALUE!</v>
      </c>
      <c r="Y514" s="4" t="e">
        <f t="shared" si="622"/>
        <v>#VALUE!</v>
      </c>
    </row>
    <row r="515" spans="1:25" x14ac:dyDescent="0.3">
      <c r="A515" s="11"/>
      <c r="B515" s="5" t="str">
        <f t="shared" ref="B515:B578" si="667">TRIM(LEFT(A515,IFERROR(FIND("'",A515)-1,1000)))</f>
        <v/>
      </c>
      <c r="C515" s="5" t="str">
        <f t="shared" ref="C515:C578" si="668">SUBSTITUTE(SUBSTITUTE(SUBSTITUTE(SUBSTITUTE(TRIM(LEFT(A515,IFERROR(FIND("'",A515)-1,1000))),"&lt;&lt;","&lt;"),"--","-"),"&gt;&gt;","&gt;"),"&amp;","")</f>
        <v/>
      </c>
      <c r="D515" s="4" t="s">
        <v>10</v>
      </c>
      <c r="E515" s="4" t="s">
        <v>11</v>
      </c>
      <c r="F515" s="4" t="str">
        <f t="shared" si="609"/>
        <v>!!!</v>
      </c>
      <c r="G515" s="4" t="str">
        <f t="shared" ref="G515:G578" si="669">IF(AND($A$2="",$A$3="",$A$4="",$A$5=""),"+",IF(F515="!!!","X","+"))</f>
        <v>+</v>
      </c>
      <c r="H515" s="4"/>
      <c r="I515" s="4" t="str">
        <f t="shared" si="610"/>
        <v>!!!</v>
      </c>
      <c r="J515" s="4" t="e">
        <f t="shared" si="611"/>
        <v>#VALUE!</v>
      </c>
      <c r="K515" s="4" t="e">
        <f t="shared" si="612"/>
        <v>#VALUE!</v>
      </c>
      <c r="L515" s="4" t="e">
        <f t="shared" si="613"/>
        <v>#VALUE!</v>
      </c>
      <c r="M515" s="4">
        <f t="shared" ref="M515:M578" si="670">MIN(IFERROR(FIND(" ",$C515),1000))</f>
        <v>1000</v>
      </c>
      <c r="N515" s="4">
        <f t="shared" ref="N515:O515" si="671">MIN(IFERROR(FIND(" ",$C515,M515+1),1000))</f>
        <v>1000</v>
      </c>
      <c r="O515" s="4">
        <f t="shared" si="671"/>
        <v>1000</v>
      </c>
      <c r="P515" s="4">
        <f t="shared" ref="P515:P578" si="672">MIN(IFERROR(FIND(" ",C515,O515+1),0),IFERROR(FIND("&lt;",C515,O515+1),0),IFERROR(FIND(":",C515,O515+1),0))</f>
        <v>0</v>
      </c>
      <c r="Q515" s="4" t="str">
        <f t="shared" si="619"/>
        <v/>
      </c>
      <c r="R515" s="4" t="str">
        <f t="shared" si="635"/>
        <v/>
      </c>
      <c r="S515" s="4" t="str">
        <f t="shared" si="625"/>
        <v/>
      </c>
      <c r="T515" s="4" t="e">
        <f t="shared" ref="T515:T578" si="673">FIND(" ",C515,FIND("as",C515))+1</f>
        <v>#VALUE!</v>
      </c>
      <c r="U515" s="4" t="e">
        <f t="shared" ref="U515:U578" si="674">MID(C515,T515,MIN(FIND(" ",C515,T515),FIND("&lt;",C515,T515))-T515)</f>
        <v>#VALUE!</v>
      </c>
      <c r="V515" s="4" t="b">
        <f t="shared" si="665"/>
        <v>0</v>
      </c>
      <c r="W515" s="13" t="str">
        <f t="shared" si="666"/>
        <v>Да</v>
      </c>
      <c r="X515" s="4" t="e">
        <f>(IF(COUNTIFS($G$2:G515,"+",$W$2:W515,"Да")&gt;1,"&amp; ","")&amp;D515&amp;J515&amp;E515&amp;SUBSTITUTE(L515,"""",""))</f>
        <v>#VALUE!</v>
      </c>
      <c r="Y515" s="4" t="e">
        <f t="shared" si="622"/>
        <v>#VALUE!</v>
      </c>
    </row>
    <row r="516" spans="1:25" x14ac:dyDescent="0.3">
      <c r="A516" s="11"/>
      <c r="B516" s="5" t="str">
        <f t="shared" si="667"/>
        <v/>
      </c>
      <c r="C516" s="5" t="str">
        <f t="shared" si="668"/>
        <v/>
      </c>
      <c r="D516" s="4" t="s">
        <v>10</v>
      </c>
      <c r="E516" s="4" t="s">
        <v>11</v>
      </c>
      <c r="F516" s="4" t="str">
        <f t="shared" si="609"/>
        <v>!!!</v>
      </c>
      <c r="G516" s="4" t="str">
        <f t="shared" si="669"/>
        <v>+</v>
      </c>
      <c r="H516" s="4"/>
      <c r="I516" s="4" t="str">
        <f t="shared" si="610"/>
        <v>!!!</v>
      </c>
      <c r="J516" s="4" t="e">
        <f t="shared" si="611"/>
        <v>#VALUE!</v>
      </c>
      <c r="K516" s="4" t="e">
        <f t="shared" si="612"/>
        <v>#VALUE!</v>
      </c>
      <c r="L516" s="4" t="e">
        <f t="shared" si="613"/>
        <v>#VALUE!</v>
      </c>
      <c r="M516" s="4">
        <f t="shared" si="670"/>
        <v>1000</v>
      </c>
      <c r="N516" s="4">
        <f t="shared" ref="N516:O516" si="675">MIN(IFERROR(FIND(" ",$C516,M516+1),1000))</f>
        <v>1000</v>
      </c>
      <c r="O516" s="4">
        <f t="shared" si="675"/>
        <v>1000</v>
      </c>
      <c r="P516" s="4">
        <f t="shared" si="672"/>
        <v>0</v>
      </c>
      <c r="Q516" s="4" t="str">
        <f t="shared" si="619"/>
        <v/>
      </c>
      <c r="R516" s="4" t="str">
        <f t="shared" si="635"/>
        <v/>
      </c>
      <c r="S516" s="4" t="str">
        <f t="shared" si="625"/>
        <v/>
      </c>
      <c r="T516" s="4" t="e">
        <f t="shared" si="673"/>
        <v>#VALUE!</v>
      </c>
      <c r="U516" s="4" t="e">
        <f t="shared" si="674"/>
        <v>#VALUE!</v>
      </c>
      <c r="V516" s="4" t="b">
        <f t="shared" si="665"/>
        <v>0</v>
      </c>
      <c r="W516" s="13" t="str">
        <f t="shared" si="666"/>
        <v>Да</v>
      </c>
      <c r="X516" s="4" t="e">
        <f>(IF(COUNTIFS($G$2:G516,"+",$W$2:W516,"Да")&gt;1,"&amp; ","")&amp;D516&amp;J516&amp;E516&amp;SUBSTITUTE(L516,"""",""))</f>
        <v>#VALUE!</v>
      </c>
      <c r="Y516" s="4" t="e">
        <f t="shared" si="622"/>
        <v>#VALUE!</v>
      </c>
    </row>
    <row r="517" spans="1:25" x14ac:dyDescent="0.3">
      <c r="A517" s="11"/>
      <c r="B517" s="5" t="str">
        <f t="shared" si="667"/>
        <v/>
      </c>
      <c r="C517" s="5" t="str">
        <f t="shared" si="668"/>
        <v/>
      </c>
      <c r="D517" s="4" t="s">
        <v>10</v>
      </c>
      <c r="E517" s="4" t="s">
        <v>11</v>
      </c>
      <c r="F517" s="4" t="str">
        <f t="shared" si="609"/>
        <v>!!!</v>
      </c>
      <c r="G517" s="4" t="str">
        <f t="shared" si="669"/>
        <v>+</v>
      </c>
      <c r="H517" s="4"/>
      <c r="I517" s="4" t="str">
        <f t="shared" si="610"/>
        <v>!!!</v>
      </c>
      <c r="J517" s="4" t="e">
        <f t="shared" si="611"/>
        <v>#VALUE!</v>
      </c>
      <c r="K517" s="4" t="e">
        <f t="shared" si="612"/>
        <v>#VALUE!</v>
      </c>
      <c r="L517" s="4" t="e">
        <f t="shared" si="613"/>
        <v>#VALUE!</v>
      </c>
      <c r="M517" s="4">
        <f t="shared" si="670"/>
        <v>1000</v>
      </c>
      <c r="N517" s="4">
        <f t="shared" ref="N517:O517" si="676">MIN(IFERROR(FIND(" ",$C517,M517+1),1000))</f>
        <v>1000</v>
      </c>
      <c r="O517" s="4">
        <f t="shared" si="676"/>
        <v>1000</v>
      </c>
      <c r="P517" s="4">
        <f t="shared" si="672"/>
        <v>0</v>
      </c>
      <c r="Q517" s="4" t="str">
        <f t="shared" si="619"/>
        <v/>
      </c>
      <c r="R517" s="4" t="str">
        <f t="shared" si="635"/>
        <v/>
      </c>
      <c r="S517" s="4" t="str">
        <f t="shared" si="625"/>
        <v/>
      </c>
      <c r="T517" s="4" t="e">
        <f t="shared" si="673"/>
        <v>#VALUE!</v>
      </c>
      <c r="U517" s="4" t="e">
        <f t="shared" si="674"/>
        <v>#VALUE!</v>
      </c>
      <c r="V517" s="4" t="b">
        <f t="shared" si="665"/>
        <v>0</v>
      </c>
      <c r="W517" s="13" t="str">
        <f t="shared" si="666"/>
        <v>Да</v>
      </c>
      <c r="X517" s="4" t="e">
        <f>(IF(COUNTIFS($G$2:G517,"+",$W$2:W517,"Да")&gt;1,"&amp; ","")&amp;D517&amp;J517&amp;E517&amp;SUBSTITUTE(L517,"""",""))</f>
        <v>#VALUE!</v>
      </c>
      <c r="Y517" s="4" t="e">
        <f t="shared" si="622"/>
        <v>#VALUE!</v>
      </c>
    </row>
    <row r="518" spans="1:25" x14ac:dyDescent="0.3">
      <c r="A518" s="11"/>
      <c r="B518" s="5" t="str">
        <f t="shared" si="667"/>
        <v/>
      </c>
      <c r="C518" s="5" t="str">
        <f t="shared" si="668"/>
        <v/>
      </c>
      <c r="D518" s="4" t="s">
        <v>10</v>
      </c>
      <c r="E518" s="4" t="s">
        <v>11</v>
      </c>
      <c r="F518" s="4" t="str">
        <f t="shared" si="609"/>
        <v>!!!</v>
      </c>
      <c r="G518" s="4" t="str">
        <f t="shared" si="669"/>
        <v>+</v>
      </c>
      <c r="H518" s="4"/>
      <c r="I518" s="4" t="str">
        <f t="shared" si="610"/>
        <v>!!!</v>
      </c>
      <c r="J518" s="4" t="e">
        <f t="shared" si="611"/>
        <v>#VALUE!</v>
      </c>
      <c r="K518" s="4" t="e">
        <f t="shared" si="612"/>
        <v>#VALUE!</v>
      </c>
      <c r="L518" s="4" t="e">
        <f t="shared" si="613"/>
        <v>#VALUE!</v>
      </c>
      <c r="M518" s="4">
        <f t="shared" si="670"/>
        <v>1000</v>
      </c>
      <c r="N518" s="4">
        <f t="shared" ref="N518:O518" si="677">MIN(IFERROR(FIND(" ",$C518,M518+1),1000))</f>
        <v>1000</v>
      </c>
      <c r="O518" s="4">
        <f t="shared" si="677"/>
        <v>1000</v>
      </c>
      <c r="P518" s="4">
        <f t="shared" si="672"/>
        <v>0</v>
      </c>
      <c r="Q518" s="4" t="str">
        <f t="shared" si="619"/>
        <v/>
      </c>
      <c r="R518" s="4" t="str">
        <f t="shared" si="635"/>
        <v/>
      </c>
      <c r="S518" s="4" t="str">
        <f t="shared" si="625"/>
        <v/>
      </c>
      <c r="T518" s="4" t="e">
        <f t="shared" si="673"/>
        <v>#VALUE!</v>
      </c>
      <c r="U518" s="4" t="e">
        <f t="shared" si="674"/>
        <v>#VALUE!</v>
      </c>
      <c r="V518" s="4" t="b">
        <f t="shared" si="665"/>
        <v>0</v>
      </c>
      <c r="W518" s="13" t="str">
        <f t="shared" si="666"/>
        <v>Да</v>
      </c>
      <c r="X518" s="4" t="e">
        <f>(IF(COUNTIFS($G$2:G518,"+",$W$2:W518,"Да")&gt;1,"&amp; ","")&amp;D518&amp;J518&amp;E518&amp;SUBSTITUTE(L518,"""",""))</f>
        <v>#VALUE!</v>
      </c>
      <c r="Y518" s="4" t="e">
        <f t="shared" si="622"/>
        <v>#VALUE!</v>
      </c>
    </row>
    <row r="519" spans="1:25" x14ac:dyDescent="0.3">
      <c r="A519" s="11"/>
      <c r="B519" s="5" t="str">
        <f t="shared" si="667"/>
        <v/>
      </c>
      <c r="C519" s="5" t="str">
        <f t="shared" si="668"/>
        <v/>
      </c>
      <c r="D519" s="4" t="s">
        <v>10</v>
      </c>
      <c r="E519" s="4" t="s">
        <v>11</v>
      </c>
      <c r="F519" s="4" t="str">
        <f t="shared" si="609"/>
        <v>!!!</v>
      </c>
      <c r="G519" s="4" t="str">
        <f t="shared" si="669"/>
        <v>+</v>
      </c>
      <c r="H519" s="4"/>
      <c r="I519" s="4" t="str">
        <f t="shared" si="610"/>
        <v>!!!</v>
      </c>
      <c r="J519" s="4" t="e">
        <f t="shared" si="611"/>
        <v>#VALUE!</v>
      </c>
      <c r="K519" s="4" t="e">
        <f t="shared" si="612"/>
        <v>#VALUE!</v>
      </c>
      <c r="L519" s="4" t="e">
        <f t="shared" si="613"/>
        <v>#VALUE!</v>
      </c>
      <c r="M519" s="4">
        <f t="shared" si="670"/>
        <v>1000</v>
      </c>
      <c r="N519" s="4">
        <f t="shared" ref="N519:O519" si="678">MIN(IFERROR(FIND(" ",$C519,M519+1),1000))</f>
        <v>1000</v>
      </c>
      <c r="O519" s="4">
        <f t="shared" si="678"/>
        <v>1000</v>
      </c>
      <c r="P519" s="4">
        <f t="shared" si="672"/>
        <v>0</v>
      </c>
      <c r="Q519" s="4" t="str">
        <f t="shared" si="619"/>
        <v/>
      </c>
      <c r="R519" s="4" t="str">
        <f t="shared" si="635"/>
        <v/>
      </c>
      <c r="S519" s="4" t="str">
        <f t="shared" si="625"/>
        <v/>
      </c>
      <c r="T519" s="4" t="e">
        <f t="shared" si="673"/>
        <v>#VALUE!</v>
      </c>
      <c r="U519" s="4" t="e">
        <f t="shared" si="674"/>
        <v>#VALUE!</v>
      </c>
      <c r="V519" s="4" t="b">
        <f t="shared" si="665"/>
        <v>0</v>
      </c>
      <c r="W519" s="13" t="str">
        <f t="shared" si="666"/>
        <v>Да</v>
      </c>
      <c r="X519" s="4" t="e">
        <f>(IF(COUNTIFS($G$2:G519,"+",$W$2:W519,"Да")&gt;1,"&amp; ","")&amp;D519&amp;J519&amp;E519&amp;SUBSTITUTE(L519,"""",""))</f>
        <v>#VALUE!</v>
      </c>
      <c r="Y519" s="4" t="e">
        <f t="shared" si="622"/>
        <v>#VALUE!</v>
      </c>
    </row>
    <row r="520" spans="1:25" x14ac:dyDescent="0.3">
      <c r="A520" s="11"/>
      <c r="B520" s="5" t="str">
        <f t="shared" si="667"/>
        <v/>
      </c>
      <c r="C520" s="5" t="str">
        <f t="shared" si="668"/>
        <v/>
      </c>
      <c r="D520" s="4" t="s">
        <v>10</v>
      </c>
      <c r="E520" s="4" t="s">
        <v>11</v>
      </c>
      <c r="F520" s="4" t="str">
        <f t="shared" si="609"/>
        <v>!!!</v>
      </c>
      <c r="G520" s="4" t="str">
        <f t="shared" si="669"/>
        <v>+</v>
      </c>
      <c r="H520" s="4"/>
      <c r="I520" s="4" t="str">
        <f t="shared" si="610"/>
        <v>!!!</v>
      </c>
      <c r="J520" s="4" t="e">
        <f t="shared" si="611"/>
        <v>#VALUE!</v>
      </c>
      <c r="K520" s="4" t="e">
        <f t="shared" si="612"/>
        <v>#VALUE!</v>
      </c>
      <c r="L520" s="4" t="e">
        <f t="shared" si="613"/>
        <v>#VALUE!</v>
      </c>
      <c r="M520" s="4">
        <f t="shared" si="670"/>
        <v>1000</v>
      </c>
      <c r="N520" s="4">
        <f t="shared" ref="N520:O520" si="679">MIN(IFERROR(FIND(" ",$C520,M520+1),1000))</f>
        <v>1000</v>
      </c>
      <c r="O520" s="4">
        <f t="shared" si="679"/>
        <v>1000</v>
      </c>
      <c r="P520" s="4">
        <f t="shared" si="672"/>
        <v>0</v>
      </c>
      <c r="Q520" s="4" t="str">
        <f t="shared" si="619"/>
        <v/>
      </c>
      <c r="R520" s="4" t="str">
        <f t="shared" si="635"/>
        <v/>
      </c>
      <c r="S520" s="4" t="str">
        <f t="shared" si="625"/>
        <v/>
      </c>
      <c r="T520" s="4" t="e">
        <f t="shared" si="673"/>
        <v>#VALUE!</v>
      </c>
      <c r="U520" s="4" t="e">
        <f t="shared" si="674"/>
        <v>#VALUE!</v>
      </c>
      <c r="V520" s="4" t="b">
        <f t="shared" si="665"/>
        <v>0</v>
      </c>
      <c r="W520" s="13" t="str">
        <f t="shared" si="666"/>
        <v>Да</v>
      </c>
      <c r="X520" s="4" t="e">
        <f>(IF(COUNTIFS($G$2:G520,"+",$W$2:W520,"Да")&gt;1,"&amp; ","")&amp;D520&amp;J520&amp;E520&amp;SUBSTITUTE(L520,"""",""))</f>
        <v>#VALUE!</v>
      </c>
      <c r="Y520" s="4" t="e">
        <f t="shared" si="622"/>
        <v>#VALUE!</v>
      </c>
    </row>
    <row r="521" spans="1:25" x14ac:dyDescent="0.3">
      <c r="A521" s="11"/>
      <c r="B521" s="5" t="str">
        <f t="shared" si="667"/>
        <v/>
      </c>
      <c r="C521" s="5" t="str">
        <f t="shared" si="668"/>
        <v/>
      </c>
      <c r="D521" s="4" t="s">
        <v>10</v>
      </c>
      <c r="E521" s="4" t="s">
        <v>11</v>
      </c>
      <c r="F521" s="4" t="str">
        <f t="shared" si="609"/>
        <v>!!!</v>
      </c>
      <c r="G521" s="4" t="str">
        <f t="shared" si="669"/>
        <v>+</v>
      </c>
      <c r="H521" s="4"/>
      <c r="I521" s="4" t="str">
        <f t="shared" si="610"/>
        <v>!!!</v>
      </c>
      <c r="J521" s="4" t="e">
        <f t="shared" si="611"/>
        <v>#VALUE!</v>
      </c>
      <c r="K521" s="4" t="e">
        <f t="shared" si="612"/>
        <v>#VALUE!</v>
      </c>
      <c r="L521" s="4" t="e">
        <f t="shared" si="613"/>
        <v>#VALUE!</v>
      </c>
      <c r="M521" s="4">
        <f t="shared" si="670"/>
        <v>1000</v>
      </c>
      <c r="N521" s="4">
        <f t="shared" ref="N521:O521" si="680">MIN(IFERROR(FIND(" ",$C521,M521+1),1000))</f>
        <v>1000</v>
      </c>
      <c r="O521" s="4">
        <f t="shared" si="680"/>
        <v>1000</v>
      </c>
      <c r="P521" s="4">
        <f t="shared" si="672"/>
        <v>0</v>
      </c>
      <c r="Q521" s="4" t="str">
        <f t="shared" si="619"/>
        <v/>
      </c>
      <c r="R521" s="4" t="str">
        <f t="shared" si="635"/>
        <v/>
      </c>
      <c r="S521" s="4" t="str">
        <f t="shared" si="625"/>
        <v/>
      </c>
      <c r="T521" s="4" t="e">
        <f t="shared" si="673"/>
        <v>#VALUE!</v>
      </c>
      <c r="U521" s="4" t="e">
        <f t="shared" si="674"/>
        <v>#VALUE!</v>
      </c>
      <c r="V521" s="4" t="b">
        <f t="shared" si="665"/>
        <v>0</v>
      </c>
      <c r="W521" s="13" t="str">
        <f t="shared" si="666"/>
        <v>Да</v>
      </c>
      <c r="X521" s="4" t="e">
        <f>(IF(COUNTIFS($G$2:G521,"+",$W$2:W521,"Да")&gt;1,"&amp; ","")&amp;D521&amp;J521&amp;E521&amp;SUBSTITUTE(L521,"""",""))</f>
        <v>#VALUE!</v>
      </c>
      <c r="Y521" s="4" t="e">
        <f t="shared" si="622"/>
        <v>#VALUE!</v>
      </c>
    </row>
    <row r="522" spans="1:25" x14ac:dyDescent="0.3">
      <c r="A522" s="11"/>
      <c r="B522" s="5" t="str">
        <f t="shared" si="667"/>
        <v/>
      </c>
      <c r="C522" s="5" t="str">
        <f t="shared" si="668"/>
        <v/>
      </c>
      <c r="D522" s="4" t="s">
        <v>10</v>
      </c>
      <c r="E522" s="4" t="s">
        <v>11</v>
      </c>
      <c r="F522" s="4" t="str">
        <f t="shared" si="609"/>
        <v>!!!</v>
      </c>
      <c r="G522" s="4" t="str">
        <f t="shared" si="669"/>
        <v>+</v>
      </c>
      <c r="H522" s="4"/>
      <c r="I522" s="4" t="str">
        <f t="shared" si="610"/>
        <v>!!!</v>
      </c>
      <c r="J522" s="4" t="e">
        <f t="shared" si="611"/>
        <v>#VALUE!</v>
      </c>
      <c r="K522" s="4" t="e">
        <f t="shared" si="612"/>
        <v>#VALUE!</v>
      </c>
      <c r="L522" s="4" t="e">
        <f t="shared" si="613"/>
        <v>#VALUE!</v>
      </c>
      <c r="M522" s="4">
        <f t="shared" si="670"/>
        <v>1000</v>
      </c>
      <c r="N522" s="4">
        <f t="shared" ref="N522:O522" si="681">MIN(IFERROR(FIND(" ",$C522,M522+1),1000))</f>
        <v>1000</v>
      </c>
      <c r="O522" s="4">
        <f t="shared" si="681"/>
        <v>1000</v>
      </c>
      <c r="P522" s="4">
        <f t="shared" si="672"/>
        <v>0</v>
      </c>
      <c r="Q522" s="4" t="str">
        <f t="shared" si="619"/>
        <v/>
      </c>
      <c r="R522" s="4" t="str">
        <f t="shared" si="635"/>
        <v/>
      </c>
      <c r="S522" s="4" t="str">
        <f t="shared" si="625"/>
        <v/>
      </c>
      <c r="T522" s="4" t="e">
        <f t="shared" si="673"/>
        <v>#VALUE!</v>
      </c>
      <c r="U522" s="4" t="e">
        <f t="shared" si="674"/>
        <v>#VALUE!</v>
      </c>
      <c r="V522" s="4" t="b">
        <f t="shared" si="665"/>
        <v>0</v>
      </c>
      <c r="W522" s="13" t="str">
        <f t="shared" si="666"/>
        <v>Да</v>
      </c>
      <c r="X522" s="4" t="e">
        <f>(IF(COUNTIFS($G$2:G522,"+",$W$2:W522,"Да")&gt;1,"&amp; ","")&amp;D522&amp;J522&amp;E522&amp;SUBSTITUTE(L522,"""",""))</f>
        <v>#VALUE!</v>
      </c>
      <c r="Y522" s="4" t="e">
        <f t="shared" si="622"/>
        <v>#VALUE!</v>
      </c>
    </row>
    <row r="523" spans="1:25" x14ac:dyDescent="0.3">
      <c r="A523" s="11"/>
      <c r="B523" s="5" t="str">
        <f t="shared" si="667"/>
        <v/>
      </c>
      <c r="C523" s="5" t="str">
        <f t="shared" si="668"/>
        <v/>
      </c>
      <c r="D523" s="4" t="s">
        <v>10</v>
      </c>
      <c r="E523" s="4" t="s">
        <v>11</v>
      </c>
      <c r="F523" s="4" t="str">
        <f t="shared" si="609"/>
        <v>!!!</v>
      </c>
      <c r="G523" s="4" t="str">
        <f t="shared" si="669"/>
        <v>+</v>
      </c>
      <c r="H523" s="4"/>
      <c r="I523" s="4" t="str">
        <f t="shared" si="610"/>
        <v>!!!</v>
      </c>
      <c r="J523" s="4" t="e">
        <f t="shared" si="611"/>
        <v>#VALUE!</v>
      </c>
      <c r="K523" s="4" t="e">
        <f t="shared" si="612"/>
        <v>#VALUE!</v>
      </c>
      <c r="L523" s="4" t="e">
        <f t="shared" si="613"/>
        <v>#VALUE!</v>
      </c>
      <c r="M523" s="4">
        <f t="shared" si="670"/>
        <v>1000</v>
      </c>
      <c r="N523" s="4">
        <f t="shared" ref="N523:O523" si="682">MIN(IFERROR(FIND(" ",$C523,M523+1),1000))</f>
        <v>1000</v>
      </c>
      <c r="O523" s="4">
        <f t="shared" si="682"/>
        <v>1000</v>
      </c>
      <c r="P523" s="4">
        <f t="shared" si="672"/>
        <v>0</v>
      </c>
      <c r="Q523" s="4" t="str">
        <f t="shared" si="619"/>
        <v/>
      </c>
      <c r="R523" s="4" t="str">
        <f t="shared" si="635"/>
        <v/>
      </c>
      <c r="S523" s="4" t="str">
        <f t="shared" si="625"/>
        <v/>
      </c>
      <c r="T523" s="4" t="e">
        <f t="shared" si="673"/>
        <v>#VALUE!</v>
      </c>
      <c r="U523" s="4" t="e">
        <f t="shared" si="674"/>
        <v>#VALUE!</v>
      </c>
      <c r="V523" s="4" t="b">
        <f t="shared" si="665"/>
        <v>0</v>
      </c>
      <c r="W523" s="13" t="str">
        <f t="shared" si="666"/>
        <v>Да</v>
      </c>
      <c r="X523" s="4" t="e">
        <f>(IF(COUNTIFS($G$2:G523,"+",$W$2:W523,"Да")&gt;1,"&amp; ","")&amp;D523&amp;J523&amp;E523&amp;SUBSTITUTE(L523,"""",""))</f>
        <v>#VALUE!</v>
      </c>
      <c r="Y523" s="4" t="e">
        <f t="shared" si="622"/>
        <v>#VALUE!</v>
      </c>
    </row>
    <row r="524" spans="1:25" x14ac:dyDescent="0.3">
      <c r="A524" s="11"/>
      <c r="B524" s="5" t="str">
        <f t="shared" si="667"/>
        <v/>
      </c>
      <c r="C524" s="5" t="str">
        <f t="shared" si="668"/>
        <v/>
      </c>
      <c r="D524" s="4" t="s">
        <v>10</v>
      </c>
      <c r="E524" s="4" t="s">
        <v>11</v>
      </c>
      <c r="F524" s="4" t="str">
        <f t="shared" si="609"/>
        <v>!!!</v>
      </c>
      <c r="G524" s="4" t="str">
        <f t="shared" si="669"/>
        <v>+</v>
      </c>
      <c r="H524" s="4"/>
      <c r="I524" s="4" t="str">
        <f t="shared" si="610"/>
        <v>!!!</v>
      </c>
      <c r="J524" s="4" t="e">
        <f t="shared" si="611"/>
        <v>#VALUE!</v>
      </c>
      <c r="K524" s="4" t="e">
        <f t="shared" si="612"/>
        <v>#VALUE!</v>
      </c>
      <c r="L524" s="4" t="e">
        <f t="shared" si="613"/>
        <v>#VALUE!</v>
      </c>
      <c r="M524" s="4">
        <f t="shared" si="670"/>
        <v>1000</v>
      </c>
      <c r="N524" s="4">
        <f t="shared" ref="N524:O524" si="683">MIN(IFERROR(FIND(" ",$C524,M524+1),1000))</f>
        <v>1000</v>
      </c>
      <c r="O524" s="4">
        <f t="shared" si="683"/>
        <v>1000</v>
      </c>
      <c r="P524" s="4">
        <f t="shared" si="672"/>
        <v>0</v>
      </c>
      <c r="Q524" s="4" t="str">
        <f t="shared" si="619"/>
        <v/>
      </c>
      <c r="R524" s="4" t="str">
        <f t="shared" si="635"/>
        <v/>
      </c>
      <c r="S524" s="4" t="str">
        <f t="shared" si="625"/>
        <v/>
      </c>
      <c r="T524" s="4" t="e">
        <f t="shared" si="673"/>
        <v>#VALUE!</v>
      </c>
      <c r="U524" s="4" t="e">
        <f t="shared" si="674"/>
        <v>#VALUE!</v>
      </c>
      <c r="V524" s="4" t="b">
        <f t="shared" si="665"/>
        <v>0</v>
      </c>
      <c r="W524" s="13" t="str">
        <f t="shared" si="666"/>
        <v>Да</v>
      </c>
      <c r="X524" s="4" t="e">
        <f>(IF(COUNTIFS($G$2:G524,"+",$W$2:W524,"Да")&gt;1,"&amp; ","")&amp;D524&amp;J524&amp;E524&amp;SUBSTITUTE(L524,"""",""))</f>
        <v>#VALUE!</v>
      </c>
      <c r="Y524" s="4" t="e">
        <f t="shared" si="622"/>
        <v>#VALUE!</v>
      </c>
    </row>
    <row r="525" spans="1:25" x14ac:dyDescent="0.3">
      <c r="A525" s="11"/>
      <c r="B525" s="5" t="str">
        <f t="shared" si="667"/>
        <v/>
      </c>
      <c r="C525" s="5" t="str">
        <f t="shared" si="668"/>
        <v/>
      </c>
      <c r="D525" s="4" t="s">
        <v>10</v>
      </c>
      <c r="E525" s="4" t="s">
        <v>11</v>
      </c>
      <c r="F525" s="4" t="str">
        <f t="shared" si="609"/>
        <v>!!!</v>
      </c>
      <c r="G525" s="4" t="str">
        <f t="shared" si="669"/>
        <v>+</v>
      </c>
      <c r="H525" s="4"/>
      <c r="I525" s="4" t="str">
        <f t="shared" si="610"/>
        <v>!!!</v>
      </c>
      <c r="J525" s="4" t="e">
        <f t="shared" si="611"/>
        <v>#VALUE!</v>
      </c>
      <c r="K525" s="4" t="e">
        <f t="shared" si="612"/>
        <v>#VALUE!</v>
      </c>
      <c r="L525" s="4" t="e">
        <f t="shared" si="613"/>
        <v>#VALUE!</v>
      </c>
      <c r="M525" s="4">
        <f t="shared" si="670"/>
        <v>1000</v>
      </c>
      <c r="N525" s="4">
        <f t="shared" ref="N525:O525" si="684">MIN(IFERROR(FIND(" ",$C525,M525+1),1000))</f>
        <v>1000</v>
      </c>
      <c r="O525" s="4">
        <f t="shared" si="684"/>
        <v>1000</v>
      </c>
      <c r="P525" s="4">
        <f t="shared" si="672"/>
        <v>0</v>
      </c>
      <c r="Q525" s="4" t="str">
        <f t="shared" si="619"/>
        <v/>
      </c>
      <c r="R525" s="4" t="str">
        <f t="shared" si="635"/>
        <v/>
      </c>
      <c r="S525" s="4" t="str">
        <f t="shared" si="625"/>
        <v/>
      </c>
      <c r="T525" s="4" t="e">
        <f t="shared" si="673"/>
        <v>#VALUE!</v>
      </c>
      <c r="U525" s="4" t="e">
        <f t="shared" si="674"/>
        <v>#VALUE!</v>
      </c>
      <c r="V525" s="4" t="b">
        <f t="shared" si="665"/>
        <v>0</v>
      </c>
      <c r="W525" s="13" t="str">
        <f t="shared" si="666"/>
        <v>Да</v>
      </c>
      <c r="X525" s="4" t="e">
        <f>(IF(COUNTIFS($G$2:G525,"+",$W$2:W525,"Да")&gt;1,"&amp; ","")&amp;D525&amp;J525&amp;E525&amp;SUBSTITUTE(L525,"""",""))</f>
        <v>#VALUE!</v>
      </c>
      <c r="Y525" s="4" t="e">
        <f t="shared" si="622"/>
        <v>#VALUE!</v>
      </c>
    </row>
    <row r="526" spans="1:25" x14ac:dyDescent="0.3">
      <c r="A526" s="11"/>
      <c r="B526" s="5" t="str">
        <f t="shared" si="667"/>
        <v/>
      </c>
      <c r="C526" s="5" t="str">
        <f t="shared" si="668"/>
        <v/>
      </c>
      <c r="D526" s="4" t="s">
        <v>10</v>
      </c>
      <c r="E526" s="4" t="s">
        <v>11</v>
      </c>
      <c r="F526" s="4" t="str">
        <f t="shared" si="609"/>
        <v>!!!</v>
      </c>
      <c r="G526" s="4" t="str">
        <f t="shared" si="669"/>
        <v>+</v>
      </c>
      <c r="H526" s="4"/>
      <c r="I526" s="4" t="str">
        <f t="shared" si="610"/>
        <v>!!!</v>
      </c>
      <c r="J526" s="4" t="e">
        <f t="shared" si="611"/>
        <v>#VALUE!</v>
      </c>
      <c r="K526" s="4" t="e">
        <f t="shared" si="612"/>
        <v>#VALUE!</v>
      </c>
      <c r="L526" s="4" t="e">
        <f t="shared" si="613"/>
        <v>#VALUE!</v>
      </c>
      <c r="M526" s="4">
        <f t="shared" si="670"/>
        <v>1000</v>
      </c>
      <c r="N526" s="4">
        <f t="shared" ref="N526:O526" si="685">MIN(IFERROR(FIND(" ",$C526,M526+1),1000))</f>
        <v>1000</v>
      </c>
      <c r="O526" s="4">
        <f t="shared" si="685"/>
        <v>1000</v>
      </c>
      <c r="P526" s="4">
        <f t="shared" si="672"/>
        <v>0</v>
      </c>
      <c r="Q526" s="4" t="str">
        <f t="shared" si="619"/>
        <v/>
      </c>
      <c r="R526" s="4" t="str">
        <f t="shared" si="635"/>
        <v/>
      </c>
      <c r="S526" s="4" t="str">
        <f t="shared" si="625"/>
        <v/>
      </c>
      <c r="T526" s="4" t="e">
        <f t="shared" si="673"/>
        <v>#VALUE!</v>
      </c>
      <c r="U526" s="4" t="e">
        <f t="shared" si="674"/>
        <v>#VALUE!</v>
      </c>
      <c r="V526" s="4" t="b">
        <f t="shared" si="665"/>
        <v>0</v>
      </c>
      <c r="W526" s="13" t="str">
        <f t="shared" si="666"/>
        <v>Да</v>
      </c>
      <c r="X526" s="4" t="e">
        <f>(IF(COUNTIFS($G$2:G526,"+",$W$2:W526,"Да")&gt;1,"&amp; ","")&amp;D526&amp;J526&amp;E526&amp;SUBSTITUTE(L526,"""",""))</f>
        <v>#VALUE!</v>
      </c>
      <c r="Y526" s="4" t="e">
        <f t="shared" si="622"/>
        <v>#VALUE!</v>
      </c>
    </row>
    <row r="527" spans="1:25" x14ac:dyDescent="0.3">
      <c r="A527" s="11"/>
      <c r="B527" s="5" t="str">
        <f t="shared" si="667"/>
        <v/>
      </c>
      <c r="C527" s="5" t="str">
        <f t="shared" si="668"/>
        <v/>
      </c>
      <c r="D527" s="4" t="s">
        <v>10</v>
      </c>
      <c r="E527" s="4" t="s">
        <v>11</v>
      </c>
      <c r="F527" s="4" t="str">
        <f t="shared" si="609"/>
        <v>!!!</v>
      </c>
      <c r="G527" s="4" t="str">
        <f t="shared" si="669"/>
        <v>+</v>
      </c>
      <c r="H527" s="4"/>
      <c r="I527" s="4" t="str">
        <f t="shared" si="610"/>
        <v>!!!</v>
      </c>
      <c r="J527" s="4" t="e">
        <f t="shared" si="611"/>
        <v>#VALUE!</v>
      </c>
      <c r="K527" s="4" t="e">
        <f t="shared" si="612"/>
        <v>#VALUE!</v>
      </c>
      <c r="L527" s="4" t="e">
        <f t="shared" si="613"/>
        <v>#VALUE!</v>
      </c>
      <c r="M527" s="4">
        <f t="shared" si="670"/>
        <v>1000</v>
      </c>
      <c r="N527" s="4">
        <f t="shared" ref="N527:O527" si="686">MIN(IFERROR(FIND(" ",$C527,M527+1),1000))</f>
        <v>1000</v>
      </c>
      <c r="O527" s="4">
        <f t="shared" si="686"/>
        <v>1000</v>
      </c>
      <c r="P527" s="4">
        <f t="shared" si="672"/>
        <v>0</v>
      </c>
      <c r="Q527" s="4" t="str">
        <f t="shared" si="619"/>
        <v/>
      </c>
      <c r="R527" s="4" t="str">
        <f t="shared" si="635"/>
        <v/>
      </c>
      <c r="S527" s="4" t="str">
        <f t="shared" si="625"/>
        <v/>
      </c>
      <c r="T527" s="4" t="e">
        <f t="shared" si="673"/>
        <v>#VALUE!</v>
      </c>
      <c r="U527" s="4" t="e">
        <f t="shared" si="674"/>
        <v>#VALUE!</v>
      </c>
      <c r="V527" s="4" t="b">
        <f t="shared" si="665"/>
        <v>0</v>
      </c>
      <c r="W527" s="13" t="str">
        <f t="shared" si="666"/>
        <v>Да</v>
      </c>
      <c r="X527" s="4" t="e">
        <f>(IF(COUNTIFS($G$2:G527,"+",$W$2:W527,"Да")&gt;1,"&amp; ","")&amp;D527&amp;J527&amp;E527&amp;SUBSTITUTE(L527,"""",""))</f>
        <v>#VALUE!</v>
      </c>
      <c r="Y527" s="4" t="e">
        <f t="shared" si="622"/>
        <v>#VALUE!</v>
      </c>
    </row>
    <row r="528" spans="1:25" x14ac:dyDescent="0.3">
      <c r="A528" s="11"/>
      <c r="B528" s="5" t="str">
        <f t="shared" si="667"/>
        <v/>
      </c>
      <c r="C528" s="5" t="str">
        <f t="shared" si="668"/>
        <v/>
      </c>
      <c r="D528" s="4" t="s">
        <v>10</v>
      </c>
      <c r="E528" s="4" t="s">
        <v>11</v>
      </c>
      <c r="F528" s="4" t="str">
        <f t="shared" si="609"/>
        <v>!!!</v>
      </c>
      <c r="G528" s="4" t="str">
        <f t="shared" si="669"/>
        <v>+</v>
      </c>
      <c r="H528" s="4"/>
      <c r="I528" s="4" t="str">
        <f t="shared" si="610"/>
        <v>!!!</v>
      </c>
      <c r="J528" s="4" t="e">
        <f t="shared" si="611"/>
        <v>#VALUE!</v>
      </c>
      <c r="K528" s="4" t="e">
        <f t="shared" si="612"/>
        <v>#VALUE!</v>
      </c>
      <c r="L528" s="4" t="e">
        <f t="shared" si="613"/>
        <v>#VALUE!</v>
      </c>
      <c r="M528" s="4">
        <f t="shared" si="670"/>
        <v>1000</v>
      </c>
      <c r="N528" s="4">
        <f t="shared" ref="N528:O528" si="687">MIN(IFERROR(FIND(" ",$C528,M528+1),1000))</f>
        <v>1000</v>
      </c>
      <c r="O528" s="4">
        <f t="shared" si="687"/>
        <v>1000</v>
      </c>
      <c r="P528" s="4">
        <f t="shared" si="672"/>
        <v>0</v>
      </c>
      <c r="Q528" s="4" t="str">
        <f t="shared" si="619"/>
        <v/>
      </c>
      <c r="R528" s="4" t="str">
        <f t="shared" si="635"/>
        <v/>
      </c>
      <c r="S528" s="4" t="str">
        <f t="shared" si="625"/>
        <v/>
      </c>
      <c r="T528" s="4" t="e">
        <f t="shared" si="673"/>
        <v>#VALUE!</v>
      </c>
      <c r="U528" s="4" t="e">
        <f t="shared" si="674"/>
        <v>#VALUE!</v>
      </c>
      <c r="V528" s="4" t="b">
        <f t="shared" si="665"/>
        <v>0</v>
      </c>
      <c r="W528" s="13" t="str">
        <f t="shared" si="666"/>
        <v>Да</v>
      </c>
      <c r="X528" s="4" t="e">
        <f>(IF(COUNTIFS($G$2:G528,"+",$W$2:W528,"Да")&gt;1,"&amp; ","")&amp;D528&amp;J528&amp;E528&amp;SUBSTITUTE(L528,"""",""))</f>
        <v>#VALUE!</v>
      </c>
      <c r="Y528" s="4" t="e">
        <f t="shared" si="622"/>
        <v>#VALUE!</v>
      </c>
    </row>
    <row r="529" spans="1:25" x14ac:dyDescent="0.3">
      <c r="A529" s="11"/>
      <c r="B529" s="5" t="str">
        <f t="shared" si="667"/>
        <v/>
      </c>
      <c r="C529" s="5" t="str">
        <f t="shared" si="668"/>
        <v/>
      </c>
      <c r="D529" s="4" t="s">
        <v>10</v>
      </c>
      <c r="E529" s="4" t="s">
        <v>11</v>
      </c>
      <c r="F529" s="4" t="str">
        <f t="shared" si="609"/>
        <v>!!!</v>
      </c>
      <c r="G529" s="4" t="str">
        <f t="shared" si="669"/>
        <v>+</v>
      </c>
      <c r="H529" s="4"/>
      <c r="I529" s="4" t="str">
        <f t="shared" si="610"/>
        <v>!!!</v>
      </c>
      <c r="J529" s="4" t="e">
        <f t="shared" si="611"/>
        <v>#VALUE!</v>
      </c>
      <c r="K529" s="4" t="e">
        <f t="shared" si="612"/>
        <v>#VALUE!</v>
      </c>
      <c r="L529" s="4" t="e">
        <f t="shared" si="613"/>
        <v>#VALUE!</v>
      </c>
      <c r="M529" s="4">
        <f t="shared" si="670"/>
        <v>1000</v>
      </c>
      <c r="N529" s="4">
        <f t="shared" ref="N529:O529" si="688">MIN(IFERROR(FIND(" ",$C529,M529+1),1000))</f>
        <v>1000</v>
      </c>
      <c r="O529" s="4">
        <f t="shared" si="688"/>
        <v>1000</v>
      </c>
      <c r="P529" s="4">
        <f t="shared" si="672"/>
        <v>0</v>
      </c>
      <c r="Q529" s="4" t="str">
        <f t="shared" si="619"/>
        <v/>
      </c>
      <c r="R529" s="4" t="str">
        <f t="shared" si="635"/>
        <v/>
      </c>
      <c r="S529" s="4" t="str">
        <f t="shared" si="625"/>
        <v/>
      </c>
      <c r="T529" s="4" t="e">
        <f t="shared" si="673"/>
        <v>#VALUE!</v>
      </c>
      <c r="U529" s="4" t="e">
        <f t="shared" si="674"/>
        <v>#VALUE!</v>
      </c>
      <c r="V529" s="4" t="b">
        <f t="shared" si="665"/>
        <v>0</v>
      </c>
      <c r="W529" s="13" t="str">
        <f t="shared" si="666"/>
        <v>Да</v>
      </c>
      <c r="X529" s="4" t="e">
        <f>(IF(COUNTIFS($G$2:G529,"+",$W$2:W529,"Да")&gt;1,"&amp; ","")&amp;D529&amp;J529&amp;E529&amp;SUBSTITUTE(L529,"""",""))</f>
        <v>#VALUE!</v>
      </c>
      <c r="Y529" s="4" t="e">
        <f t="shared" si="622"/>
        <v>#VALUE!</v>
      </c>
    </row>
    <row r="530" spans="1:25" x14ac:dyDescent="0.3">
      <c r="A530" s="11"/>
      <c r="B530" s="5" t="str">
        <f t="shared" si="667"/>
        <v/>
      </c>
      <c r="C530" s="5" t="str">
        <f t="shared" si="668"/>
        <v/>
      </c>
      <c r="D530" s="4" t="s">
        <v>10</v>
      </c>
      <c r="E530" s="4" t="s">
        <v>11</v>
      </c>
      <c r="F530" s="4" t="str">
        <f t="shared" si="609"/>
        <v>!!!</v>
      </c>
      <c r="G530" s="4" t="str">
        <f t="shared" si="669"/>
        <v>+</v>
      </c>
      <c r="H530" s="4"/>
      <c r="I530" s="4" t="str">
        <f t="shared" si="610"/>
        <v>!!!</v>
      </c>
      <c r="J530" s="4" t="e">
        <f t="shared" si="611"/>
        <v>#VALUE!</v>
      </c>
      <c r="K530" s="4" t="e">
        <f t="shared" si="612"/>
        <v>#VALUE!</v>
      </c>
      <c r="L530" s="4" t="e">
        <f t="shared" si="613"/>
        <v>#VALUE!</v>
      </c>
      <c r="M530" s="4">
        <f t="shared" si="670"/>
        <v>1000</v>
      </c>
      <c r="N530" s="4">
        <f t="shared" ref="N530:O530" si="689">MIN(IFERROR(FIND(" ",$C530,M530+1),1000))</f>
        <v>1000</v>
      </c>
      <c r="O530" s="4">
        <f t="shared" si="689"/>
        <v>1000</v>
      </c>
      <c r="P530" s="4">
        <f t="shared" si="672"/>
        <v>0</v>
      </c>
      <c r="Q530" s="4" t="str">
        <f t="shared" si="619"/>
        <v/>
      </c>
      <c r="R530" s="4" t="str">
        <f t="shared" si="635"/>
        <v/>
      </c>
      <c r="S530" s="4" t="str">
        <f t="shared" si="625"/>
        <v/>
      </c>
      <c r="T530" s="4" t="e">
        <f t="shared" si="673"/>
        <v>#VALUE!</v>
      </c>
      <c r="U530" s="4" t="e">
        <f t="shared" si="674"/>
        <v>#VALUE!</v>
      </c>
      <c r="V530" s="4" t="b">
        <f t="shared" si="665"/>
        <v>0</v>
      </c>
      <c r="W530" s="13" t="str">
        <f t="shared" si="666"/>
        <v>Да</v>
      </c>
      <c r="X530" s="4" t="e">
        <f>(IF(COUNTIFS($G$2:G530,"+",$W$2:W530,"Да")&gt;1,"&amp; ","")&amp;D530&amp;J530&amp;E530&amp;SUBSTITUTE(L530,"""",""))</f>
        <v>#VALUE!</v>
      </c>
      <c r="Y530" s="4" t="e">
        <f t="shared" si="622"/>
        <v>#VALUE!</v>
      </c>
    </row>
    <row r="531" spans="1:25" x14ac:dyDescent="0.3">
      <c r="A531" s="11"/>
      <c r="B531" s="5" t="str">
        <f t="shared" si="667"/>
        <v/>
      </c>
      <c r="C531" s="5" t="str">
        <f t="shared" si="668"/>
        <v/>
      </c>
      <c r="D531" s="4" t="s">
        <v>10</v>
      </c>
      <c r="E531" s="4" t="s">
        <v>11</v>
      </c>
      <c r="F531" s="4" t="str">
        <f t="shared" si="609"/>
        <v>!!!</v>
      </c>
      <c r="G531" s="4" t="str">
        <f t="shared" si="669"/>
        <v>+</v>
      </c>
      <c r="H531" s="4"/>
      <c r="I531" s="4" t="str">
        <f t="shared" si="610"/>
        <v>!!!</v>
      </c>
      <c r="J531" s="4" t="e">
        <f t="shared" si="611"/>
        <v>#VALUE!</v>
      </c>
      <c r="K531" s="4" t="e">
        <f t="shared" si="612"/>
        <v>#VALUE!</v>
      </c>
      <c r="L531" s="4" t="e">
        <f t="shared" si="613"/>
        <v>#VALUE!</v>
      </c>
      <c r="M531" s="4">
        <f t="shared" si="670"/>
        <v>1000</v>
      </c>
      <c r="N531" s="4">
        <f t="shared" ref="N531:O531" si="690">MIN(IFERROR(FIND(" ",$C531,M531+1),1000))</f>
        <v>1000</v>
      </c>
      <c r="O531" s="4">
        <f t="shared" si="690"/>
        <v>1000</v>
      </c>
      <c r="P531" s="4">
        <f t="shared" si="672"/>
        <v>0</v>
      </c>
      <c r="Q531" s="4" t="str">
        <f t="shared" si="619"/>
        <v/>
      </c>
      <c r="R531" s="4" t="str">
        <f t="shared" si="635"/>
        <v/>
      </c>
      <c r="S531" s="4" t="str">
        <f t="shared" si="625"/>
        <v/>
      </c>
      <c r="T531" s="4" t="e">
        <f t="shared" si="673"/>
        <v>#VALUE!</v>
      </c>
      <c r="U531" s="4" t="e">
        <f t="shared" si="674"/>
        <v>#VALUE!</v>
      </c>
      <c r="V531" s="4" t="b">
        <f t="shared" si="665"/>
        <v>0</v>
      </c>
      <c r="W531" s="13" t="str">
        <f t="shared" si="666"/>
        <v>Да</v>
      </c>
      <c r="X531" s="4" t="e">
        <f>(IF(COUNTIFS($G$2:G531,"+",$W$2:W531,"Да")&gt;1,"&amp; ","")&amp;D531&amp;J531&amp;E531&amp;SUBSTITUTE(L531,"""",""))</f>
        <v>#VALUE!</v>
      </c>
      <c r="Y531" s="4" t="e">
        <f t="shared" si="622"/>
        <v>#VALUE!</v>
      </c>
    </row>
    <row r="532" spans="1:25" x14ac:dyDescent="0.3">
      <c r="A532" s="11"/>
      <c r="B532" s="5" t="str">
        <f t="shared" si="667"/>
        <v/>
      </c>
      <c r="C532" s="5" t="str">
        <f t="shared" si="668"/>
        <v/>
      </c>
      <c r="D532" s="4" t="s">
        <v>10</v>
      </c>
      <c r="E532" s="4" t="s">
        <v>11</v>
      </c>
      <c r="F532" s="4" t="str">
        <f t="shared" ref="F532:F595" si="691">IFERROR(SEARCH(" as ",B532),"!!!")</f>
        <v>!!!</v>
      </c>
      <c r="G532" s="4" t="str">
        <f t="shared" si="669"/>
        <v>+</v>
      </c>
      <c r="H532" s="4"/>
      <c r="I532" s="4" t="str">
        <f t="shared" ref="I532:I595" si="692">IFERROR(SEARCH(" ",B532),"!!!")</f>
        <v>!!!</v>
      </c>
      <c r="J532" s="4" t="e">
        <f t="shared" ref="J532:J595" si="693">RIGHT(B532,LEN(B532)-F532-3)</f>
        <v>#VALUE!</v>
      </c>
      <c r="K532" s="4" t="e">
        <f t="shared" ref="K532:K595" si="694">MID(B532,I532+1,F532-I532)</f>
        <v>#VALUE!</v>
      </c>
      <c r="L532" s="4" t="e">
        <f t="shared" ref="L532:L595" si="695">MID(B532,I532+1,F532-I532)</f>
        <v>#VALUE!</v>
      </c>
      <c r="M532" s="4">
        <f t="shared" si="670"/>
        <v>1000</v>
      </c>
      <c r="N532" s="4">
        <f t="shared" ref="N532:O532" si="696">MIN(IFERROR(FIND(" ",$C532,M532+1),1000))</f>
        <v>1000</v>
      </c>
      <c r="O532" s="4">
        <f t="shared" si="696"/>
        <v>1000</v>
      </c>
      <c r="P532" s="4">
        <f t="shared" si="672"/>
        <v>0</v>
      </c>
      <c r="Q532" s="4" t="str">
        <f t="shared" si="619"/>
        <v/>
      </c>
      <c r="R532" s="4" t="str">
        <f t="shared" si="635"/>
        <v/>
      </c>
      <c r="S532" s="4" t="str">
        <f t="shared" si="625"/>
        <v/>
      </c>
      <c r="T532" s="4" t="e">
        <f t="shared" si="673"/>
        <v>#VALUE!</v>
      </c>
      <c r="U532" s="4" t="e">
        <f t="shared" si="674"/>
        <v>#VALUE!</v>
      </c>
      <c r="V532" s="4" t="b">
        <f t="shared" si="665"/>
        <v>0</v>
      </c>
      <c r="W532" s="13" t="str">
        <f t="shared" si="666"/>
        <v>Да</v>
      </c>
      <c r="X532" s="4" t="e">
        <f>(IF(COUNTIFS($G$2:G532,"+",$W$2:W532,"Да")&gt;1,"&amp; ","")&amp;D532&amp;J532&amp;E532&amp;SUBSTITUTE(L532,"""",""))</f>
        <v>#VALUE!</v>
      </c>
      <c r="Y532" s="4" t="e">
        <f t="shared" si="622"/>
        <v>#VALUE!</v>
      </c>
    </row>
    <row r="533" spans="1:25" x14ac:dyDescent="0.3">
      <c r="A533" s="11"/>
      <c r="B533" s="5" t="str">
        <f t="shared" si="667"/>
        <v/>
      </c>
      <c r="C533" s="5" t="str">
        <f t="shared" si="668"/>
        <v/>
      </c>
      <c r="D533" s="4" t="s">
        <v>10</v>
      </c>
      <c r="E533" s="4" t="s">
        <v>11</v>
      </c>
      <c r="F533" s="4" t="str">
        <f t="shared" si="691"/>
        <v>!!!</v>
      </c>
      <c r="G533" s="4" t="str">
        <f t="shared" si="669"/>
        <v>+</v>
      </c>
      <c r="H533" s="4"/>
      <c r="I533" s="4" t="str">
        <f t="shared" si="692"/>
        <v>!!!</v>
      </c>
      <c r="J533" s="4" t="e">
        <f t="shared" si="693"/>
        <v>#VALUE!</v>
      </c>
      <c r="K533" s="4" t="e">
        <f t="shared" si="694"/>
        <v>#VALUE!</v>
      </c>
      <c r="L533" s="4" t="e">
        <f t="shared" si="695"/>
        <v>#VALUE!</v>
      </c>
      <c r="M533" s="4">
        <f t="shared" si="670"/>
        <v>1000</v>
      </c>
      <c r="N533" s="4">
        <f t="shared" ref="N533:O533" si="697">MIN(IFERROR(FIND(" ",$C533,M533+1),1000))</f>
        <v>1000</v>
      </c>
      <c r="O533" s="4">
        <f t="shared" si="697"/>
        <v>1000</v>
      </c>
      <c r="P533" s="4">
        <f t="shared" si="672"/>
        <v>0</v>
      </c>
      <c r="Q533" s="4" t="str">
        <f t="shared" si="619"/>
        <v/>
      </c>
      <c r="R533" s="4" t="str">
        <f t="shared" si="635"/>
        <v/>
      </c>
      <c r="S533" s="4" t="str">
        <f t="shared" si="625"/>
        <v/>
      </c>
      <c r="T533" s="4" t="e">
        <f t="shared" si="673"/>
        <v>#VALUE!</v>
      </c>
      <c r="U533" s="4" t="e">
        <f t="shared" si="674"/>
        <v>#VALUE!</v>
      </c>
      <c r="V533" s="4" t="b">
        <f t="shared" si="665"/>
        <v>0</v>
      </c>
      <c r="W533" s="13" t="str">
        <f t="shared" si="666"/>
        <v>Да</v>
      </c>
      <c r="X533" s="4" t="e">
        <f>(IF(COUNTIFS($G$2:G533,"+",$W$2:W533,"Да")&gt;1,"&amp; ","")&amp;D533&amp;J533&amp;E533&amp;SUBSTITUTE(L533,"""",""))</f>
        <v>#VALUE!</v>
      </c>
      <c r="Y533" s="4" t="e">
        <f t="shared" si="622"/>
        <v>#VALUE!</v>
      </c>
    </row>
    <row r="534" spans="1:25" x14ac:dyDescent="0.3">
      <c r="A534" s="11"/>
      <c r="B534" s="5" t="str">
        <f t="shared" si="667"/>
        <v/>
      </c>
      <c r="C534" s="5" t="str">
        <f t="shared" si="668"/>
        <v/>
      </c>
      <c r="D534" s="4" t="s">
        <v>10</v>
      </c>
      <c r="E534" s="4" t="s">
        <v>11</v>
      </c>
      <c r="F534" s="4" t="str">
        <f t="shared" si="691"/>
        <v>!!!</v>
      </c>
      <c r="G534" s="4" t="str">
        <f t="shared" si="669"/>
        <v>+</v>
      </c>
      <c r="H534" s="4"/>
      <c r="I534" s="4" t="str">
        <f t="shared" si="692"/>
        <v>!!!</v>
      </c>
      <c r="J534" s="4" t="e">
        <f t="shared" si="693"/>
        <v>#VALUE!</v>
      </c>
      <c r="K534" s="4" t="e">
        <f t="shared" si="694"/>
        <v>#VALUE!</v>
      </c>
      <c r="L534" s="4" t="e">
        <f t="shared" si="695"/>
        <v>#VALUE!</v>
      </c>
      <c r="M534" s="4">
        <f t="shared" si="670"/>
        <v>1000</v>
      </c>
      <c r="N534" s="4">
        <f t="shared" ref="N534:O534" si="698">MIN(IFERROR(FIND(" ",$C534,M534+1),1000))</f>
        <v>1000</v>
      </c>
      <c r="O534" s="4">
        <f t="shared" si="698"/>
        <v>1000</v>
      </c>
      <c r="P534" s="4">
        <f t="shared" si="672"/>
        <v>0</v>
      </c>
      <c r="Q534" s="4" t="str">
        <f t="shared" si="619"/>
        <v/>
      </c>
      <c r="R534" s="4" t="str">
        <f t="shared" si="635"/>
        <v/>
      </c>
      <c r="S534" s="4" t="str">
        <f t="shared" si="625"/>
        <v/>
      </c>
      <c r="T534" s="4" t="e">
        <f t="shared" si="673"/>
        <v>#VALUE!</v>
      </c>
      <c r="U534" s="4" t="e">
        <f t="shared" si="674"/>
        <v>#VALUE!</v>
      </c>
      <c r="V534" s="4" t="b">
        <f t="shared" si="665"/>
        <v>0</v>
      </c>
      <c r="W534" s="13" t="str">
        <f t="shared" si="666"/>
        <v>Да</v>
      </c>
      <c r="X534" s="4" t="e">
        <f>(IF(COUNTIFS($G$2:G534,"+",$W$2:W534,"Да")&gt;1,"&amp; ","")&amp;D534&amp;J534&amp;E534&amp;SUBSTITUTE(L534,"""",""))</f>
        <v>#VALUE!</v>
      </c>
      <c r="Y534" s="4" t="e">
        <f t="shared" si="622"/>
        <v>#VALUE!</v>
      </c>
    </row>
    <row r="535" spans="1:25" x14ac:dyDescent="0.3">
      <c r="A535" s="11"/>
      <c r="B535" s="5" t="str">
        <f t="shared" si="667"/>
        <v/>
      </c>
      <c r="C535" s="5" t="str">
        <f t="shared" si="668"/>
        <v/>
      </c>
      <c r="D535" s="4" t="s">
        <v>10</v>
      </c>
      <c r="E535" s="4" t="s">
        <v>11</v>
      </c>
      <c r="F535" s="4" t="str">
        <f t="shared" si="691"/>
        <v>!!!</v>
      </c>
      <c r="G535" s="4" t="str">
        <f t="shared" si="669"/>
        <v>+</v>
      </c>
      <c r="H535" s="4"/>
      <c r="I535" s="4" t="str">
        <f t="shared" si="692"/>
        <v>!!!</v>
      </c>
      <c r="J535" s="4" t="e">
        <f t="shared" si="693"/>
        <v>#VALUE!</v>
      </c>
      <c r="K535" s="4" t="e">
        <f t="shared" si="694"/>
        <v>#VALUE!</v>
      </c>
      <c r="L535" s="4" t="e">
        <f t="shared" si="695"/>
        <v>#VALUE!</v>
      </c>
      <c r="M535" s="4">
        <f t="shared" si="670"/>
        <v>1000</v>
      </c>
      <c r="N535" s="4">
        <f t="shared" ref="N535:O535" si="699">MIN(IFERROR(FIND(" ",$C535,M535+1),1000))</f>
        <v>1000</v>
      </c>
      <c r="O535" s="4">
        <f t="shared" si="699"/>
        <v>1000</v>
      </c>
      <c r="P535" s="4">
        <f t="shared" si="672"/>
        <v>0</v>
      </c>
      <c r="Q535" s="4" t="str">
        <f t="shared" si="619"/>
        <v/>
      </c>
      <c r="R535" s="4" t="str">
        <f t="shared" si="635"/>
        <v/>
      </c>
      <c r="S535" s="4" t="str">
        <f t="shared" si="625"/>
        <v/>
      </c>
      <c r="T535" s="4" t="e">
        <f t="shared" si="673"/>
        <v>#VALUE!</v>
      </c>
      <c r="U535" s="4" t="e">
        <f t="shared" si="674"/>
        <v>#VALUE!</v>
      </c>
      <c r="V535" s="4" t="b">
        <f t="shared" si="665"/>
        <v>0</v>
      </c>
      <c r="W535" s="13" t="str">
        <f t="shared" si="666"/>
        <v>Да</v>
      </c>
      <c r="X535" s="4" t="e">
        <f>(IF(COUNTIFS($G$2:G535,"+",$W$2:W535,"Да")&gt;1,"&amp; ","")&amp;D535&amp;J535&amp;E535&amp;SUBSTITUTE(L535,"""",""))</f>
        <v>#VALUE!</v>
      </c>
      <c r="Y535" s="4" t="e">
        <f t="shared" si="622"/>
        <v>#VALUE!</v>
      </c>
    </row>
    <row r="536" spans="1:25" x14ac:dyDescent="0.3">
      <c r="A536" s="11"/>
      <c r="B536" s="5" t="str">
        <f t="shared" si="667"/>
        <v/>
      </c>
      <c r="C536" s="5" t="str">
        <f t="shared" si="668"/>
        <v/>
      </c>
      <c r="D536" s="4" t="s">
        <v>10</v>
      </c>
      <c r="E536" s="4" t="s">
        <v>11</v>
      </c>
      <c r="F536" s="4" t="str">
        <f t="shared" si="691"/>
        <v>!!!</v>
      </c>
      <c r="G536" s="4" t="str">
        <f t="shared" si="669"/>
        <v>+</v>
      </c>
      <c r="H536" s="4"/>
      <c r="I536" s="4" t="str">
        <f t="shared" si="692"/>
        <v>!!!</v>
      </c>
      <c r="J536" s="4" t="e">
        <f t="shared" si="693"/>
        <v>#VALUE!</v>
      </c>
      <c r="K536" s="4" t="e">
        <f t="shared" si="694"/>
        <v>#VALUE!</v>
      </c>
      <c r="L536" s="4" t="e">
        <f t="shared" si="695"/>
        <v>#VALUE!</v>
      </c>
      <c r="M536" s="4">
        <f t="shared" si="670"/>
        <v>1000</v>
      </c>
      <c r="N536" s="4">
        <f t="shared" ref="N536:O536" si="700">MIN(IFERROR(FIND(" ",$C536,M536+1),1000))</f>
        <v>1000</v>
      </c>
      <c r="O536" s="4">
        <f t="shared" si="700"/>
        <v>1000</v>
      </c>
      <c r="P536" s="4">
        <f t="shared" si="672"/>
        <v>0</v>
      </c>
      <c r="Q536" s="4" t="str">
        <f t="shared" ref="Q536:Q599" si="701">LEFT(C536,M536-1)</f>
        <v/>
      </c>
      <c r="R536" s="4" t="str">
        <f t="shared" si="635"/>
        <v/>
      </c>
      <c r="S536" s="4" t="str">
        <f t="shared" si="625"/>
        <v/>
      </c>
      <c r="T536" s="4" t="e">
        <f t="shared" si="673"/>
        <v>#VALUE!</v>
      </c>
      <c r="U536" s="4" t="e">
        <f t="shared" si="674"/>
        <v>#VALUE!</v>
      </c>
      <c r="V536" s="4" t="b">
        <f t="shared" si="665"/>
        <v>0</v>
      </c>
      <c r="W536" s="13" t="str">
        <f t="shared" si="666"/>
        <v>Да</v>
      </c>
      <c r="X536" s="4" t="e">
        <f>(IF(COUNTIFS($G$2:G536,"+",$W$2:W536,"Да")&gt;1,"&amp; ","")&amp;D536&amp;J536&amp;E536&amp;SUBSTITUTE(L536,"""",""))</f>
        <v>#VALUE!</v>
      </c>
      <c r="Y536" s="4" t="e">
        <f t="shared" si="622"/>
        <v>#VALUE!</v>
      </c>
    </row>
    <row r="537" spans="1:25" x14ac:dyDescent="0.3">
      <c r="A537" s="11"/>
      <c r="B537" s="5" t="str">
        <f t="shared" si="667"/>
        <v/>
      </c>
      <c r="C537" s="5" t="str">
        <f t="shared" si="668"/>
        <v/>
      </c>
      <c r="D537" s="4" t="s">
        <v>10</v>
      </c>
      <c r="E537" s="4" t="s">
        <v>11</v>
      </c>
      <c r="F537" s="4" t="str">
        <f t="shared" si="691"/>
        <v>!!!</v>
      </c>
      <c r="G537" s="4" t="str">
        <f t="shared" si="669"/>
        <v>+</v>
      </c>
      <c r="H537" s="4"/>
      <c r="I537" s="4" t="str">
        <f t="shared" si="692"/>
        <v>!!!</v>
      </c>
      <c r="J537" s="4" t="e">
        <f t="shared" si="693"/>
        <v>#VALUE!</v>
      </c>
      <c r="K537" s="4" t="e">
        <f t="shared" si="694"/>
        <v>#VALUE!</v>
      </c>
      <c r="L537" s="4" t="e">
        <f t="shared" si="695"/>
        <v>#VALUE!</v>
      </c>
      <c r="M537" s="4">
        <f t="shared" si="670"/>
        <v>1000</v>
      </c>
      <c r="N537" s="4">
        <f t="shared" ref="N537:O537" si="702">MIN(IFERROR(FIND(" ",$C537,M537+1),1000))</f>
        <v>1000</v>
      </c>
      <c r="O537" s="4">
        <f t="shared" si="702"/>
        <v>1000</v>
      </c>
      <c r="P537" s="4">
        <f t="shared" si="672"/>
        <v>0</v>
      </c>
      <c r="Q537" s="4" t="str">
        <f t="shared" si="701"/>
        <v/>
      </c>
      <c r="R537" s="4" t="str">
        <f t="shared" si="635"/>
        <v/>
      </c>
      <c r="S537" s="4" t="str">
        <f t="shared" si="625"/>
        <v/>
      </c>
      <c r="T537" s="4" t="e">
        <f t="shared" si="673"/>
        <v>#VALUE!</v>
      </c>
      <c r="U537" s="4" t="e">
        <f t="shared" si="674"/>
        <v>#VALUE!</v>
      </c>
      <c r="V537" s="4" t="b">
        <f t="shared" si="665"/>
        <v>0</v>
      </c>
      <c r="W537" s="13" t="str">
        <f t="shared" si="666"/>
        <v>Да</v>
      </c>
      <c r="X537" s="4" t="e">
        <f>(IF(COUNTIFS($G$2:G537,"+",$W$2:W537,"Да")&gt;1,"&amp; ","")&amp;D537&amp;J537&amp;E537&amp;SUBSTITUTE(L537,"""",""))</f>
        <v>#VALUE!</v>
      </c>
      <c r="Y537" s="4" t="e">
        <f t="shared" si="622"/>
        <v>#VALUE!</v>
      </c>
    </row>
    <row r="538" spans="1:25" x14ac:dyDescent="0.3">
      <c r="A538" s="11"/>
      <c r="B538" s="5" t="str">
        <f t="shared" si="667"/>
        <v/>
      </c>
      <c r="C538" s="5" t="str">
        <f t="shared" si="668"/>
        <v/>
      </c>
      <c r="D538" s="4" t="s">
        <v>10</v>
      </c>
      <c r="E538" s="4" t="s">
        <v>11</v>
      </c>
      <c r="F538" s="4" t="str">
        <f t="shared" si="691"/>
        <v>!!!</v>
      </c>
      <c r="G538" s="4" t="str">
        <f t="shared" si="669"/>
        <v>+</v>
      </c>
      <c r="H538" s="4"/>
      <c r="I538" s="4" t="str">
        <f t="shared" si="692"/>
        <v>!!!</v>
      </c>
      <c r="J538" s="4" t="e">
        <f t="shared" si="693"/>
        <v>#VALUE!</v>
      </c>
      <c r="K538" s="4" t="e">
        <f t="shared" si="694"/>
        <v>#VALUE!</v>
      </c>
      <c r="L538" s="4" t="e">
        <f t="shared" si="695"/>
        <v>#VALUE!</v>
      </c>
      <c r="M538" s="4">
        <f t="shared" si="670"/>
        <v>1000</v>
      </c>
      <c r="N538" s="4">
        <f t="shared" ref="N538:O538" si="703">MIN(IFERROR(FIND(" ",$C538,M538+1),1000))</f>
        <v>1000</v>
      </c>
      <c r="O538" s="4">
        <f t="shared" si="703"/>
        <v>1000</v>
      </c>
      <c r="P538" s="4">
        <f t="shared" si="672"/>
        <v>0</v>
      </c>
      <c r="Q538" s="4" t="str">
        <f t="shared" si="701"/>
        <v/>
      </c>
      <c r="R538" s="4" t="str">
        <f t="shared" si="635"/>
        <v/>
      </c>
      <c r="S538" s="4" t="str">
        <f t="shared" si="625"/>
        <v/>
      </c>
      <c r="T538" s="4" t="e">
        <f t="shared" si="673"/>
        <v>#VALUE!</v>
      </c>
      <c r="U538" s="4" t="e">
        <f t="shared" si="674"/>
        <v>#VALUE!</v>
      </c>
      <c r="V538" s="4" t="b">
        <f t="shared" si="665"/>
        <v>0</v>
      </c>
      <c r="W538" s="13" t="str">
        <f t="shared" si="666"/>
        <v>Да</v>
      </c>
      <c r="X538" s="4" t="e">
        <f>(IF(COUNTIFS($G$2:G538,"+",$W$2:W538,"Да")&gt;1,"&amp; ","")&amp;D538&amp;J538&amp;E538&amp;SUBSTITUTE(L538,"""",""))</f>
        <v>#VALUE!</v>
      </c>
      <c r="Y538" s="4" t="e">
        <f t="shared" ref="Y538:Y601" si="704">IF(S538="",X538,LEFT(X538,FIND(":",X538))&amp;" "&amp;S538)</f>
        <v>#VALUE!</v>
      </c>
    </row>
    <row r="539" spans="1:25" x14ac:dyDescent="0.3">
      <c r="A539" s="11"/>
      <c r="B539" s="5" t="str">
        <f t="shared" si="667"/>
        <v/>
      </c>
      <c r="C539" s="5" t="str">
        <f t="shared" si="668"/>
        <v/>
      </c>
      <c r="D539" s="4" t="s">
        <v>10</v>
      </c>
      <c r="E539" s="4" t="s">
        <v>11</v>
      </c>
      <c r="F539" s="4" t="str">
        <f t="shared" si="691"/>
        <v>!!!</v>
      </c>
      <c r="G539" s="4" t="str">
        <f t="shared" si="669"/>
        <v>+</v>
      </c>
      <c r="H539" s="4"/>
      <c r="I539" s="4" t="str">
        <f t="shared" si="692"/>
        <v>!!!</v>
      </c>
      <c r="J539" s="4" t="e">
        <f t="shared" si="693"/>
        <v>#VALUE!</v>
      </c>
      <c r="K539" s="4" t="e">
        <f t="shared" si="694"/>
        <v>#VALUE!</v>
      </c>
      <c r="L539" s="4" t="e">
        <f t="shared" si="695"/>
        <v>#VALUE!</v>
      </c>
      <c r="M539" s="4">
        <f t="shared" si="670"/>
        <v>1000</v>
      </c>
      <c r="N539" s="4">
        <f t="shared" ref="N539:O539" si="705">MIN(IFERROR(FIND(" ",$C539,M539+1),1000))</f>
        <v>1000</v>
      </c>
      <c r="O539" s="4">
        <f t="shared" si="705"/>
        <v>1000</v>
      </c>
      <c r="P539" s="4">
        <f t="shared" si="672"/>
        <v>0</v>
      </c>
      <c r="Q539" s="4" t="str">
        <f t="shared" si="701"/>
        <v/>
      </c>
      <c r="R539" s="4" t="str">
        <f t="shared" si="635"/>
        <v/>
      </c>
      <c r="S539" s="4" t="str">
        <f t="shared" si="625"/>
        <v/>
      </c>
      <c r="T539" s="4" t="e">
        <f t="shared" si="673"/>
        <v>#VALUE!</v>
      </c>
      <c r="U539" s="4" t="e">
        <f t="shared" si="674"/>
        <v>#VALUE!</v>
      </c>
      <c r="V539" s="4" t="b">
        <f t="shared" si="665"/>
        <v>0</v>
      </c>
      <c r="W539" s="13" t="str">
        <f t="shared" si="666"/>
        <v>Да</v>
      </c>
      <c r="X539" s="4" t="e">
        <f>(IF(COUNTIFS($G$2:G539,"+",$W$2:W539,"Да")&gt;1,"&amp; ","")&amp;D539&amp;J539&amp;E539&amp;SUBSTITUTE(L539,"""",""))</f>
        <v>#VALUE!</v>
      </c>
      <c r="Y539" s="4" t="e">
        <f t="shared" si="704"/>
        <v>#VALUE!</v>
      </c>
    </row>
    <row r="540" spans="1:25" x14ac:dyDescent="0.3">
      <c r="A540" s="11"/>
      <c r="B540" s="5" t="str">
        <f t="shared" si="667"/>
        <v/>
      </c>
      <c r="C540" s="5" t="str">
        <f t="shared" si="668"/>
        <v/>
      </c>
      <c r="D540" s="4" t="s">
        <v>10</v>
      </c>
      <c r="E540" s="4" t="s">
        <v>11</v>
      </c>
      <c r="F540" s="4" t="str">
        <f t="shared" si="691"/>
        <v>!!!</v>
      </c>
      <c r="G540" s="4" t="str">
        <f t="shared" si="669"/>
        <v>+</v>
      </c>
      <c r="H540" s="4"/>
      <c r="I540" s="4" t="str">
        <f t="shared" si="692"/>
        <v>!!!</v>
      </c>
      <c r="J540" s="4" t="e">
        <f t="shared" si="693"/>
        <v>#VALUE!</v>
      </c>
      <c r="K540" s="4" t="e">
        <f t="shared" si="694"/>
        <v>#VALUE!</v>
      </c>
      <c r="L540" s="4" t="e">
        <f t="shared" si="695"/>
        <v>#VALUE!</v>
      </c>
      <c r="M540" s="4">
        <f t="shared" si="670"/>
        <v>1000</v>
      </c>
      <c r="N540" s="4">
        <f t="shared" ref="N540:O540" si="706">MIN(IFERROR(FIND(" ",$C540,M540+1),1000))</f>
        <v>1000</v>
      </c>
      <c r="O540" s="4">
        <f t="shared" si="706"/>
        <v>1000</v>
      </c>
      <c r="P540" s="4">
        <f t="shared" si="672"/>
        <v>0</v>
      </c>
      <c r="Q540" s="4" t="str">
        <f t="shared" si="701"/>
        <v/>
      </c>
      <c r="R540" s="4" t="str">
        <f t="shared" si="635"/>
        <v/>
      </c>
      <c r="S540" s="4" t="str">
        <f t="shared" ref="S540:S603" si="707">IFERROR(IF(LEFT(A539,1)="'",SUBSTITUTE(A539,"'",""),""),"")</f>
        <v/>
      </c>
      <c r="T540" s="4" t="e">
        <f t="shared" si="673"/>
        <v>#VALUE!</v>
      </c>
      <c r="U540" s="4" t="e">
        <f t="shared" si="674"/>
        <v>#VALUE!</v>
      </c>
      <c r="V540" s="4" t="b">
        <f t="shared" si="665"/>
        <v>0</v>
      </c>
      <c r="W540" s="13" t="str">
        <f t="shared" si="666"/>
        <v>Да</v>
      </c>
      <c r="X540" s="4" t="e">
        <f>(IF(COUNTIFS($G$2:G540,"+",$W$2:W540,"Да")&gt;1,"&amp; ","")&amp;D540&amp;J540&amp;E540&amp;SUBSTITUTE(L540,"""",""))</f>
        <v>#VALUE!</v>
      </c>
      <c r="Y540" s="4" t="e">
        <f t="shared" si="704"/>
        <v>#VALUE!</v>
      </c>
    </row>
    <row r="541" spans="1:25" x14ac:dyDescent="0.3">
      <c r="A541" s="11"/>
      <c r="B541" s="5" t="str">
        <f t="shared" si="667"/>
        <v/>
      </c>
      <c r="C541" s="5" t="str">
        <f t="shared" si="668"/>
        <v/>
      </c>
      <c r="D541" s="4" t="s">
        <v>10</v>
      </c>
      <c r="E541" s="4" t="s">
        <v>11</v>
      </c>
      <c r="F541" s="4" t="str">
        <f t="shared" si="691"/>
        <v>!!!</v>
      </c>
      <c r="G541" s="4" t="str">
        <f t="shared" si="669"/>
        <v>+</v>
      </c>
      <c r="H541" s="4"/>
      <c r="I541" s="4" t="str">
        <f t="shared" si="692"/>
        <v>!!!</v>
      </c>
      <c r="J541" s="4" t="e">
        <f t="shared" si="693"/>
        <v>#VALUE!</v>
      </c>
      <c r="K541" s="4" t="e">
        <f t="shared" si="694"/>
        <v>#VALUE!</v>
      </c>
      <c r="L541" s="4" t="e">
        <f t="shared" si="695"/>
        <v>#VALUE!</v>
      </c>
      <c r="M541" s="4">
        <f t="shared" si="670"/>
        <v>1000</v>
      </c>
      <c r="N541" s="4">
        <f t="shared" ref="N541:O541" si="708">MIN(IFERROR(FIND(" ",$C541,M541+1),1000))</f>
        <v>1000</v>
      </c>
      <c r="O541" s="4">
        <f t="shared" si="708"/>
        <v>1000</v>
      </c>
      <c r="P541" s="4">
        <f t="shared" si="672"/>
        <v>0</v>
      </c>
      <c r="Q541" s="4" t="str">
        <f t="shared" si="701"/>
        <v/>
      </c>
      <c r="R541" s="4" t="str">
        <f t="shared" si="635"/>
        <v/>
      </c>
      <c r="S541" s="4" t="str">
        <f t="shared" si="707"/>
        <v/>
      </c>
      <c r="T541" s="4" t="e">
        <f t="shared" si="673"/>
        <v>#VALUE!</v>
      </c>
      <c r="U541" s="4" t="e">
        <f t="shared" si="674"/>
        <v>#VALUE!</v>
      </c>
      <c r="V541" s="4" t="b">
        <f t="shared" si="665"/>
        <v>0</v>
      </c>
      <c r="W541" s="13" t="str">
        <f t="shared" si="666"/>
        <v>Да</v>
      </c>
      <c r="X541" s="4" t="e">
        <f>(IF(COUNTIFS($G$2:G541,"+",$W$2:W541,"Да")&gt;1,"&amp; ","")&amp;D541&amp;J541&amp;E541&amp;SUBSTITUTE(L541,"""",""))</f>
        <v>#VALUE!</v>
      </c>
      <c r="Y541" s="4" t="e">
        <f t="shared" si="704"/>
        <v>#VALUE!</v>
      </c>
    </row>
    <row r="542" spans="1:25" x14ac:dyDescent="0.3">
      <c r="A542" s="11"/>
      <c r="B542" s="5" t="str">
        <f t="shared" si="667"/>
        <v/>
      </c>
      <c r="C542" s="5" t="str">
        <f t="shared" si="668"/>
        <v/>
      </c>
      <c r="D542" s="4" t="s">
        <v>10</v>
      </c>
      <c r="E542" s="4" t="s">
        <v>11</v>
      </c>
      <c r="F542" s="4" t="str">
        <f t="shared" si="691"/>
        <v>!!!</v>
      </c>
      <c r="G542" s="4" t="str">
        <f t="shared" si="669"/>
        <v>+</v>
      </c>
      <c r="H542" s="4"/>
      <c r="I542" s="4" t="str">
        <f t="shared" si="692"/>
        <v>!!!</v>
      </c>
      <c r="J542" s="4" t="e">
        <f t="shared" si="693"/>
        <v>#VALUE!</v>
      </c>
      <c r="K542" s="4" t="e">
        <f t="shared" si="694"/>
        <v>#VALUE!</v>
      </c>
      <c r="L542" s="4" t="e">
        <f t="shared" si="695"/>
        <v>#VALUE!</v>
      </c>
      <c r="M542" s="4">
        <f t="shared" si="670"/>
        <v>1000</v>
      </c>
      <c r="N542" s="4">
        <f t="shared" ref="N542:O542" si="709">MIN(IFERROR(FIND(" ",$C542,M542+1),1000))</f>
        <v>1000</v>
      </c>
      <c r="O542" s="4">
        <f t="shared" si="709"/>
        <v>1000</v>
      </c>
      <c r="P542" s="4">
        <f t="shared" si="672"/>
        <v>0</v>
      </c>
      <c r="Q542" s="4" t="str">
        <f t="shared" si="701"/>
        <v/>
      </c>
      <c r="R542" s="4" t="str">
        <f t="shared" si="635"/>
        <v/>
      </c>
      <c r="S542" s="4" t="str">
        <f t="shared" si="707"/>
        <v/>
      </c>
      <c r="T542" s="4" t="e">
        <f t="shared" si="673"/>
        <v>#VALUE!</v>
      </c>
      <c r="U542" s="4" t="e">
        <f t="shared" si="674"/>
        <v>#VALUE!</v>
      </c>
      <c r="V542" s="4" t="b">
        <f t="shared" si="665"/>
        <v>0</v>
      </c>
      <c r="W542" s="13" t="str">
        <f t="shared" si="666"/>
        <v>Да</v>
      </c>
      <c r="X542" s="4" t="e">
        <f>(IF(COUNTIFS($G$2:G542,"+",$W$2:W542,"Да")&gt;1,"&amp; ","")&amp;D542&amp;J542&amp;E542&amp;SUBSTITUTE(L542,"""",""))</f>
        <v>#VALUE!</v>
      </c>
      <c r="Y542" s="4" t="e">
        <f t="shared" si="704"/>
        <v>#VALUE!</v>
      </c>
    </row>
    <row r="543" spans="1:25" x14ac:dyDescent="0.3">
      <c r="A543" s="11"/>
      <c r="B543" s="5" t="str">
        <f t="shared" si="667"/>
        <v/>
      </c>
      <c r="C543" s="5" t="str">
        <f t="shared" si="668"/>
        <v/>
      </c>
      <c r="D543" s="4" t="s">
        <v>10</v>
      </c>
      <c r="E543" s="4" t="s">
        <v>11</v>
      </c>
      <c r="F543" s="4" t="str">
        <f t="shared" si="691"/>
        <v>!!!</v>
      </c>
      <c r="G543" s="4" t="str">
        <f t="shared" si="669"/>
        <v>+</v>
      </c>
      <c r="H543" s="4"/>
      <c r="I543" s="4" t="str">
        <f t="shared" si="692"/>
        <v>!!!</v>
      </c>
      <c r="J543" s="4" t="e">
        <f t="shared" si="693"/>
        <v>#VALUE!</v>
      </c>
      <c r="K543" s="4" t="e">
        <f t="shared" si="694"/>
        <v>#VALUE!</v>
      </c>
      <c r="L543" s="4" t="e">
        <f t="shared" si="695"/>
        <v>#VALUE!</v>
      </c>
      <c r="M543" s="4">
        <f t="shared" si="670"/>
        <v>1000</v>
      </c>
      <c r="N543" s="4">
        <f t="shared" ref="N543:O543" si="710">MIN(IFERROR(FIND(" ",$C543,M543+1),1000))</f>
        <v>1000</v>
      </c>
      <c r="O543" s="4">
        <f t="shared" si="710"/>
        <v>1000</v>
      </c>
      <c r="P543" s="4">
        <f t="shared" si="672"/>
        <v>0</v>
      </c>
      <c r="Q543" s="4" t="str">
        <f t="shared" si="701"/>
        <v/>
      </c>
      <c r="R543" s="4" t="str">
        <f t="shared" si="635"/>
        <v/>
      </c>
      <c r="S543" s="4" t="str">
        <f t="shared" si="707"/>
        <v/>
      </c>
      <c r="T543" s="4" t="e">
        <f t="shared" si="673"/>
        <v>#VALUE!</v>
      </c>
      <c r="U543" s="4" t="e">
        <f t="shared" si="674"/>
        <v>#VALUE!</v>
      </c>
      <c r="V543" s="4" t="b">
        <f t="shared" si="665"/>
        <v>0</v>
      </c>
      <c r="W543" s="13" t="str">
        <f t="shared" si="666"/>
        <v>Да</v>
      </c>
      <c r="X543" s="4" t="e">
        <f>(IF(COUNTIFS($G$2:G543,"+",$W$2:W543,"Да")&gt;1,"&amp; ","")&amp;D543&amp;J543&amp;E543&amp;SUBSTITUTE(L543,"""",""))</f>
        <v>#VALUE!</v>
      </c>
      <c r="Y543" s="4" t="e">
        <f t="shared" si="704"/>
        <v>#VALUE!</v>
      </c>
    </row>
    <row r="544" spans="1:25" x14ac:dyDescent="0.3">
      <c r="A544" s="11"/>
      <c r="B544" s="5" t="str">
        <f t="shared" si="667"/>
        <v/>
      </c>
      <c r="C544" s="5" t="str">
        <f t="shared" si="668"/>
        <v/>
      </c>
      <c r="D544" s="4" t="s">
        <v>10</v>
      </c>
      <c r="E544" s="4" t="s">
        <v>11</v>
      </c>
      <c r="F544" s="4" t="str">
        <f t="shared" si="691"/>
        <v>!!!</v>
      </c>
      <c r="G544" s="4" t="str">
        <f t="shared" si="669"/>
        <v>+</v>
      </c>
      <c r="H544" s="4"/>
      <c r="I544" s="4" t="str">
        <f t="shared" si="692"/>
        <v>!!!</v>
      </c>
      <c r="J544" s="4" t="e">
        <f t="shared" si="693"/>
        <v>#VALUE!</v>
      </c>
      <c r="K544" s="4" t="e">
        <f t="shared" si="694"/>
        <v>#VALUE!</v>
      </c>
      <c r="L544" s="4" t="e">
        <f t="shared" si="695"/>
        <v>#VALUE!</v>
      </c>
      <c r="M544" s="4">
        <f t="shared" si="670"/>
        <v>1000</v>
      </c>
      <c r="N544" s="4">
        <f t="shared" ref="N544:O544" si="711">MIN(IFERROR(FIND(" ",$C544,M544+1),1000))</f>
        <v>1000</v>
      </c>
      <c r="O544" s="4">
        <f t="shared" si="711"/>
        <v>1000</v>
      </c>
      <c r="P544" s="4">
        <f t="shared" si="672"/>
        <v>0</v>
      </c>
      <c r="Q544" s="4" t="str">
        <f t="shared" si="701"/>
        <v/>
      </c>
      <c r="R544" s="4" t="str">
        <f t="shared" si="635"/>
        <v/>
      </c>
      <c r="S544" s="4" t="str">
        <f t="shared" si="707"/>
        <v/>
      </c>
      <c r="T544" s="4" t="e">
        <f t="shared" si="673"/>
        <v>#VALUE!</v>
      </c>
      <c r="U544" s="4" t="e">
        <f t="shared" si="674"/>
        <v>#VALUE!</v>
      </c>
      <c r="V544" s="4" t="b">
        <f t="shared" si="665"/>
        <v>0</v>
      </c>
      <c r="W544" s="13" t="str">
        <f t="shared" si="666"/>
        <v>Да</v>
      </c>
      <c r="X544" s="4" t="e">
        <f>(IF(COUNTIFS($G$2:G544,"+",$W$2:W544,"Да")&gt;1,"&amp; ","")&amp;D544&amp;J544&amp;E544&amp;SUBSTITUTE(L544,"""",""))</f>
        <v>#VALUE!</v>
      </c>
      <c r="Y544" s="4" t="e">
        <f t="shared" si="704"/>
        <v>#VALUE!</v>
      </c>
    </row>
    <row r="545" spans="1:25" x14ac:dyDescent="0.3">
      <c r="A545" s="11"/>
      <c r="B545" s="5" t="str">
        <f t="shared" si="667"/>
        <v/>
      </c>
      <c r="C545" s="5" t="str">
        <f t="shared" si="668"/>
        <v/>
      </c>
      <c r="D545" s="4" t="s">
        <v>10</v>
      </c>
      <c r="E545" s="4" t="s">
        <v>11</v>
      </c>
      <c r="F545" s="4" t="str">
        <f t="shared" si="691"/>
        <v>!!!</v>
      </c>
      <c r="G545" s="4" t="str">
        <f t="shared" si="669"/>
        <v>+</v>
      </c>
      <c r="H545" s="4"/>
      <c r="I545" s="4" t="str">
        <f t="shared" si="692"/>
        <v>!!!</v>
      </c>
      <c r="J545" s="4" t="e">
        <f t="shared" si="693"/>
        <v>#VALUE!</v>
      </c>
      <c r="K545" s="4" t="e">
        <f t="shared" si="694"/>
        <v>#VALUE!</v>
      </c>
      <c r="L545" s="4" t="e">
        <f t="shared" si="695"/>
        <v>#VALUE!</v>
      </c>
      <c r="M545" s="4">
        <f t="shared" si="670"/>
        <v>1000</v>
      </c>
      <c r="N545" s="4">
        <f t="shared" ref="N545:O545" si="712">MIN(IFERROR(FIND(" ",$C545,M545+1),1000))</f>
        <v>1000</v>
      </c>
      <c r="O545" s="4">
        <f t="shared" si="712"/>
        <v>1000</v>
      </c>
      <c r="P545" s="4">
        <f t="shared" si="672"/>
        <v>0</v>
      </c>
      <c r="Q545" s="4" t="str">
        <f t="shared" si="701"/>
        <v/>
      </c>
      <c r="R545" s="4" t="str">
        <f t="shared" si="635"/>
        <v/>
      </c>
      <c r="S545" s="4" t="str">
        <f t="shared" si="707"/>
        <v/>
      </c>
      <c r="T545" s="4" t="e">
        <f t="shared" si="673"/>
        <v>#VALUE!</v>
      </c>
      <c r="U545" s="4" t="e">
        <f t="shared" si="674"/>
        <v>#VALUE!</v>
      </c>
      <c r="V545" s="4" t="b">
        <f t="shared" si="665"/>
        <v>0</v>
      </c>
      <c r="W545" s="13" t="str">
        <f t="shared" si="666"/>
        <v>Да</v>
      </c>
      <c r="X545" s="4" t="e">
        <f>(IF(COUNTIFS($G$2:G545,"+",$W$2:W545,"Да")&gt;1,"&amp; ","")&amp;D545&amp;J545&amp;E545&amp;SUBSTITUTE(L545,"""",""))</f>
        <v>#VALUE!</v>
      </c>
      <c r="Y545" s="4" t="e">
        <f t="shared" si="704"/>
        <v>#VALUE!</v>
      </c>
    </row>
    <row r="546" spans="1:25" x14ac:dyDescent="0.3">
      <c r="A546" s="11"/>
      <c r="B546" s="5" t="str">
        <f t="shared" si="667"/>
        <v/>
      </c>
      <c r="C546" s="5" t="str">
        <f t="shared" si="668"/>
        <v/>
      </c>
      <c r="D546" s="4" t="s">
        <v>10</v>
      </c>
      <c r="E546" s="4" t="s">
        <v>11</v>
      </c>
      <c r="F546" s="4" t="str">
        <f t="shared" si="691"/>
        <v>!!!</v>
      </c>
      <c r="G546" s="4" t="str">
        <f t="shared" si="669"/>
        <v>+</v>
      </c>
      <c r="H546" s="4"/>
      <c r="I546" s="4" t="str">
        <f t="shared" si="692"/>
        <v>!!!</v>
      </c>
      <c r="J546" s="4" t="e">
        <f t="shared" si="693"/>
        <v>#VALUE!</v>
      </c>
      <c r="K546" s="4" t="e">
        <f t="shared" si="694"/>
        <v>#VALUE!</v>
      </c>
      <c r="L546" s="4" t="e">
        <f t="shared" si="695"/>
        <v>#VALUE!</v>
      </c>
      <c r="M546" s="4">
        <f t="shared" si="670"/>
        <v>1000</v>
      </c>
      <c r="N546" s="4">
        <f t="shared" ref="N546:O546" si="713">MIN(IFERROR(FIND(" ",$C546,M546+1),1000))</f>
        <v>1000</v>
      </c>
      <c r="O546" s="4">
        <f t="shared" si="713"/>
        <v>1000</v>
      </c>
      <c r="P546" s="4">
        <f t="shared" si="672"/>
        <v>0</v>
      </c>
      <c r="Q546" s="4" t="str">
        <f t="shared" si="701"/>
        <v/>
      </c>
      <c r="R546" s="4" t="str">
        <f t="shared" si="635"/>
        <v/>
      </c>
      <c r="S546" s="4" t="str">
        <f t="shared" si="707"/>
        <v/>
      </c>
      <c r="T546" s="4" t="e">
        <f t="shared" si="673"/>
        <v>#VALUE!</v>
      </c>
      <c r="U546" s="4" t="e">
        <f t="shared" si="674"/>
        <v>#VALUE!</v>
      </c>
      <c r="V546" s="4" t="b">
        <f t="shared" si="665"/>
        <v>0</v>
      </c>
      <c r="W546" s="13" t="str">
        <f t="shared" si="666"/>
        <v>Да</v>
      </c>
      <c r="X546" s="4" t="e">
        <f>(IF(COUNTIFS($G$2:G546,"+",$W$2:W546,"Да")&gt;1,"&amp; ","")&amp;D546&amp;J546&amp;E546&amp;SUBSTITUTE(L546,"""",""))</f>
        <v>#VALUE!</v>
      </c>
      <c r="Y546" s="4" t="e">
        <f t="shared" si="704"/>
        <v>#VALUE!</v>
      </c>
    </row>
    <row r="547" spans="1:25" x14ac:dyDescent="0.3">
      <c r="A547" s="11"/>
      <c r="B547" s="5" t="str">
        <f t="shared" si="667"/>
        <v/>
      </c>
      <c r="C547" s="5" t="str">
        <f t="shared" si="668"/>
        <v/>
      </c>
      <c r="D547" s="4" t="s">
        <v>10</v>
      </c>
      <c r="E547" s="4" t="s">
        <v>11</v>
      </c>
      <c r="F547" s="4" t="str">
        <f t="shared" si="691"/>
        <v>!!!</v>
      </c>
      <c r="G547" s="4" t="str">
        <f t="shared" si="669"/>
        <v>+</v>
      </c>
      <c r="H547" s="4"/>
      <c r="I547" s="4" t="str">
        <f t="shared" si="692"/>
        <v>!!!</v>
      </c>
      <c r="J547" s="4" t="e">
        <f t="shared" si="693"/>
        <v>#VALUE!</v>
      </c>
      <c r="K547" s="4" t="e">
        <f t="shared" si="694"/>
        <v>#VALUE!</v>
      </c>
      <c r="L547" s="4" t="e">
        <f t="shared" si="695"/>
        <v>#VALUE!</v>
      </c>
      <c r="M547" s="4">
        <f t="shared" si="670"/>
        <v>1000</v>
      </c>
      <c r="N547" s="4">
        <f t="shared" ref="N547:O547" si="714">MIN(IFERROR(FIND(" ",$C547,M547+1),1000))</f>
        <v>1000</v>
      </c>
      <c r="O547" s="4">
        <f t="shared" si="714"/>
        <v>1000</v>
      </c>
      <c r="P547" s="4">
        <f t="shared" si="672"/>
        <v>0</v>
      </c>
      <c r="Q547" s="4" t="str">
        <f t="shared" si="701"/>
        <v/>
      </c>
      <c r="R547" s="4" t="str">
        <f t="shared" si="635"/>
        <v/>
      </c>
      <c r="S547" s="4" t="str">
        <f t="shared" si="707"/>
        <v/>
      </c>
      <c r="T547" s="4" t="e">
        <f t="shared" si="673"/>
        <v>#VALUE!</v>
      </c>
      <c r="U547" s="4" t="e">
        <f t="shared" si="674"/>
        <v>#VALUE!</v>
      </c>
      <c r="V547" s="4" t="b">
        <f t="shared" si="665"/>
        <v>0</v>
      </c>
      <c r="W547" s="13" t="str">
        <f t="shared" si="666"/>
        <v>Да</v>
      </c>
      <c r="X547" s="4" t="e">
        <f>(IF(COUNTIFS($G$2:G547,"+",$W$2:W547,"Да")&gt;1,"&amp; ","")&amp;D547&amp;J547&amp;E547&amp;SUBSTITUTE(L547,"""",""))</f>
        <v>#VALUE!</v>
      </c>
      <c r="Y547" s="4" t="e">
        <f t="shared" si="704"/>
        <v>#VALUE!</v>
      </c>
    </row>
    <row r="548" spans="1:25" x14ac:dyDescent="0.3">
      <c r="A548" s="11"/>
      <c r="B548" s="5" t="str">
        <f t="shared" si="667"/>
        <v/>
      </c>
      <c r="C548" s="5" t="str">
        <f t="shared" si="668"/>
        <v/>
      </c>
      <c r="D548" s="4" t="s">
        <v>10</v>
      </c>
      <c r="E548" s="4" t="s">
        <v>11</v>
      </c>
      <c r="F548" s="4" t="str">
        <f t="shared" si="691"/>
        <v>!!!</v>
      </c>
      <c r="G548" s="4" t="str">
        <f t="shared" si="669"/>
        <v>+</v>
      </c>
      <c r="H548" s="4"/>
      <c r="I548" s="4" t="str">
        <f t="shared" si="692"/>
        <v>!!!</v>
      </c>
      <c r="J548" s="4" t="e">
        <f t="shared" si="693"/>
        <v>#VALUE!</v>
      </c>
      <c r="K548" s="4" t="e">
        <f t="shared" si="694"/>
        <v>#VALUE!</v>
      </c>
      <c r="L548" s="4" t="e">
        <f t="shared" si="695"/>
        <v>#VALUE!</v>
      </c>
      <c r="M548" s="4">
        <f t="shared" si="670"/>
        <v>1000</v>
      </c>
      <c r="N548" s="4">
        <f t="shared" ref="N548:O548" si="715">MIN(IFERROR(FIND(" ",$C548,M548+1),1000))</f>
        <v>1000</v>
      </c>
      <c r="O548" s="4">
        <f t="shared" si="715"/>
        <v>1000</v>
      </c>
      <c r="P548" s="4">
        <f t="shared" si="672"/>
        <v>0</v>
      </c>
      <c r="Q548" s="4" t="str">
        <f t="shared" si="701"/>
        <v/>
      </c>
      <c r="R548" s="4" t="str">
        <f t="shared" si="635"/>
        <v/>
      </c>
      <c r="S548" s="4" t="str">
        <f t="shared" si="707"/>
        <v/>
      </c>
      <c r="T548" s="4" t="e">
        <f t="shared" si="673"/>
        <v>#VALUE!</v>
      </c>
      <c r="U548" s="4" t="e">
        <f t="shared" si="674"/>
        <v>#VALUE!</v>
      </c>
      <c r="V548" s="4" t="b">
        <f t="shared" si="665"/>
        <v>0</v>
      </c>
      <c r="W548" s="13" t="str">
        <f t="shared" si="666"/>
        <v>Да</v>
      </c>
      <c r="X548" s="4" t="e">
        <f>(IF(COUNTIFS($G$2:G548,"+",$W$2:W548,"Да")&gt;1,"&amp; ","")&amp;D548&amp;J548&amp;E548&amp;SUBSTITUTE(L548,"""",""))</f>
        <v>#VALUE!</v>
      </c>
      <c r="Y548" s="4" t="e">
        <f t="shared" si="704"/>
        <v>#VALUE!</v>
      </c>
    </row>
    <row r="549" spans="1:25" x14ac:dyDescent="0.3">
      <c r="A549" s="11"/>
      <c r="B549" s="5" t="str">
        <f t="shared" si="667"/>
        <v/>
      </c>
      <c r="C549" s="5" t="str">
        <f t="shared" si="668"/>
        <v/>
      </c>
      <c r="D549" s="4" t="s">
        <v>10</v>
      </c>
      <c r="E549" s="4" t="s">
        <v>11</v>
      </c>
      <c r="F549" s="4" t="str">
        <f t="shared" si="691"/>
        <v>!!!</v>
      </c>
      <c r="G549" s="4" t="str">
        <f t="shared" si="669"/>
        <v>+</v>
      </c>
      <c r="H549" s="4"/>
      <c r="I549" s="4" t="str">
        <f t="shared" si="692"/>
        <v>!!!</v>
      </c>
      <c r="J549" s="4" t="e">
        <f t="shared" si="693"/>
        <v>#VALUE!</v>
      </c>
      <c r="K549" s="4" t="e">
        <f t="shared" si="694"/>
        <v>#VALUE!</v>
      </c>
      <c r="L549" s="4" t="e">
        <f t="shared" si="695"/>
        <v>#VALUE!</v>
      </c>
      <c r="M549" s="4">
        <f t="shared" si="670"/>
        <v>1000</v>
      </c>
      <c r="N549" s="4">
        <f t="shared" ref="N549:O549" si="716">MIN(IFERROR(FIND(" ",$C549,M549+1),1000))</f>
        <v>1000</v>
      </c>
      <c r="O549" s="4">
        <f t="shared" si="716"/>
        <v>1000</v>
      </c>
      <c r="P549" s="4">
        <f t="shared" si="672"/>
        <v>0</v>
      </c>
      <c r="Q549" s="4" t="str">
        <f t="shared" si="701"/>
        <v/>
      </c>
      <c r="R549" s="4" t="str">
        <f t="shared" ref="R549:R612" si="717">IFERROR(MID(C549,N549+1,O549-N549-1),"")</f>
        <v/>
      </c>
      <c r="S549" s="4" t="str">
        <f t="shared" si="707"/>
        <v/>
      </c>
      <c r="T549" s="4" t="e">
        <f t="shared" si="673"/>
        <v>#VALUE!</v>
      </c>
      <c r="U549" s="4" t="e">
        <f t="shared" si="674"/>
        <v>#VALUE!</v>
      </c>
      <c r="V549" s="4" t="b">
        <f t="shared" si="665"/>
        <v>0</v>
      </c>
      <c r="W549" s="13" t="str">
        <f t="shared" si="666"/>
        <v>Да</v>
      </c>
      <c r="X549" s="4" t="e">
        <f>(IF(COUNTIFS($G$2:G549,"+",$W$2:W549,"Да")&gt;1,"&amp; ","")&amp;D549&amp;J549&amp;E549&amp;SUBSTITUTE(L549,"""",""))</f>
        <v>#VALUE!</v>
      </c>
      <c r="Y549" s="4" t="e">
        <f t="shared" si="704"/>
        <v>#VALUE!</v>
      </c>
    </row>
    <row r="550" spans="1:25" x14ac:dyDescent="0.3">
      <c r="A550" s="11"/>
      <c r="B550" s="5" t="str">
        <f t="shared" si="667"/>
        <v/>
      </c>
      <c r="C550" s="5" t="str">
        <f t="shared" si="668"/>
        <v/>
      </c>
      <c r="D550" s="4" t="s">
        <v>10</v>
      </c>
      <c r="E550" s="4" t="s">
        <v>11</v>
      </c>
      <c r="F550" s="4" t="str">
        <f t="shared" si="691"/>
        <v>!!!</v>
      </c>
      <c r="G550" s="4" t="str">
        <f t="shared" si="669"/>
        <v>+</v>
      </c>
      <c r="H550" s="4"/>
      <c r="I550" s="4" t="str">
        <f t="shared" si="692"/>
        <v>!!!</v>
      </c>
      <c r="J550" s="4" t="e">
        <f t="shared" si="693"/>
        <v>#VALUE!</v>
      </c>
      <c r="K550" s="4" t="e">
        <f t="shared" si="694"/>
        <v>#VALUE!</v>
      </c>
      <c r="L550" s="4" t="e">
        <f t="shared" si="695"/>
        <v>#VALUE!</v>
      </c>
      <c r="M550" s="4">
        <f t="shared" si="670"/>
        <v>1000</v>
      </c>
      <c r="N550" s="4">
        <f t="shared" ref="N550:O550" si="718">MIN(IFERROR(FIND(" ",$C550,M550+1),1000))</f>
        <v>1000</v>
      </c>
      <c r="O550" s="4">
        <f t="shared" si="718"/>
        <v>1000</v>
      </c>
      <c r="P550" s="4">
        <f t="shared" si="672"/>
        <v>0</v>
      </c>
      <c r="Q550" s="4" t="str">
        <f t="shared" si="701"/>
        <v/>
      </c>
      <c r="R550" s="4" t="str">
        <f t="shared" si="717"/>
        <v/>
      </c>
      <c r="S550" s="4" t="str">
        <f t="shared" si="707"/>
        <v/>
      </c>
      <c r="T550" s="4" t="e">
        <f t="shared" si="673"/>
        <v>#VALUE!</v>
      </c>
      <c r="U550" s="4" t="e">
        <f t="shared" si="674"/>
        <v>#VALUE!</v>
      </c>
      <c r="V550" s="4" t="b">
        <f t="shared" si="665"/>
        <v>0</v>
      </c>
      <c r="W550" s="13" t="str">
        <f t="shared" si="666"/>
        <v>Да</v>
      </c>
      <c r="X550" s="4" t="e">
        <f>(IF(COUNTIFS($G$2:G550,"+",$W$2:W550,"Да")&gt;1,"&amp; ","")&amp;D550&amp;J550&amp;E550&amp;SUBSTITUTE(L550,"""",""))</f>
        <v>#VALUE!</v>
      </c>
      <c r="Y550" s="4" t="e">
        <f t="shared" si="704"/>
        <v>#VALUE!</v>
      </c>
    </row>
    <row r="551" spans="1:25" x14ac:dyDescent="0.3">
      <c r="A551" s="11"/>
      <c r="B551" s="5" t="str">
        <f t="shared" si="667"/>
        <v/>
      </c>
      <c r="C551" s="5" t="str">
        <f t="shared" si="668"/>
        <v/>
      </c>
      <c r="D551" s="4" t="s">
        <v>10</v>
      </c>
      <c r="E551" s="4" t="s">
        <v>11</v>
      </c>
      <c r="F551" s="4" t="str">
        <f t="shared" si="691"/>
        <v>!!!</v>
      </c>
      <c r="G551" s="4" t="str">
        <f t="shared" si="669"/>
        <v>+</v>
      </c>
      <c r="H551" s="4"/>
      <c r="I551" s="4" t="str">
        <f t="shared" si="692"/>
        <v>!!!</v>
      </c>
      <c r="J551" s="4" t="e">
        <f t="shared" si="693"/>
        <v>#VALUE!</v>
      </c>
      <c r="K551" s="4" t="e">
        <f t="shared" si="694"/>
        <v>#VALUE!</v>
      </c>
      <c r="L551" s="4" t="e">
        <f t="shared" si="695"/>
        <v>#VALUE!</v>
      </c>
      <c r="M551" s="4">
        <f t="shared" si="670"/>
        <v>1000</v>
      </c>
      <c r="N551" s="4">
        <f t="shared" ref="N551:O551" si="719">MIN(IFERROR(FIND(" ",$C551,M551+1),1000))</f>
        <v>1000</v>
      </c>
      <c r="O551" s="4">
        <f t="shared" si="719"/>
        <v>1000</v>
      </c>
      <c r="P551" s="4">
        <f t="shared" si="672"/>
        <v>0</v>
      </c>
      <c r="Q551" s="4" t="str">
        <f t="shared" si="701"/>
        <v/>
      </c>
      <c r="R551" s="4" t="str">
        <f t="shared" si="717"/>
        <v/>
      </c>
      <c r="S551" s="4" t="str">
        <f t="shared" si="707"/>
        <v/>
      </c>
      <c r="T551" s="4" t="e">
        <f t="shared" si="673"/>
        <v>#VALUE!</v>
      </c>
      <c r="U551" s="4" t="e">
        <f t="shared" si="674"/>
        <v>#VALUE!</v>
      </c>
      <c r="V551" s="4" t="b">
        <f t="shared" si="665"/>
        <v>0</v>
      </c>
      <c r="W551" s="13" t="str">
        <f t="shared" si="666"/>
        <v>Да</v>
      </c>
      <c r="X551" s="4" t="e">
        <f>(IF(COUNTIFS($G$2:G551,"+",$W$2:W551,"Да")&gt;1,"&amp; ","")&amp;D551&amp;J551&amp;E551&amp;SUBSTITUTE(L551,"""",""))</f>
        <v>#VALUE!</v>
      </c>
      <c r="Y551" s="4" t="e">
        <f t="shared" si="704"/>
        <v>#VALUE!</v>
      </c>
    </row>
    <row r="552" spans="1:25" x14ac:dyDescent="0.3">
      <c r="A552" s="11"/>
      <c r="B552" s="5" t="str">
        <f t="shared" si="667"/>
        <v/>
      </c>
      <c r="C552" s="5" t="str">
        <f t="shared" si="668"/>
        <v/>
      </c>
      <c r="D552" s="4" t="s">
        <v>10</v>
      </c>
      <c r="E552" s="4" t="s">
        <v>11</v>
      </c>
      <c r="F552" s="4" t="str">
        <f t="shared" si="691"/>
        <v>!!!</v>
      </c>
      <c r="G552" s="4" t="str">
        <f t="shared" si="669"/>
        <v>+</v>
      </c>
      <c r="H552" s="4"/>
      <c r="I552" s="4" t="str">
        <f t="shared" si="692"/>
        <v>!!!</v>
      </c>
      <c r="J552" s="4" t="e">
        <f t="shared" si="693"/>
        <v>#VALUE!</v>
      </c>
      <c r="K552" s="4" t="e">
        <f t="shared" si="694"/>
        <v>#VALUE!</v>
      </c>
      <c r="L552" s="4" t="e">
        <f t="shared" si="695"/>
        <v>#VALUE!</v>
      </c>
      <c r="M552" s="4">
        <f t="shared" si="670"/>
        <v>1000</v>
      </c>
      <c r="N552" s="4">
        <f t="shared" ref="N552:O552" si="720">MIN(IFERROR(FIND(" ",$C552,M552+1),1000))</f>
        <v>1000</v>
      </c>
      <c r="O552" s="4">
        <f t="shared" si="720"/>
        <v>1000</v>
      </c>
      <c r="P552" s="4">
        <f t="shared" si="672"/>
        <v>0</v>
      </c>
      <c r="Q552" s="4" t="str">
        <f t="shared" si="701"/>
        <v/>
      </c>
      <c r="R552" s="4" t="str">
        <f t="shared" si="717"/>
        <v/>
      </c>
      <c r="S552" s="4" t="str">
        <f t="shared" si="707"/>
        <v/>
      </c>
      <c r="T552" s="4" t="e">
        <f t="shared" si="673"/>
        <v>#VALUE!</v>
      </c>
      <c r="U552" s="4" t="e">
        <f t="shared" si="674"/>
        <v>#VALUE!</v>
      </c>
      <c r="V552" s="4" t="b">
        <f t="shared" si="665"/>
        <v>0</v>
      </c>
      <c r="W552" s="13" t="str">
        <f t="shared" si="666"/>
        <v>Да</v>
      </c>
      <c r="X552" s="4" t="e">
        <f>(IF(COUNTIFS($G$2:G552,"+",$W$2:W552,"Да")&gt;1,"&amp; ","")&amp;D552&amp;J552&amp;E552&amp;SUBSTITUTE(L552,"""",""))</f>
        <v>#VALUE!</v>
      </c>
      <c r="Y552" s="4" t="e">
        <f t="shared" si="704"/>
        <v>#VALUE!</v>
      </c>
    </row>
    <row r="553" spans="1:25" x14ac:dyDescent="0.3">
      <c r="A553" s="11"/>
      <c r="B553" s="5" t="str">
        <f t="shared" si="667"/>
        <v/>
      </c>
      <c r="C553" s="5" t="str">
        <f t="shared" si="668"/>
        <v/>
      </c>
      <c r="D553" s="4" t="s">
        <v>10</v>
      </c>
      <c r="E553" s="4" t="s">
        <v>11</v>
      </c>
      <c r="F553" s="4" t="str">
        <f t="shared" si="691"/>
        <v>!!!</v>
      </c>
      <c r="G553" s="4" t="str">
        <f t="shared" si="669"/>
        <v>+</v>
      </c>
      <c r="H553" s="4"/>
      <c r="I553" s="4" t="str">
        <f t="shared" si="692"/>
        <v>!!!</v>
      </c>
      <c r="J553" s="4" t="e">
        <f t="shared" si="693"/>
        <v>#VALUE!</v>
      </c>
      <c r="K553" s="4" t="e">
        <f t="shared" si="694"/>
        <v>#VALUE!</v>
      </c>
      <c r="L553" s="4" t="e">
        <f t="shared" si="695"/>
        <v>#VALUE!</v>
      </c>
      <c r="M553" s="4">
        <f t="shared" si="670"/>
        <v>1000</v>
      </c>
      <c r="N553" s="4">
        <f t="shared" ref="N553:O553" si="721">MIN(IFERROR(FIND(" ",$C553,M553+1),1000))</f>
        <v>1000</v>
      </c>
      <c r="O553" s="4">
        <f t="shared" si="721"/>
        <v>1000</v>
      </c>
      <c r="P553" s="4">
        <f t="shared" si="672"/>
        <v>0</v>
      </c>
      <c r="Q553" s="4" t="str">
        <f t="shared" si="701"/>
        <v/>
      </c>
      <c r="R553" s="4" t="str">
        <f t="shared" si="717"/>
        <v/>
      </c>
      <c r="S553" s="4" t="str">
        <f t="shared" si="707"/>
        <v/>
      </c>
      <c r="T553" s="4" t="e">
        <f t="shared" si="673"/>
        <v>#VALUE!</v>
      </c>
      <c r="U553" s="4" t="e">
        <f t="shared" si="674"/>
        <v>#VALUE!</v>
      </c>
      <c r="V553" s="4" t="b">
        <f t="shared" si="665"/>
        <v>0</v>
      </c>
      <c r="W553" s="13" t="str">
        <f t="shared" si="666"/>
        <v>Да</v>
      </c>
      <c r="X553" s="4" t="e">
        <f>(IF(COUNTIFS($G$2:G553,"+",$W$2:W553,"Да")&gt;1,"&amp; ","")&amp;D553&amp;J553&amp;E553&amp;SUBSTITUTE(L553,"""",""))</f>
        <v>#VALUE!</v>
      </c>
      <c r="Y553" s="4" t="e">
        <f t="shared" si="704"/>
        <v>#VALUE!</v>
      </c>
    </row>
    <row r="554" spans="1:25" x14ac:dyDescent="0.3">
      <c r="A554" s="11"/>
      <c r="B554" s="5" t="str">
        <f t="shared" si="667"/>
        <v/>
      </c>
      <c r="C554" s="5" t="str">
        <f t="shared" si="668"/>
        <v/>
      </c>
      <c r="D554" s="4" t="s">
        <v>10</v>
      </c>
      <c r="E554" s="4" t="s">
        <v>11</v>
      </c>
      <c r="F554" s="4" t="str">
        <f t="shared" si="691"/>
        <v>!!!</v>
      </c>
      <c r="G554" s="4" t="str">
        <f t="shared" si="669"/>
        <v>+</v>
      </c>
      <c r="H554" s="4"/>
      <c r="I554" s="4" t="str">
        <f t="shared" si="692"/>
        <v>!!!</v>
      </c>
      <c r="J554" s="4" t="e">
        <f t="shared" si="693"/>
        <v>#VALUE!</v>
      </c>
      <c r="K554" s="4" t="e">
        <f t="shared" si="694"/>
        <v>#VALUE!</v>
      </c>
      <c r="L554" s="4" t="e">
        <f t="shared" si="695"/>
        <v>#VALUE!</v>
      </c>
      <c r="M554" s="4">
        <f t="shared" si="670"/>
        <v>1000</v>
      </c>
      <c r="N554" s="4">
        <f t="shared" ref="N554:O554" si="722">MIN(IFERROR(FIND(" ",$C554,M554+1),1000))</f>
        <v>1000</v>
      </c>
      <c r="O554" s="4">
        <f t="shared" si="722"/>
        <v>1000</v>
      </c>
      <c r="P554" s="4">
        <f t="shared" si="672"/>
        <v>0</v>
      </c>
      <c r="Q554" s="4" t="str">
        <f t="shared" si="701"/>
        <v/>
      </c>
      <c r="R554" s="4" t="str">
        <f t="shared" si="717"/>
        <v/>
      </c>
      <c r="S554" s="4" t="str">
        <f t="shared" si="707"/>
        <v/>
      </c>
      <c r="T554" s="4" t="e">
        <f t="shared" si="673"/>
        <v>#VALUE!</v>
      </c>
      <c r="U554" s="4" t="e">
        <f t="shared" si="674"/>
        <v>#VALUE!</v>
      </c>
      <c r="V554" s="4" t="b">
        <f t="shared" si="665"/>
        <v>0</v>
      </c>
      <c r="W554" s="13" t="str">
        <f t="shared" si="666"/>
        <v>Да</v>
      </c>
      <c r="X554" s="4" t="e">
        <f>(IF(COUNTIFS($G$2:G554,"+",$W$2:W554,"Да")&gt;1,"&amp; ","")&amp;D554&amp;J554&amp;E554&amp;SUBSTITUTE(L554,"""",""))</f>
        <v>#VALUE!</v>
      </c>
      <c r="Y554" s="4" t="e">
        <f t="shared" si="704"/>
        <v>#VALUE!</v>
      </c>
    </row>
    <row r="555" spans="1:25" x14ac:dyDescent="0.3">
      <c r="A555" s="11"/>
      <c r="B555" s="5" t="str">
        <f t="shared" si="667"/>
        <v/>
      </c>
      <c r="C555" s="5" t="str">
        <f t="shared" si="668"/>
        <v/>
      </c>
      <c r="D555" s="4" t="s">
        <v>10</v>
      </c>
      <c r="E555" s="4" t="s">
        <v>11</v>
      </c>
      <c r="F555" s="4" t="str">
        <f t="shared" si="691"/>
        <v>!!!</v>
      </c>
      <c r="G555" s="4" t="str">
        <f t="shared" si="669"/>
        <v>+</v>
      </c>
      <c r="H555" s="4"/>
      <c r="I555" s="4" t="str">
        <f t="shared" si="692"/>
        <v>!!!</v>
      </c>
      <c r="J555" s="4" t="e">
        <f t="shared" si="693"/>
        <v>#VALUE!</v>
      </c>
      <c r="K555" s="4" t="e">
        <f t="shared" si="694"/>
        <v>#VALUE!</v>
      </c>
      <c r="L555" s="4" t="e">
        <f t="shared" si="695"/>
        <v>#VALUE!</v>
      </c>
      <c r="M555" s="4">
        <f t="shared" si="670"/>
        <v>1000</v>
      </c>
      <c r="N555" s="4">
        <f t="shared" ref="N555:O555" si="723">MIN(IFERROR(FIND(" ",$C555,M555+1),1000))</f>
        <v>1000</v>
      </c>
      <c r="O555" s="4">
        <f t="shared" si="723"/>
        <v>1000</v>
      </c>
      <c r="P555" s="4">
        <f t="shared" si="672"/>
        <v>0</v>
      </c>
      <c r="Q555" s="4" t="str">
        <f t="shared" si="701"/>
        <v/>
      </c>
      <c r="R555" s="4" t="str">
        <f t="shared" si="717"/>
        <v/>
      </c>
      <c r="S555" s="4" t="str">
        <f t="shared" si="707"/>
        <v/>
      </c>
      <c r="T555" s="4" t="e">
        <f t="shared" si="673"/>
        <v>#VALUE!</v>
      </c>
      <c r="U555" s="4" t="e">
        <f t="shared" si="674"/>
        <v>#VALUE!</v>
      </c>
      <c r="V555" s="4" t="b">
        <f t="shared" si="665"/>
        <v>0</v>
      </c>
      <c r="W555" s="13" t="str">
        <f t="shared" si="666"/>
        <v>Да</v>
      </c>
      <c r="X555" s="4" t="e">
        <f>(IF(COUNTIFS($G$2:G555,"+",$W$2:W555,"Да")&gt;1,"&amp; ","")&amp;D555&amp;J555&amp;E555&amp;SUBSTITUTE(L555,"""",""))</f>
        <v>#VALUE!</v>
      </c>
      <c r="Y555" s="4" t="e">
        <f t="shared" si="704"/>
        <v>#VALUE!</v>
      </c>
    </row>
    <row r="556" spans="1:25" x14ac:dyDescent="0.3">
      <c r="A556" s="11"/>
      <c r="B556" s="5" t="str">
        <f t="shared" si="667"/>
        <v/>
      </c>
      <c r="C556" s="5" t="str">
        <f t="shared" si="668"/>
        <v/>
      </c>
      <c r="D556" s="4" t="s">
        <v>10</v>
      </c>
      <c r="E556" s="4" t="s">
        <v>11</v>
      </c>
      <c r="F556" s="4" t="str">
        <f t="shared" si="691"/>
        <v>!!!</v>
      </c>
      <c r="G556" s="4" t="str">
        <f t="shared" si="669"/>
        <v>+</v>
      </c>
      <c r="H556" s="4"/>
      <c r="I556" s="4" t="str">
        <f t="shared" si="692"/>
        <v>!!!</v>
      </c>
      <c r="J556" s="4" t="e">
        <f t="shared" si="693"/>
        <v>#VALUE!</v>
      </c>
      <c r="K556" s="4" t="e">
        <f t="shared" si="694"/>
        <v>#VALUE!</v>
      </c>
      <c r="L556" s="4" t="e">
        <f t="shared" si="695"/>
        <v>#VALUE!</v>
      </c>
      <c r="M556" s="4">
        <f t="shared" si="670"/>
        <v>1000</v>
      </c>
      <c r="N556" s="4">
        <f t="shared" ref="N556:O556" si="724">MIN(IFERROR(FIND(" ",$C556,M556+1),1000))</f>
        <v>1000</v>
      </c>
      <c r="O556" s="4">
        <f t="shared" si="724"/>
        <v>1000</v>
      </c>
      <c r="P556" s="4">
        <f t="shared" si="672"/>
        <v>0</v>
      </c>
      <c r="Q556" s="4" t="str">
        <f t="shared" si="701"/>
        <v/>
      </c>
      <c r="R556" s="4" t="str">
        <f t="shared" si="717"/>
        <v/>
      </c>
      <c r="S556" s="4" t="str">
        <f t="shared" si="707"/>
        <v/>
      </c>
      <c r="T556" s="4" t="e">
        <f t="shared" si="673"/>
        <v>#VALUE!</v>
      </c>
      <c r="U556" s="4" t="e">
        <f t="shared" si="674"/>
        <v>#VALUE!</v>
      </c>
      <c r="V556" s="4" t="b">
        <f t="shared" si="665"/>
        <v>0</v>
      </c>
      <c r="W556" s="13" t="str">
        <f t="shared" si="666"/>
        <v>Да</v>
      </c>
      <c r="X556" s="4" t="e">
        <f>(IF(COUNTIFS($G$2:G556,"+",$W$2:W556,"Да")&gt;1,"&amp; ","")&amp;D556&amp;J556&amp;E556&amp;SUBSTITUTE(L556,"""",""))</f>
        <v>#VALUE!</v>
      </c>
      <c r="Y556" s="4" t="e">
        <f t="shared" si="704"/>
        <v>#VALUE!</v>
      </c>
    </row>
    <row r="557" spans="1:25" x14ac:dyDescent="0.3">
      <c r="A557" s="11"/>
      <c r="B557" s="5" t="str">
        <f t="shared" si="667"/>
        <v/>
      </c>
      <c r="C557" s="5" t="str">
        <f t="shared" si="668"/>
        <v/>
      </c>
      <c r="D557" s="4" t="s">
        <v>10</v>
      </c>
      <c r="E557" s="4" t="s">
        <v>11</v>
      </c>
      <c r="F557" s="4" t="str">
        <f t="shared" si="691"/>
        <v>!!!</v>
      </c>
      <c r="G557" s="4" t="str">
        <f t="shared" si="669"/>
        <v>+</v>
      </c>
      <c r="H557" s="4"/>
      <c r="I557" s="4" t="str">
        <f t="shared" si="692"/>
        <v>!!!</v>
      </c>
      <c r="J557" s="4" t="e">
        <f t="shared" si="693"/>
        <v>#VALUE!</v>
      </c>
      <c r="K557" s="4" t="e">
        <f t="shared" si="694"/>
        <v>#VALUE!</v>
      </c>
      <c r="L557" s="4" t="e">
        <f t="shared" si="695"/>
        <v>#VALUE!</v>
      </c>
      <c r="M557" s="4">
        <f t="shared" si="670"/>
        <v>1000</v>
      </c>
      <c r="N557" s="4">
        <f t="shared" ref="N557:O557" si="725">MIN(IFERROR(FIND(" ",$C557,M557+1),1000))</f>
        <v>1000</v>
      </c>
      <c r="O557" s="4">
        <f t="shared" si="725"/>
        <v>1000</v>
      </c>
      <c r="P557" s="4">
        <f t="shared" si="672"/>
        <v>0</v>
      </c>
      <c r="Q557" s="4" t="str">
        <f t="shared" si="701"/>
        <v/>
      </c>
      <c r="R557" s="4" t="str">
        <f t="shared" si="717"/>
        <v/>
      </c>
      <c r="S557" s="4" t="str">
        <f t="shared" si="707"/>
        <v/>
      </c>
      <c r="T557" s="4" t="e">
        <f t="shared" si="673"/>
        <v>#VALUE!</v>
      </c>
      <c r="U557" s="4" t="e">
        <f t="shared" si="674"/>
        <v>#VALUE!</v>
      </c>
      <c r="V557" s="4" t="b">
        <f t="shared" si="665"/>
        <v>0</v>
      </c>
      <c r="W557" s="13" t="str">
        <f t="shared" si="666"/>
        <v>Да</v>
      </c>
      <c r="X557" s="4" t="e">
        <f>(IF(COUNTIFS($G$2:G557,"+",$W$2:W557,"Да")&gt;1,"&amp; ","")&amp;D557&amp;J557&amp;E557&amp;SUBSTITUTE(L557,"""",""))</f>
        <v>#VALUE!</v>
      </c>
      <c r="Y557" s="4" t="e">
        <f t="shared" si="704"/>
        <v>#VALUE!</v>
      </c>
    </row>
    <row r="558" spans="1:25" x14ac:dyDescent="0.3">
      <c r="A558" s="11"/>
      <c r="B558" s="5" t="str">
        <f t="shared" si="667"/>
        <v/>
      </c>
      <c r="C558" s="5" t="str">
        <f t="shared" si="668"/>
        <v/>
      </c>
      <c r="D558" s="4" t="s">
        <v>10</v>
      </c>
      <c r="E558" s="4" t="s">
        <v>11</v>
      </c>
      <c r="F558" s="4" t="str">
        <f t="shared" si="691"/>
        <v>!!!</v>
      </c>
      <c r="G558" s="4" t="str">
        <f t="shared" si="669"/>
        <v>+</v>
      </c>
      <c r="H558" s="4"/>
      <c r="I558" s="4" t="str">
        <f t="shared" si="692"/>
        <v>!!!</v>
      </c>
      <c r="J558" s="4" t="e">
        <f t="shared" si="693"/>
        <v>#VALUE!</v>
      </c>
      <c r="K558" s="4" t="e">
        <f t="shared" si="694"/>
        <v>#VALUE!</v>
      </c>
      <c r="L558" s="4" t="e">
        <f t="shared" si="695"/>
        <v>#VALUE!</v>
      </c>
      <c r="M558" s="4">
        <f t="shared" si="670"/>
        <v>1000</v>
      </c>
      <c r="N558" s="4">
        <f t="shared" ref="N558:O558" si="726">MIN(IFERROR(FIND(" ",$C558,M558+1),1000))</f>
        <v>1000</v>
      </c>
      <c r="O558" s="4">
        <f t="shared" si="726"/>
        <v>1000</v>
      </c>
      <c r="P558" s="4">
        <f t="shared" si="672"/>
        <v>0</v>
      </c>
      <c r="Q558" s="4" t="str">
        <f t="shared" si="701"/>
        <v/>
      </c>
      <c r="R558" s="4" t="str">
        <f t="shared" si="717"/>
        <v/>
      </c>
      <c r="S558" s="4" t="str">
        <f t="shared" si="707"/>
        <v/>
      </c>
      <c r="T558" s="4" t="e">
        <f t="shared" si="673"/>
        <v>#VALUE!</v>
      </c>
      <c r="U558" s="4" t="e">
        <f t="shared" si="674"/>
        <v>#VALUE!</v>
      </c>
      <c r="V558" s="4" t="b">
        <f t="shared" si="665"/>
        <v>0</v>
      </c>
      <c r="W558" s="13" t="str">
        <f t="shared" si="666"/>
        <v>Да</v>
      </c>
      <c r="X558" s="4" t="e">
        <f>(IF(COUNTIFS($G$2:G558,"+",$W$2:W558,"Да")&gt;1,"&amp; ","")&amp;D558&amp;J558&amp;E558&amp;SUBSTITUTE(L558,"""",""))</f>
        <v>#VALUE!</v>
      </c>
      <c r="Y558" s="4" t="e">
        <f t="shared" si="704"/>
        <v>#VALUE!</v>
      </c>
    </row>
    <row r="559" spans="1:25" x14ac:dyDescent="0.3">
      <c r="A559" s="11"/>
      <c r="B559" s="5" t="str">
        <f t="shared" si="667"/>
        <v/>
      </c>
      <c r="C559" s="5" t="str">
        <f t="shared" si="668"/>
        <v/>
      </c>
      <c r="D559" s="4" t="s">
        <v>10</v>
      </c>
      <c r="E559" s="4" t="s">
        <v>11</v>
      </c>
      <c r="F559" s="4" t="str">
        <f t="shared" si="691"/>
        <v>!!!</v>
      </c>
      <c r="G559" s="4" t="str">
        <f t="shared" si="669"/>
        <v>+</v>
      </c>
      <c r="H559" s="4"/>
      <c r="I559" s="4" t="str">
        <f t="shared" si="692"/>
        <v>!!!</v>
      </c>
      <c r="J559" s="4" t="e">
        <f t="shared" si="693"/>
        <v>#VALUE!</v>
      </c>
      <c r="K559" s="4" t="e">
        <f t="shared" si="694"/>
        <v>#VALUE!</v>
      </c>
      <c r="L559" s="4" t="e">
        <f t="shared" si="695"/>
        <v>#VALUE!</v>
      </c>
      <c r="M559" s="4">
        <f t="shared" si="670"/>
        <v>1000</v>
      </c>
      <c r="N559" s="4">
        <f t="shared" ref="N559:O559" si="727">MIN(IFERROR(FIND(" ",$C559,M559+1),1000))</f>
        <v>1000</v>
      </c>
      <c r="O559" s="4">
        <f t="shared" si="727"/>
        <v>1000</v>
      </c>
      <c r="P559" s="4">
        <f t="shared" si="672"/>
        <v>0</v>
      </c>
      <c r="Q559" s="4" t="str">
        <f t="shared" si="701"/>
        <v/>
      </c>
      <c r="R559" s="4" t="str">
        <f t="shared" si="717"/>
        <v/>
      </c>
      <c r="S559" s="4" t="str">
        <f t="shared" si="707"/>
        <v/>
      </c>
      <c r="T559" s="4" t="e">
        <f t="shared" si="673"/>
        <v>#VALUE!</v>
      </c>
      <c r="U559" s="4" t="e">
        <f t="shared" si="674"/>
        <v>#VALUE!</v>
      </c>
      <c r="V559" s="4" t="b">
        <f t="shared" si="665"/>
        <v>0</v>
      </c>
      <c r="W559" s="13" t="str">
        <f t="shared" si="666"/>
        <v>Да</v>
      </c>
      <c r="X559" s="4" t="e">
        <f>(IF(COUNTIFS($G$2:G559,"+",$W$2:W559,"Да")&gt;1,"&amp; ","")&amp;D559&amp;J559&amp;E559&amp;SUBSTITUTE(L559,"""",""))</f>
        <v>#VALUE!</v>
      </c>
      <c r="Y559" s="4" t="e">
        <f t="shared" si="704"/>
        <v>#VALUE!</v>
      </c>
    </row>
    <row r="560" spans="1:25" x14ac:dyDescent="0.3">
      <c r="A560" s="11"/>
      <c r="B560" s="5" t="str">
        <f t="shared" si="667"/>
        <v/>
      </c>
      <c r="C560" s="5" t="str">
        <f t="shared" si="668"/>
        <v/>
      </c>
      <c r="D560" s="4" t="s">
        <v>10</v>
      </c>
      <c r="E560" s="4" t="s">
        <v>11</v>
      </c>
      <c r="F560" s="4" t="str">
        <f t="shared" si="691"/>
        <v>!!!</v>
      </c>
      <c r="G560" s="4" t="str">
        <f t="shared" si="669"/>
        <v>+</v>
      </c>
      <c r="H560" s="4"/>
      <c r="I560" s="4" t="str">
        <f t="shared" si="692"/>
        <v>!!!</v>
      </c>
      <c r="J560" s="4" t="e">
        <f t="shared" si="693"/>
        <v>#VALUE!</v>
      </c>
      <c r="K560" s="4" t="e">
        <f t="shared" si="694"/>
        <v>#VALUE!</v>
      </c>
      <c r="L560" s="4" t="e">
        <f t="shared" si="695"/>
        <v>#VALUE!</v>
      </c>
      <c r="M560" s="4">
        <f t="shared" si="670"/>
        <v>1000</v>
      </c>
      <c r="N560" s="4">
        <f t="shared" ref="N560:O560" si="728">MIN(IFERROR(FIND(" ",$C560,M560+1),1000))</f>
        <v>1000</v>
      </c>
      <c r="O560" s="4">
        <f t="shared" si="728"/>
        <v>1000</v>
      </c>
      <c r="P560" s="4">
        <f t="shared" si="672"/>
        <v>0</v>
      </c>
      <c r="Q560" s="4" t="str">
        <f t="shared" si="701"/>
        <v/>
      </c>
      <c r="R560" s="4" t="str">
        <f t="shared" si="717"/>
        <v/>
      </c>
      <c r="S560" s="4" t="str">
        <f t="shared" si="707"/>
        <v/>
      </c>
      <c r="T560" s="4" t="e">
        <f t="shared" si="673"/>
        <v>#VALUE!</v>
      </c>
      <c r="U560" s="4" t="e">
        <f t="shared" si="674"/>
        <v>#VALUE!</v>
      </c>
      <c r="V560" s="4" t="b">
        <f t="shared" si="665"/>
        <v>0</v>
      </c>
      <c r="W560" s="13" t="str">
        <f t="shared" si="666"/>
        <v>Да</v>
      </c>
      <c r="X560" s="4" t="e">
        <f>(IF(COUNTIFS($G$2:G560,"+",$W$2:W560,"Да")&gt;1,"&amp; ","")&amp;D560&amp;J560&amp;E560&amp;SUBSTITUTE(L560,"""",""))</f>
        <v>#VALUE!</v>
      </c>
      <c r="Y560" s="4" t="e">
        <f t="shared" si="704"/>
        <v>#VALUE!</v>
      </c>
    </row>
    <row r="561" spans="1:25" x14ac:dyDescent="0.3">
      <c r="A561" s="11"/>
      <c r="B561" s="5" t="str">
        <f t="shared" si="667"/>
        <v/>
      </c>
      <c r="C561" s="5" t="str">
        <f t="shared" si="668"/>
        <v/>
      </c>
      <c r="D561" s="4" t="s">
        <v>10</v>
      </c>
      <c r="E561" s="4" t="s">
        <v>11</v>
      </c>
      <c r="F561" s="4" t="str">
        <f t="shared" si="691"/>
        <v>!!!</v>
      </c>
      <c r="G561" s="4" t="str">
        <f t="shared" si="669"/>
        <v>+</v>
      </c>
      <c r="H561" s="4"/>
      <c r="I561" s="4" t="str">
        <f t="shared" si="692"/>
        <v>!!!</v>
      </c>
      <c r="J561" s="4" t="e">
        <f t="shared" si="693"/>
        <v>#VALUE!</v>
      </c>
      <c r="K561" s="4" t="e">
        <f t="shared" si="694"/>
        <v>#VALUE!</v>
      </c>
      <c r="L561" s="4" t="e">
        <f t="shared" si="695"/>
        <v>#VALUE!</v>
      </c>
      <c r="M561" s="4">
        <f t="shared" si="670"/>
        <v>1000</v>
      </c>
      <c r="N561" s="4">
        <f t="shared" ref="N561:O561" si="729">MIN(IFERROR(FIND(" ",$C561,M561+1),1000))</f>
        <v>1000</v>
      </c>
      <c r="O561" s="4">
        <f t="shared" si="729"/>
        <v>1000</v>
      </c>
      <c r="P561" s="4">
        <f t="shared" si="672"/>
        <v>0</v>
      </c>
      <c r="Q561" s="4" t="str">
        <f t="shared" si="701"/>
        <v/>
      </c>
      <c r="R561" s="4" t="str">
        <f t="shared" si="717"/>
        <v/>
      </c>
      <c r="S561" s="4" t="str">
        <f t="shared" si="707"/>
        <v/>
      </c>
      <c r="T561" s="4" t="e">
        <f t="shared" si="673"/>
        <v>#VALUE!</v>
      </c>
      <c r="U561" s="4" t="e">
        <f t="shared" si="674"/>
        <v>#VALUE!</v>
      </c>
      <c r="V561" s="4" t="b">
        <f t="shared" si="665"/>
        <v>0</v>
      </c>
      <c r="W561" s="13" t="str">
        <f t="shared" si="666"/>
        <v>Да</v>
      </c>
      <c r="X561" s="4" t="e">
        <f>(IF(COUNTIFS($G$2:G561,"+",$W$2:W561,"Да")&gt;1,"&amp; ","")&amp;D561&amp;J561&amp;E561&amp;SUBSTITUTE(L561,"""",""))</f>
        <v>#VALUE!</v>
      </c>
      <c r="Y561" s="4" t="e">
        <f t="shared" si="704"/>
        <v>#VALUE!</v>
      </c>
    </row>
    <row r="562" spans="1:25" x14ac:dyDescent="0.3">
      <c r="A562" s="11"/>
      <c r="B562" s="5" t="str">
        <f t="shared" si="667"/>
        <v/>
      </c>
      <c r="C562" s="5" t="str">
        <f t="shared" si="668"/>
        <v/>
      </c>
      <c r="D562" s="4" t="s">
        <v>10</v>
      </c>
      <c r="E562" s="4" t="s">
        <v>11</v>
      </c>
      <c r="F562" s="4" t="str">
        <f t="shared" si="691"/>
        <v>!!!</v>
      </c>
      <c r="G562" s="4" t="str">
        <f t="shared" si="669"/>
        <v>+</v>
      </c>
      <c r="H562" s="4"/>
      <c r="I562" s="4" t="str">
        <f t="shared" si="692"/>
        <v>!!!</v>
      </c>
      <c r="J562" s="4" t="e">
        <f t="shared" si="693"/>
        <v>#VALUE!</v>
      </c>
      <c r="K562" s="4" t="e">
        <f t="shared" si="694"/>
        <v>#VALUE!</v>
      </c>
      <c r="L562" s="4" t="e">
        <f t="shared" si="695"/>
        <v>#VALUE!</v>
      </c>
      <c r="M562" s="4">
        <f t="shared" si="670"/>
        <v>1000</v>
      </c>
      <c r="N562" s="4">
        <f t="shared" ref="N562:O562" si="730">MIN(IFERROR(FIND(" ",$C562,M562+1),1000))</f>
        <v>1000</v>
      </c>
      <c r="O562" s="4">
        <f t="shared" si="730"/>
        <v>1000</v>
      </c>
      <c r="P562" s="4">
        <f t="shared" si="672"/>
        <v>0</v>
      </c>
      <c r="Q562" s="4" t="str">
        <f t="shared" si="701"/>
        <v/>
      </c>
      <c r="R562" s="4" t="str">
        <f t="shared" si="717"/>
        <v/>
      </c>
      <c r="S562" s="4" t="str">
        <f t="shared" si="707"/>
        <v/>
      </c>
      <c r="T562" s="4" t="e">
        <f t="shared" si="673"/>
        <v>#VALUE!</v>
      </c>
      <c r="U562" s="4" t="e">
        <f t="shared" si="674"/>
        <v>#VALUE!</v>
      </c>
      <c r="V562" s="4" t="b">
        <f t="shared" si="665"/>
        <v>0</v>
      </c>
      <c r="W562" s="13" t="str">
        <f t="shared" si="666"/>
        <v>Да</v>
      </c>
      <c r="X562" s="4" t="e">
        <f>(IF(COUNTIFS($G$2:G562,"+",$W$2:W562,"Да")&gt;1,"&amp; ","")&amp;D562&amp;J562&amp;E562&amp;SUBSTITUTE(L562,"""",""))</f>
        <v>#VALUE!</v>
      </c>
      <c r="Y562" s="4" t="e">
        <f t="shared" si="704"/>
        <v>#VALUE!</v>
      </c>
    </row>
    <row r="563" spans="1:25" x14ac:dyDescent="0.3">
      <c r="A563" s="11"/>
      <c r="B563" s="5" t="str">
        <f t="shared" si="667"/>
        <v/>
      </c>
      <c r="C563" s="5" t="str">
        <f t="shared" si="668"/>
        <v/>
      </c>
      <c r="D563" s="4" t="s">
        <v>10</v>
      </c>
      <c r="E563" s="4" t="s">
        <v>11</v>
      </c>
      <c r="F563" s="4" t="str">
        <f t="shared" si="691"/>
        <v>!!!</v>
      </c>
      <c r="G563" s="4" t="str">
        <f t="shared" si="669"/>
        <v>+</v>
      </c>
      <c r="H563" s="4"/>
      <c r="I563" s="4" t="str">
        <f t="shared" si="692"/>
        <v>!!!</v>
      </c>
      <c r="J563" s="4" t="e">
        <f t="shared" si="693"/>
        <v>#VALUE!</v>
      </c>
      <c r="K563" s="4" t="e">
        <f t="shared" si="694"/>
        <v>#VALUE!</v>
      </c>
      <c r="L563" s="4" t="e">
        <f t="shared" si="695"/>
        <v>#VALUE!</v>
      </c>
      <c r="M563" s="4">
        <f t="shared" si="670"/>
        <v>1000</v>
      </c>
      <c r="N563" s="4">
        <f t="shared" ref="N563:O563" si="731">MIN(IFERROR(FIND(" ",$C563,M563+1),1000))</f>
        <v>1000</v>
      </c>
      <c r="O563" s="4">
        <f t="shared" si="731"/>
        <v>1000</v>
      </c>
      <c r="P563" s="4">
        <f t="shared" si="672"/>
        <v>0</v>
      </c>
      <c r="Q563" s="4" t="str">
        <f t="shared" si="701"/>
        <v/>
      </c>
      <c r="R563" s="4" t="str">
        <f t="shared" si="717"/>
        <v/>
      </c>
      <c r="S563" s="4" t="str">
        <f t="shared" si="707"/>
        <v/>
      </c>
      <c r="T563" s="4" t="e">
        <f t="shared" si="673"/>
        <v>#VALUE!</v>
      </c>
      <c r="U563" s="4" t="e">
        <f t="shared" si="674"/>
        <v>#VALUE!</v>
      </c>
      <c r="V563" s="4" t="b">
        <f t="shared" si="665"/>
        <v>0</v>
      </c>
      <c r="W563" s="13" t="str">
        <f t="shared" si="666"/>
        <v>Да</v>
      </c>
      <c r="X563" s="4" t="e">
        <f>(IF(COUNTIFS($G$2:G563,"+",$W$2:W563,"Да")&gt;1,"&amp; ","")&amp;D563&amp;J563&amp;E563&amp;SUBSTITUTE(L563,"""",""))</f>
        <v>#VALUE!</v>
      </c>
      <c r="Y563" s="4" t="e">
        <f t="shared" si="704"/>
        <v>#VALUE!</v>
      </c>
    </row>
    <row r="564" spans="1:25" x14ac:dyDescent="0.3">
      <c r="A564" s="11"/>
      <c r="B564" s="5" t="str">
        <f t="shared" si="667"/>
        <v/>
      </c>
      <c r="C564" s="5" t="str">
        <f t="shared" si="668"/>
        <v/>
      </c>
      <c r="D564" s="4" t="s">
        <v>10</v>
      </c>
      <c r="E564" s="4" t="s">
        <v>11</v>
      </c>
      <c r="F564" s="4" t="str">
        <f t="shared" si="691"/>
        <v>!!!</v>
      </c>
      <c r="G564" s="4" t="str">
        <f t="shared" si="669"/>
        <v>+</v>
      </c>
      <c r="H564" s="4"/>
      <c r="I564" s="4" t="str">
        <f t="shared" si="692"/>
        <v>!!!</v>
      </c>
      <c r="J564" s="4" t="e">
        <f t="shared" si="693"/>
        <v>#VALUE!</v>
      </c>
      <c r="K564" s="4" t="e">
        <f t="shared" si="694"/>
        <v>#VALUE!</v>
      </c>
      <c r="L564" s="4" t="e">
        <f t="shared" si="695"/>
        <v>#VALUE!</v>
      </c>
      <c r="M564" s="4">
        <f t="shared" si="670"/>
        <v>1000</v>
      </c>
      <c r="N564" s="4">
        <f t="shared" ref="N564:O564" si="732">MIN(IFERROR(FIND(" ",$C564,M564+1),1000))</f>
        <v>1000</v>
      </c>
      <c r="O564" s="4">
        <f t="shared" si="732"/>
        <v>1000</v>
      </c>
      <c r="P564" s="4">
        <f t="shared" si="672"/>
        <v>0</v>
      </c>
      <c r="Q564" s="4" t="str">
        <f t="shared" si="701"/>
        <v/>
      </c>
      <c r="R564" s="4" t="str">
        <f t="shared" si="717"/>
        <v/>
      </c>
      <c r="S564" s="4" t="str">
        <f t="shared" si="707"/>
        <v/>
      </c>
      <c r="T564" s="4" t="e">
        <f t="shared" si="673"/>
        <v>#VALUE!</v>
      </c>
      <c r="U564" s="4" t="e">
        <f t="shared" si="674"/>
        <v>#VALUE!</v>
      </c>
      <c r="V564" s="4" t="b">
        <f t="shared" si="665"/>
        <v>0</v>
      </c>
      <c r="W564" s="13" t="str">
        <f t="shared" si="666"/>
        <v>Да</v>
      </c>
      <c r="X564" s="4" t="e">
        <f>(IF(COUNTIFS($G$2:G564,"+",$W$2:W564,"Да")&gt;1,"&amp; ","")&amp;D564&amp;J564&amp;E564&amp;SUBSTITUTE(L564,"""",""))</f>
        <v>#VALUE!</v>
      </c>
      <c r="Y564" s="4" t="e">
        <f t="shared" si="704"/>
        <v>#VALUE!</v>
      </c>
    </row>
    <row r="565" spans="1:25" x14ac:dyDescent="0.3">
      <c r="A565" s="11"/>
      <c r="B565" s="5" t="str">
        <f t="shared" si="667"/>
        <v/>
      </c>
      <c r="C565" s="5" t="str">
        <f t="shared" si="668"/>
        <v/>
      </c>
      <c r="D565" s="4" t="s">
        <v>10</v>
      </c>
      <c r="E565" s="4" t="s">
        <v>11</v>
      </c>
      <c r="F565" s="4" t="str">
        <f t="shared" si="691"/>
        <v>!!!</v>
      </c>
      <c r="G565" s="4" t="str">
        <f t="shared" si="669"/>
        <v>+</v>
      </c>
      <c r="H565" s="4"/>
      <c r="I565" s="4" t="str">
        <f t="shared" si="692"/>
        <v>!!!</v>
      </c>
      <c r="J565" s="4" t="e">
        <f t="shared" si="693"/>
        <v>#VALUE!</v>
      </c>
      <c r="K565" s="4" t="e">
        <f t="shared" si="694"/>
        <v>#VALUE!</v>
      </c>
      <c r="L565" s="4" t="e">
        <f t="shared" si="695"/>
        <v>#VALUE!</v>
      </c>
      <c r="M565" s="4">
        <f t="shared" si="670"/>
        <v>1000</v>
      </c>
      <c r="N565" s="4">
        <f t="shared" ref="N565:O565" si="733">MIN(IFERROR(FIND(" ",$C565,M565+1),1000))</f>
        <v>1000</v>
      </c>
      <c r="O565" s="4">
        <f t="shared" si="733"/>
        <v>1000</v>
      </c>
      <c r="P565" s="4">
        <f t="shared" si="672"/>
        <v>0</v>
      </c>
      <c r="Q565" s="4" t="str">
        <f t="shared" si="701"/>
        <v/>
      </c>
      <c r="R565" s="4" t="str">
        <f t="shared" si="717"/>
        <v/>
      </c>
      <c r="S565" s="4" t="str">
        <f t="shared" si="707"/>
        <v/>
      </c>
      <c r="T565" s="4" t="e">
        <f t="shared" si="673"/>
        <v>#VALUE!</v>
      </c>
      <c r="U565" s="4" t="e">
        <f t="shared" si="674"/>
        <v>#VALUE!</v>
      </c>
      <c r="V565" s="4" t="b">
        <f t="shared" si="665"/>
        <v>0</v>
      </c>
      <c r="W565" s="13" t="str">
        <f t="shared" si="666"/>
        <v>Да</v>
      </c>
      <c r="X565" s="4" t="e">
        <f>(IF(COUNTIFS($G$2:G565,"+",$W$2:W565,"Да")&gt;1,"&amp; ","")&amp;D565&amp;J565&amp;E565&amp;SUBSTITUTE(L565,"""",""))</f>
        <v>#VALUE!</v>
      </c>
      <c r="Y565" s="4" t="e">
        <f t="shared" si="704"/>
        <v>#VALUE!</v>
      </c>
    </row>
    <row r="566" spans="1:25" x14ac:dyDescent="0.3">
      <c r="A566" s="11"/>
      <c r="B566" s="5" t="str">
        <f t="shared" si="667"/>
        <v/>
      </c>
      <c r="C566" s="5" t="str">
        <f t="shared" si="668"/>
        <v/>
      </c>
      <c r="D566" s="4" t="s">
        <v>10</v>
      </c>
      <c r="E566" s="4" t="s">
        <v>11</v>
      </c>
      <c r="F566" s="4" t="str">
        <f t="shared" si="691"/>
        <v>!!!</v>
      </c>
      <c r="G566" s="4" t="str">
        <f t="shared" si="669"/>
        <v>+</v>
      </c>
      <c r="H566" s="4"/>
      <c r="I566" s="4" t="str">
        <f t="shared" si="692"/>
        <v>!!!</v>
      </c>
      <c r="J566" s="4" t="e">
        <f t="shared" si="693"/>
        <v>#VALUE!</v>
      </c>
      <c r="K566" s="4" t="e">
        <f t="shared" si="694"/>
        <v>#VALUE!</v>
      </c>
      <c r="L566" s="4" t="e">
        <f t="shared" si="695"/>
        <v>#VALUE!</v>
      </c>
      <c r="M566" s="4">
        <f t="shared" si="670"/>
        <v>1000</v>
      </c>
      <c r="N566" s="4">
        <f t="shared" ref="N566:O566" si="734">MIN(IFERROR(FIND(" ",$C566,M566+1),1000))</f>
        <v>1000</v>
      </c>
      <c r="O566" s="4">
        <f t="shared" si="734"/>
        <v>1000</v>
      </c>
      <c r="P566" s="4">
        <f t="shared" si="672"/>
        <v>0</v>
      </c>
      <c r="Q566" s="4" t="str">
        <f t="shared" si="701"/>
        <v/>
      </c>
      <c r="R566" s="4" t="str">
        <f t="shared" si="717"/>
        <v/>
      </c>
      <c r="S566" s="4" t="str">
        <f t="shared" si="707"/>
        <v/>
      </c>
      <c r="T566" s="4" t="e">
        <f t="shared" si="673"/>
        <v>#VALUE!</v>
      </c>
      <c r="U566" s="4" t="e">
        <f t="shared" si="674"/>
        <v>#VALUE!</v>
      </c>
      <c r="V566" s="4" t="b">
        <f t="shared" si="665"/>
        <v>0</v>
      </c>
      <c r="W566" s="13" t="str">
        <f t="shared" si="666"/>
        <v>Да</v>
      </c>
      <c r="X566" s="4" t="e">
        <f>(IF(COUNTIFS($G$2:G566,"+",$W$2:W566,"Да")&gt;1,"&amp; ","")&amp;D566&amp;J566&amp;E566&amp;SUBSTITUTE(L566,"""",""))</f>
        <v>#VALUE!</v>
      </c>
      <c r="Y566" s="4" t="e">
        <f t="shared" si="704"/>
        <v>#VALUE!</v>
      </c>
    </row>
    <row r="567" spans="1:25" x14ac:dyDescent="0.3">
      <c r="A567" s="11"/>
      <c r="B567" s="5" t="str">
        <f t="shared" si="667"/>
        <v/>
      </c>
      <c r="C567" s="5" t="str">
        <f t="shared" si="668"/>
        <v/>
      </c>
      <c r="D567" s="4" t="s">
        <v>10</v>
      </c>
      <c r="E567" s="4" t="s">
        <v>11</v>
      </c>
      <c r="F567" s="4" t="str">
        <f t="shared" si="691"/>
        <v>!!!</v>
      </c>
      <c r="G567" s="4" t="str">
        <f t="shared" si="669"/>
        <v>+</v>
      </c>
      <c r="H567" s="4"/>
      <c r="I567" s="4" t="str">
        <f t="shared" si="692"/>
        <v>!!!</v>
      </c>
      <c r="J567" s="4" t="e">
        <f t="shared" si="693"/>
        <v>#VALUE!</v>
      </c>
      <c r="K567" s="4" t="e">
        <f t="shared" si="694"/>
        <v>#VALUE!</v>
      </c>
      <c r="L567" s="4" t="e">
        <f t="shared" si="695"/>
        <v>#VALUE!</v>
      </c>
      <c r="M567" s="4">
        <f t="shared" si="670"/>
        <v>1000</v>
      </c>
      <c r="N567" s="4">
        <f t="shared" ref="N567:O567" si="735">MIN(IFERROR(FIND(" ",$C567,M567+1),1000))</f>
        <v>1000</v>
      </c>
      <c r="O567" s="4">
        <f t="shared" si="735"/>
        <v>1000</v>
      </c>
      <c r="P567" s="4">
        <f t="shared" si="672"/>
        <v>0</v>
      </c>
      <c r="Q567" s="4" t="str">
        <f t="shared" si="701"/>
        <v/>
      </c>
      <c r="R567" s="4" t="str">
        <f t="shared" si="717"/>
        <v/>
      </c>
      <c r="S567" s="4" t="str">
        <f t="shared" si="707"/>
        <v/>
      </c>
      <c r="T567" s="4" t="e">
        <f t="shared" si="673"/>
        <v>#VALUE!</v>
      </c>
      <c r="U567" s="4" t="e">
        <f t="shared" si="674"/>
        <v>#VALUE!</v>
      </c>
      <c r="V567" s="4" t="b">
        <f t="shared" si="665"/>
        <v>0</v>
      </c>
      <c r="W567" s="13" t="str">
        <f t="shared" si="666"/>
        <v>Да</v>
      </c>
      <c r="X567" s="4" t="e">
        <f>(IF(COUNTIFS($G$2:G567,"+",$W$2:W567,"Да")&gt;1,"&amp; ","")&amp;D567&amp;J567&amp;E567&amp;SUBSTITUTE(L567,"""",""))</f>
        <v>#VALUE!</v>
      </c>
      <c r="Y567" s="4" t="e">
        <f t="shared" si="704"/>
        <v>#VALUE!</v>
      </c>
    </row>
    <row r="568" spans="1:25" x14ac:dyDescent="0.3">
      <c r="A568" s="11"/>
      <c r="B568" s="5" t="str">
        <f t="shared" si="667"/>
        <v/>
      </c>
      <c r="C568" s="5" t="str">
        <f t="shared" si="668"/>
        <v/>
      </c>
      <c r="D568" s="4" t="s">
        <v>10</v>
      </c>
      <c r="E568" s="4" t="s">
        <v>11</v>
      </c>
      <c r="F568" s="4" t="str">
        <f t="shared" si="691"/>
        <v>!!!</v>
      </c>
      <c r="G568" s="4" t="str">
        <f t="shared" si="669"/>
        <v>+</v>
      </c>
      <c r="H568" s="4"/>
      <c r="I568" s="4" t="str">
        <f t="shared" si="692"/>
        <v>!!!</v>
      </c>
      <c r="J568" s="4" t="e">
        <f t="shared" si="693"/>
        <v>#VALUE!</v>
      </c>
      <c r="K568" s="4" t="e">
        <f t="shared" si="694"/>
        <v>#VALUE!</v>
      </c>
      <c r="L568" s="4" t="e">
        <f t="shared" si="695"/>
        <v>#VALUE!</v>
      </c>
      <c r="M568" s="4">
        <f t="shared" si="670"/>
        <v>1000</v>
      </c>
      <c r="N568" s="4">
        <f t="shared" ref="N568:O568" si="736">MIN(IFERROR(FIND(" ",$C568,M568+1),1000))</f>
        <v>1000</v>
      </c>
      <c r="O568" s="4">
        <f t="shared" si="736"/>
        <v>1000</v>
      </c>
      <c r="P568" s="4">
        <f t="shared" si="672"/>
        <v>0</v>
      </c>
      <c r="Q568" s="4" t="str">
        <f t="shared" si="701"/>
        <v/>
      </c>
      <c r="R568" s="4" t="str">
        <f t="shared" si="717"/>
        <v/>
      </c>
      <c r="S568" s="4" t="str">
        <f t="shared" si="707"/>
        <v/>
      </c>
      <c r="T568" s="4" t="e">
        <f t="shared" si="673"/>
        <v>#VALUE!</v>
      </c>
      <c r="U568" s="4" t="e">
        <f t="shared" si="674"/>
        <v>#VALUE!</v>
      </c>
      <c r="V568" s="4" t="b">
        <f t="shared" si="665"/>
        <v>0</v>
      </c>
      <c r="W568" s="13" t="str">
        <f t="shared" si="666"/>
        <v>Да</v>
      </c>
      <c r="X568" s="4" t="e">
        <f>(IF(COUNTIFS($G$2:G568,"+",$W$2:W568,"Да")&gt;1,"&amp; ","")&amp;D568&amp;J568&amp;E568&amp;SUBSTITUTE(L568,"""",""))</f>
        <v>#VALUE!</v>
      </c>
      <c r="Y568" s="4" t="e">
        <f t="shared" si="704"/>
        <v>#VALUE!</v>
      </c>
    </row>
    <row r="569" spans="1:25" x14ac:dyDescent="0.3">
      <c r="A569" s="11"/>
      <c r="B569" s="5" t="str">
        <f t="shared" si="667"/>
        <v/>
      </c>
      <c r="C569" s="5" t="str">
        <f t="shared" si="668"/>
        <v/>
      </c>
      <c r="D569" s="4" t="s">
        <v>10</v>
      </c>
      <c r="E569" s="4" t="s">
        <v>11</v>
      </c>
      <c r="F569" s="4" t="str">
        <f t="shared" si="691"/>
        <v>!!!</v>
      </c>
      <c r="G569" s="4" t="str">
        <f t="shared" si="669"/>
        <v>+</v>
      </c>
      <c r="H569" s="4"/>
      <c r="I569" s="4" t="str">
        <f t="shared" si="692"/>
        <v>!!!</v>
      </c>
      <c r="J569" s="4" t="e">
        <f t="shared" si="693"/>
        <v>#VALUE!</v>
      </c>
      <c r="K569" s="4" t="e">
        <f t="shared" si="694"/>
        <v>#VALUE!</v>
      </c>
      <c r="L569" s="4" t="e">
        <f t="shared" si="695"/>
        <v>#VALUE!</v>
      </c>
      <c r="M569" s="4">
        <f t="shared" si="670"/>
        <v>1000</v>
      </c>
      <c r="N569" s="4">
        <f t="shared" ref="N569:O569" si="737">MIN(IFERROR(FIND(" ",$C569,M569+1),1000))</f>
        <v>1000</v>
      </c>
      <c r="O569" s="4">
        <f t="shared" si="737"/>
        <v>1000</v>
      </c>
      <c r="P569" s="4">
        <f t="shared" si="672"/>
        <v>0</v>
      </c>
      <c r="Q569" s="4" t="str">
        <f t="shared" si="701"/>
        <v/>
      </c>
      <c r="R569" s="4" t="str">
        <f t="shared" si="717"/>
        <v/>
      </c>
      <c r="S569" s="4" t="str">
        <f t="shared" si="707"/>
        <v/>
      </c>
      <c r="T569" s="4" t="e">
        <f t="shared" si="673"/>
        <v>#VALUE!</v>
      </c>
      <c r="U569" s="4" t="e">
        <f t="shared" si="674"/>
        <v>#VALUE!</v>
      </c>
      <c r="V569" s="4" t="b">
        <f t="shared" si="665"/>
        <v>0</v>
      </c>
      <c r="W569" s="13" t="str">
        <f t="shared" si="666"/>
        <v>Да</v>
      </c>
      <c r="X569" s="4" t="e">
        <f>(IF(COUNTIFS($G$2:G569,"+",$W$2:W569,"Да")&gt;1,"&amp; ","")&amp;D569&amp;J569&amp;E569&amp;SUBSTITUTE(L569,"""",""))</f>
        <v>#VALUE!</v>
      </c>
      <c r="Y569" s="4" t="e">
        <f t="shared" si="704"/>
        <v>#VALUE!</v>
      </c>
    </row>
    <row r="570" spans="1:25" x14ac:dyDescent="0.3">
      <c r="A570" s="11"/>
      <c r="B570" s="5" t="str">
        <f t="shared" si="667"/>
        <v/>
      </c>
      <c r="C570" s="5" t="str">
        <f t="shared" si="668"/>
        <v/>
      </c>
      <c r="D570" s="4" t="s">
        <v>10</v>
      </c>
      <c r="E570" s="4" t="s">
        <v>11</v>
      </c>
      <c r="F570" s="4" t="str">
        <f t="shared" si="691"/>
        <v>!!!</v>
      </c>
      <c r="G570" s="4" t="str">
        <f t="shared" si="669"/>
        <v>+</v>
      </c>
      <c r="H570" s="4"/>
      <c r="I570" s="4" t="str">
        <f t="shared" si="692"/>
        <v>!!!</v>
      </c>
      <c r="J570" s="4" t="e">
        <f t="shared" si="693"/>
        <v>#VALUE!</v>
      </c>
      <c r="K570" s="4" t="e">
        <f t="shared" si="694"/>
        <v>#VALUE!</v>
      </c>
      <c r="L570" s="4" t="e">
        <f t="shared" si="695"/>
        <v>#VALUE!</v>
      </c>
      <c r="M570" s="4">
        <f t="shared" si="670"/>
        <v>1000</v>
      </c>
      <c r="N570" s="4">
        <f t="shared" ref="N570:O570" si="738">MIN(IFERROR(FIND(" ",$C570,M570+1),1000))</f>
        <v>1000</v>
      </c>
      <c r="O570" s="4">
        <f t="shared" si="738"/>
        <v>1000</v>
      </c>
      <c r="P570" s="4">
        <f t="shared" si="672"/>
        <v>0</v>
      </c>
      <c r="Q570" s="4" t="str">
        <f t="shared" si="701"/>
        <v/>
      </c>
      <c r="R570" s="4" t="str">
        <f t="shared" si="717"/>
        <v/>
      </c>
      <c r="S570" s="4" t="str">
        <f t="shared" si="707"/>
        <v/>
      </c>
      <c r="T570" s="4" t="e">
        <f t="shared" si="673"/>
        <v>#VALUE!</v>
      </c>
      <c r="U570" s="4" t="e">
        <f t="shared" si="674"/>
        <v>#VALUE!</v>
      </c>
      <c r="V570" s="4" t="b">
        <f t="shared" si="665"/>
        <v>0</v>
      </c>
      <c r="W570" s="13" t="str">
        <f t="shared" si="666"/>
        <v>Да</v>
      </c>
      <c r="X570" s="4" t="e">
        <f>(IF(COUNTIFS($G$2:G570,"+",$W$2:W570,"Да")&gt;1,"&amp; ","")&amp;D570&amp;J570&amp;E570&amp;SUBSTITUTE(L570,"""",""))</f>
        <v>#VALUE!</v>
      </c>
      <c r="Y570" s="4" t="e">
        <f t="shared" si="704"/>
        <v>#VALUE!</v>
      </c>
    </row>
    <row r="571" spans="1:25" x14ac:dyDescent="0.3">
      <c r="A571" s="11"/>
      <c r="B571" s="5" t="str">
        <f t="shared" si="667"/>
        <v/>
      </c>
      <c r="C571" s="5" t="str">
        <f t="shared" si="668"/>
        <v/>
      </c>
      <c r="D571" s="4" t="s">
        <v>10</v>
      </c>
      <c r="E571" s="4" t="s">
        <v>11</v>
      </c>
      <c r="F571" s="4" t="str">
        <f t="shared" si="691"/>
        <v>!!!</v>
      </c>
      <c r="G571" s="4" t="str">
        <f t="shared" si="669"/>
        <v>+</v>
      </c>
      <c r="H571" s="4"/>
      <c r="I571" s="4" t="str">
        <f t="shared" si="692"/>
        <v>!!!</v>
      </c>
      <c r="J571" s="4" t="e">
        <f t="shared" si="693"/>
        <v>#VALUE!</v>
      </c>
      <c r="K571" s="4" t="e">
        <f t="shared" si="694"/>
        <v>#VALUE!</v>
      </c>
      <c r="L571" s="4" t="e">
        <f t="shared" si="695"/>
        <v>#VALUE!</v>
      </c>
      <c r="M571" s="4">
        <f t="shared" si="670"/>
        <v>1000</v>
      </c>
      <c r="N571" s="4">
        <f t="shared" ref="N571:O571" si="739">MIN(IFERROR(FIND(" ",$C571,M571+1),1000))</f>
        <v>1000</v>
      </c>
      <c r="O571" s="4">
        <f t="shared" si="739"/>
        <v>1000</v>
      </c>
      <c r="P571" s="4">
        <f t="shared" si="672"/>
        <v>0</v>
      </c>
      <c r="Q571" s="4" t="str">
        <f t="shared" si="701"/>
        <v/>
      </c>
      <c r="R571" s="4" t="str">
        <f t="shared" si="717"/>
        <v/>
      </c>
      <c r="S571" s="4" t="str">
        <f t="shared" si="707"/>
        <v/>
      </c>
      <c r="T571" s="4" t="e">
        <f t="shared" si="673"/>
        <v>#VALUE!</v>
      </c>
      <c r="U571" s="4" t="e">
        <f t="shared" si="674"/>
        <v>#VALUE!</v>
      </c>
      <c r="V571" s="4" t="b">
        <f t="shared" si="665"/>
        <v>0</v>
      </c>
      <c r="W571" s="13" t="str">
        <f t="shared" si="666"/>
        <v>Да</v>
      </c>
      <c r="X571" s="4" t="e">
        <f>(IF(COUNTIFS($G$2:G571,"+",$W$2:W571,"Да")&gt;1,"&amp; ","")&amp;D571&amp;J571&amp;E571&amp;SUBSTITUTE(L571,"""",""))</f>
        <v>#VALUE!</v>
      </c>
      <c r="Y571" s="4" t="e">
        <f t="shared" si="704"/>
        <v>#VALUE!</v>
      </c>
    </row>
    <row r="572" spans="1:25" x14ac:dyDescent="0.3">
      <c r="A572" s="11"/>
      <c r="B572" s="5" t="str">
        <f t="shared" si="667"/>
        <v/>
      </c>
      <c r="C572" s="5" t="str">
        <f t="shared" si="668"/>
        <v/>
      </c>
      <c r="D572" s="4" t="s">
        <v>10</v>
      </c>
      <c r="E572" s="4" t="s">
        <v>11</v>
      </c>
      <c r="F572" s="4" t="str">
        <f t="shared" si="691"/>
        <v>!!!</v>
      </c>
      <c r="G572" s="4" t="str">
        <f t="shared" si="669"/>
        <v>+</v>
      </c>
      <c r="H572" s="4"/>
      <c r="I572" s="4" t="str">
        <f t="shared" si="692"/>
        <v>!!!</v>
      </c>
      <c r="J572" s="4" t="e">
        <f t="shared" si="693"/>
        <v>#VALUE!</v>
      </c>
      <c r="K572" s="4" t="e">
        <f t="shared" si="694"/>
        <v>#VALUE!</v>
      </c>
      <c r="L572" s="4" t="e">
        <f t="shared" si="695"/>
        <v>#VALUE!</v>
      </c>
      <c r="M572" s="4">
        <f t="shared" si="670"/>
        <v>1000</v>
      </c>
      <c r="N572" s="4">
        <f t="shared" ref="N572:O572" si="740">MIN(IFERROR(FIND(" ",$C572,M572+1),1000))</f>
        <v>1000</v>
      </c>
      <c r="O572" s="4">
        <f t="shared" si="740"/>
        <v>1000</v>
      </c>
      <c r="P572" s="4">
        <f t="shared" si="672"/>
        <v>0</v>
      </c>
      <c r="Q572" s="4" t="str">
        <f t="shared" si="701"/>
        <v/>
      </c>
      <c r="R572" s="4" t="str">
        <f t="shared" si="717"/>
        <v/>
      </c>
      <c r="S572" s="4" t="str">
        <f t="shared" si="707"/>
        <v/>
      </c>
      <c r="T572" s="4" t="e">
        <f t="shared" si="673"/>
        <v>#VALUE!</v>
      </c>
      <c r="U572" s="4" t="e">
        <f t="shared" si="674"/>
        <v>#VALUE!</v>
      </c>
      <c r="V572" s="4" t="b">
        <f t="shared" si="665"/>
        <v>0</v>
      </c>
      <c r="W572" s="13" t="str">
        <f t="shared" si="666"/>
        <v>Да</v>
      </c>
      <c r="X572" s="4" t="e">
        <f>(IF(COUNTIFS($G$2:G572,"+",$W$2:W572,"Да")&gt;1,"&amp; ","")&amp;D572&amp;J572&amp;E572&amp;SUBSTITUTE(L572,"""",""))</f>
        <v>#VALUE!</v>
      </c>
      <c r="Y572" s="4" t="e">
        <f t="shared" si="704"/>
        <v>#VALUE!</v>
      </c>
    </row>
    <row r="573" spans="1:25" x14ac:dyDescent="0.3">
      <c r="A573" s="11"/>
      <c r="B573" s="5" t="str">
        <f t="shared" si="667"/>
        <v/>
      </c>
      <c r="C573" s="5" t="str">
        <f t="shared" si="668"/>
        <v/>
      </c>
      <c r="D573" s="4" t="s">
        <v>10</v>
      </c>
      <c r="E573" s="4" t="s">
        <v>11</v>
      </c>
      <c r="F573" s="4" t="str">
        <f t="shared" si="691"/>
        <v>!!!</v>
      </c>
      <c r="G573" s="4" t="str">
        <f t="shared" si="669"/>
        <v>+</v>
      </c>
      <c r="H573" s="4"/>
      <c r="I573" s="4" t="str">
        <f t="shared" si="692"/>
        <v>!!!</v>
      </c>
      <c r="J573" s="4" t="e">
        <f t="shared" si="693"/>
        <v>#VALUE!</v>
      </c>
      <c r="K573" s="4" t="e">
        <f t="shared" si="694"/>
        <v>#VALUE!</v>
      </c>
      <c r="L573" s="4" t="e">
        <f t="shared" si="695"/>
        <v>#VALUE!</v>
      </c>
      <c r="M573" s="4">
        <f t="shared" si="670"/>
        <v>1000</v>
      </c>
      <c r="N573" s="4">
        <f t="shared" ref="N573:O573" si="741">MIN(IFERROR(FIND(" ",$C573,M573+1),1000))</f>
        <v>1000</v>
      </c>
      <c r="O573" s="4">
        <f t="shared" si="741"/>
        <v>1000</v>
      </c>
      <c r="P573" s="4">
        <f t="shared" si="672"/>
        <v>0</v>
      </c>
      <c r="Q573" s="4" t="str">
        <f t="shared" si="701"/>
        <v/>
      </c>
      <c r="R573" s="4" t="str">
        <f t="shared" si="717"/>
        <v/>
      </c>
      <c r="S573" s="4" t="str">
        <f t="shared" si="707"/>
        <v/>
      </c>
      <c r="T573" s="4" t="e">
        <f t="shared" si="673"/>
        <v>#VALUE!</v>
      </c>
      <c r="U573" s="4" t="e">
        <f t="shared" si="674"/>
        <v>#VALUE!</v>
      </c>
      <c r="V573" s="4" t="b">
        <f t="shared" si="665"/>
        <v>0</v>
      </c>
      <c r="W573" s="13" t="str">
        <f t="shared" si="666"/>
        <v>Да</v>
      </c>
      <c r="X573" s="4" t="e">
        <f>(IF(COUNTIFS($G$2:G573,"+",$W$2:W573,"Да")&gt;1,"&amp; ","")&amp;D573&amp;J573&amp;E573&amp;SUBSTITUTE(L573,"""",""))</f>
        <v>#VALUE!</v>
      </c>
      <c r="Y573" s="4" t="e">
        <f t="shared" si="704"/>
        <v>#VALUE!</v>
      </c>
    </row>
    <row r="574" spans="1:25" x14ac:dyDescent="0.3">
      <c r="A574" s="11"/>
      <c r="B574" s="5" t="str">
        <f t="shared" si="667"/>
        <v/>
      </c>
      <c r="C574" s="5" t="str">
        <f t="shared" si="668"/>
        <v/>
      </c>
      <c r="D574" s="4" t="s">
        <v>10</v>
      </c>
      <c r="E574" s="4" t="s">
        <v>11</v>
      </c>
      <c r="F574" s="4" t="str">
        <f t="shared" si="691"/>
        <v>!!!</v>
      </c>
      <c r="G574" s="4" t="str">
        <f t="shared" si="669"/>
        <v>+</v>
      </c>
      <c r="H574" s="4"/>
      <c r="I574" s="4" t="str">
        <f t="shared" si="692"/>
        <v>!!!</v>
      </c>
      <c r="J574" s="4" t="e">
        <f t="shared" si="693"/>
        <v>#VALUE!</v>
      </c>
      <c r="K574" s="4" t="e">
        <f t="shared" si="694"/>
        <v>#VALUE!</v>
      </c>
      <c r="L574" s="4" t="e">
        <f t="shared" si="695"/>
        <v>#VALUE!</v>
      </c>
      <c r="M574" s="4">
        <f t="shared" si="670"/>
        <v>1000</v>
      </c>
      <c r="N574" s="4">
        <f t="shared" ref="N574:O574" si="742">MIN(IFERROR(FIND(" ",$C574,M574+1),1000))</f>
        <v>1000</v>
      </c>
      <c r="O574" s="4">
        <f t="shared" si="742"/>
        <v>1000</v>
      </c>
      <c r="P574" s="4">
        <f t="shared" si="672"/>
        <v>0</v>
      </c>
      <c r="Q574" s="4" t="str">
        <f t="shared" si="701"/>
        <v/>
      </c>
      <c r="R574" s="4" t="str">
        <f t="shared" si="717"/>
        <v/>
      </c>
      <c r="S574" s="4" t="str">
        <f t="shared" si="707"/>
        <v/>
      </c>
      <c r="T574" s="4" t="e">
        <f t="shared" si="673"/>
        <v>#VALUE!</v>
      </c>
      <c r="U574" s="4" t="e">
        <f t="shared" si="674"/>
        <v>#VALUE!</v>
      </c>
      <c r="V574" s="4" t="b">
        <f t="shared" si="665"/>
        <v>0</v>
      </c>
      <c r="W574" s="13" t="str">
        <f t="shared" si="666"/>
        <v>Да</v>
      </c>
      <c r="X574" s="4" t="e">
        <f>(IF(COUNTIFS($G$2:G574,"+",$W$2:W574,"Да")&gt;1,"&amp; ","")&amp;D574&amp;J574&amp;E574&amp;SUBSTITUTE(L574,"""",""))</f>
        <v>#VALUE!</v>
      </c>
      <c r="Y574" s="4" t="e">
        <f t="shared" si="704"/>
        <v>#VALUE!</v>
      </c>
    </row>
    <row r="575" spans="1:25" x14ac:dyDescent="0.3">
      <c r="A575" s="11"/>
      <c r="B575" s="5" t="str">
        <f t="shared" si="667"/>
        <v/>
      </c>
      <c r="C575" s="5" t="str">
        <f t="shared" si="668"/>
        <v/>
      </c>
      <c r="D575" s="4" t="s">
        <v>10</v>
      </c>
      <c r="E575" s="4" t="s">
        <v>11</v>
      </c>
      <c r="F575" s="4" t="str">
        <f t="shared" si="691"/>
        <v>!!!</v>
      </c>
      <c r="G575" s="4" t="str">
        <f t="shared" si="669"/>
        <v>+</v>
      </c>
      <c r="H575" s="4"/>
      <c r="I575" s="4" t="str">
        <f t="shared" si="692"/>
        <v>!!!</v>
      </c>
      <c r="J575" s="4" t="e">
        <f t="shared" si="693"/>
        <v>#VALUE!</v>
      </c>
      <c r="K575" s="4" t="e">
        <f t="shared" si="694"/>
        <v>#VALUE!</v>
      </c>
      <c r="L575" s="4" t="e">
        <f t="shared" si="695"/>
        <v>#VALUE!</v>
      </c>
      <c r="M575" s="4">
        <f t="shared" si="670"/>
        <v>1000</v>
      </c>
      <c r="N575" s="4">
        <f t="shared" ref="N575:O575" si="743">MIN(IFERROR(FIND(" ",$C575,M575+1),1000))</f>
        <v>1000</v>
      </c>
      <c r="O575" s="4">
        <f t="shared" si="743"/>
        <v>1000</v>
      </c>
      <c r="P575" s="4">
        <f t="shared" si="672"/>
        <v>0</v>
      </c>
      <c r="Q575" s="4" t="str">
        <f t="shared" si="701"/>
        <v/>
      </c>
      <c r="R575" s="4" t="str">
        <f t="shared" si="717"/>
        <v/>
      </c>
      <c r="S575" s="4" t="str">
        <f t="shared" si="707"/>
        <v/>
      </c>
      <c r="T575" s="4" t="e">
        <f t="shared" si="673"/>
        <v>#VALUE!</v>
      </c>
      <c r="U575" s="4" t="e">
        <f t="shared" si="674"/>
        <v>#VALUE!</v>
      </c>
      <c r="V575" s="4" t="b">
        <f t="shared" si="665"/>
        <v>0</v>
      </c>
      <c r="W575" s="13" t="str">
        <f t="shared" si="666"/>
        <v>Да</v>
      </c>
      <c r="X575" s="4" t="e">
        <f>(IF(COUNTIFS($G$2:G575,"+",$W$2:W575,"Да")&gt;1,"&amp; ","")&amp;D575&amp;J575&amp;E575&amp;SUBSTITUTE(L575,"""",""))</f>
        <v>#VALUE!</v>
      </c>
      <c r="Y575" s="4" t="e">
        <f t="shared" si="704"/>
        <v>#VALUE!</v>
      </c>
    </row>
    <row r="576" spans="1:25" x14ac:dyDescent="0.3">
      <c r="A576" s="11"/>
      <c r="B576" s="5" t="str">
        <f t="shared" si="667"/>
        <v/>
      </c>
      <c r="C576" s="5" t="str">
        <f t="shared" si="668"/>
        <v/>
      </c>
      <c r="D576" s="4" t="s">
        <v>10</v>
      </c>
      <c r="E576" s="4" t="s">
        <v>11</v>
      </c>
      <c r="F576" s="4" t="str">
        <f t="shared" si="691"/>
        <v>!!!</v>
      </c>
      <c r="G576" s="4" t="str">
        <f t="shared" si="669"/>
        <v>+</v>
      </c>
      <c r="H576" s="4"/>
      <c r="I576" s="4" t="str">
        <f t="shared" si="692"/>
        <v>!!!</v>
      </c>
      <c r="J576" s="4" t="e">
        <f t="shared" si="693"/>
        <v>#VALUE!</v>
      </c>
      <c r="K576" s="4" t="e">
        <f t="shared" si="694"/>
        <v>#VALUE!</v>
      </c>
      <c r="L576" s="4" t="e">
        <f t="shared" si="695"/>
        <v>#VALUE!</v>
      </c>
      <c r="M576" s="4">
        <f t="shared" si="670"/>
        <v>1000</v>
      </c>
      <c r="N576" s="4">
        <f t="shared" ref="N576:O576" si="744">MIN(IFERROR(FIND(" ",$C576,M576+1),1000))</f>
        <v>1000</v>
      </c>
      <c r="O576" s="4">
        <f t="shared" si="744"/>
        <v>1000</v>
      </c>
      <c r="P576" s="4">
        <f t="shared" si="672"/>
        <v>0</v>
      </c>
      <c r="Q576" s="4" t="str">
        <f t="shared" si="701"/>
        <v/>
      </c>
      <c r="R576" s="4" t="str">
        <f t="shared" si="717"/>
        <v/>
      </c>
      <c r="S576" s="4" t="str">
        <f t="shared" si="707"/>
        <v/>
      </c>
      <c r="T576" s="4" t="e">
        <f t="shared" si="673"/>
        <v>#VALUE!</v>
      </c>
      <c r="U576" s="4" t="e">
        <f t="shared" si="674"/>
        <v>#VALUE!</v>
      </c>
      <c r="V576" s="4" t="b">
        <f t="shared" si="665"/>
        <v>0</v>
      </c>
      <c r="W576" s="13" t="str">
        <f t="shared" si="666"/>
        <v>Да</v>
      </c>
      <c r="X576" s="4" t="e">
        <f>(IF(COUNTIFS($G$2:G576,"+",$W$2:W576,"Да")&gt;1,"&amp; ","")&amp;D576&amp;J576&amp;E576&amp;SUBSTITUTE(L576,"""",""))</f>
        <v>#VALUE!</v>
      </c>
      <c r="Y576" s="4" t="e">
        <f t="shared" si="704"/>
        <v>#VALUE!</v>
      </c>
    </row>
    <row r="577" spans="1:25" x14ac:dyDescent="0.3">
      <c r="A577" s="11"/>
      <c r="B577" s="5" t="str">
        <f t="shared" si="667"/>
        <v/>
      </c>
      <c r="C577" s="5" t="str">
        <f t="shared" si="668"/>
        <v/>
      </c>
      <c r="D577" s="4" t="s">
        <v>10</v>
      </c>
      <c r="E577" s="4" t="s">
        <v>11</v>
      </c>
      <c r="F577" s="4" t="str">
        <f t="shared" si="691"/>
        <v>!!!</v>
      </c>
      <c r="G577" s="4" t="str">
        <f t="shared" si="669"/>
        <v>+</v>
      </c>
      <c r="H577" s="4"/>
      <c r="I577" s="4" t="str">
        <f t="shared" si="692"/>
        <v>!!!</v>
      </c>
      <c r="J577" s="4" t="e">
        <f t="shared" si="693"/>
        <v>#VALUE!</v>
      </c>
      <c r="K577" s="4" t="e">
        <f t="shared" si="694"/>
        <v>#VALUE!</v>
      </c>
      <c r="L577" s="4" t="e">
        <f t="shared" si="695"/>
        <v>#VALUE!</v>
      </c>
      <c r="M577" s="4">
        <f t="shared" si="670"/>
        <v>1000</v>
      </c>
      <c r="N577" s="4">
        <f t="shared" ref="N577:O577" si="745">MIN(IFERROR(FIND(" ",$C577,M577+1),1000))</f>
        <v>1000</v>
      </c>
      <c r="O577" s="4">
        <f t="shared" si="745"/>
        <v>1000</v>
      </c>
      <c r="P577" s="4">
        <f t="shared" si="672"/>
        <v>0</v>
      </c>
      <c r="Q577" s="4" t="str">
        <f t="shared" si="701"/>
        <v/>
      </c>
      <c r="R577" s="4" t="str">
        <f t="shared" si="717"/>
        <v/>
      </c>
      <c r="S577" s="4" t="str">
        <f t="shared" si="707"/>
        <v/>
      </c>
      <c r="T577" s="4" t="e">
        <f t="shared" si="673"/>
        <v>#VALUE!</v>
      </c>
      <c r="U577" s="4" t="e">
        <f t="shared" si="674"/>
        <v>#VALUE!</v>
      </c>
      <c r="V577" s="4" t="b">
        <f t="shared" si="665"/>
        <v>0</v>
      </c>
      <c r="W577" s="13" t="str">
        <f t="shared" si="666"/>
        <v>Да</v>
      </c>
      <c r="X577" s="4" t="e">
        <f>(IF(COUNTIFS($G$2:G577,"+",$W$2:W577,"Да")&gt;1,"&amp; ","")&amp;D577&amp;J577&amp;E577&amp;SUBSTITUTE(L577,"""",""))</f>
        <v>#VALUE!</v>
      </c>
      <c r="Y577" s="4" t="e">
        <f t="shared" si="704"/>
        <v>#VALUE!</v>
      </c>
    </row>
    <row r="578" spans="1:25" x14ac:dyDescent="0.3">
      <c r="A578" s="11"/>
      <c r="B578" s="5" t="str">
        <f t="shared" si="667"/>
        <v/>
      </c>
      <c r="C578" s="5" t="str">
        <f t="shared" si="668"/>
        <v/>
      </c>
      <c r="D578" s="4" t="s">
        <v>10</v>
      </c>
      <c r="E578" s="4" t="s">
        <v>11</v>
      </c>
      <c r="F578" s="4" t="str">
        <f t="shared" si="691"/>
        <v>!!!</v>
      </c>
      <c r="G578" s="4" t="str">
        <f t="shared" si="669"/>
        <v>+</v>
      </c>
      <c r="H578" s="4"/>
      <c r="I578" s="4" t="str">
        <f t="shared" si="692"/>
        <v>!!!</v>
      </c>
      <c r="J578" s="4" t="e">
        <f t="shared" si="693"/>
        <v>#VALUE!</v>
      </c>
      <c r="K578" s="4" t="e">
        <f t="shared" si="694"/>
        <v>#VALUE!</v>
      </c>
      <c r="L578" s="4" t="e">
        <f t="shared" si="695"/>
        <v>#VALUE!</v>
      </c>
      <c r="M578" s="4">
        <f t="shared" si="670"/>
        <v>1000</v>
      </c>
      <c r="N578" s="4">
        <f t="shared" ref="N578:O578" si="746">MIN(IFERROR(FIND(" ",$C578,M578+1),1000))</f>
        <v>1000</v>
      </c>
      <c r="O578" s="4">
        <f t="shared" si="746"/>
        <v>1000</v>
      </c>
      <c r="P578" s="4">
        <f t="shared" si="672"/>
        <v>0</v>
      </c>
      <c r="Q578" s="4" t="str">
        <f t="shared" si="701"/>
        <v/>
      </c>
      <c r="R578" s="4" t="str">
        <f t="shared" si="717"/>
        <v/>
      </c>
      <c r="S578" s="4" t="str">
        <f t="shared" si="707"/>
        <v/>
      </c>
      <c r="T578" s="4" t="e">
        <f t="shared" si="673"/>
        <v>#VALUE!</v>
      </c>
      <c r="U578" s="4" t="e">
        <f t="shared" si="674"/>
        <v>#VALUE!</v>
      </c>
      <c r="V578" s="4" t="b">
        <f t="shared" ref="V578:V641" si="747">OR(IFERROR(MATCH(U578,Q:Q,0),0)&lt;&gt;0,IFERROR(MATCH(U578,R:R,0),0)&lt;&gt;0)</f>
        <v>0</v>
      </c>
      <c r="W578" s="13" t="str">
        <f t="shared" ref="W578:W641" si="748">IF(A578="","Да",IF(OR(F578="!!!",NOT(V578)),"Нет","Да"))</f>
        <v>Да</v>
      </c>
      <c r="X578" s="4" t="e">
        <f>(IF(COUNTIFS($G$2:G578,"+",$W$2:W578,"Да")&gt;1,"&amp; ","")&amp;D578&amp;J578&amp;E578&amp;SUBSTITUTE(L578,"""",""))</f>
        <v>#VALUE!</v>
      </c>
      <c r="Y578" s="4" t="e">
        <f t="shared" si="704"/>
        <v>#VALUE!</v>
      </c>
    </row>
    <row r="579" spans="1:25" x14ac:dyDescent="0.3">
      <c r="A579" s="11"/>
      <c r="B579" s="5" t="str">
        <f t="shared" ref="B579:B642" si="749">TRIM(LEFT(A579,IFERROR(FIND("'",A579)-1,1000)))</f>
        <v/>
      </c>
      <c r="C579" s="5" t="str">
        <f t="shared" ref="C579:C642" si="750">SUBSTITUTE(SUBSTITUTE(SUBSTITUTE(SUBSTITUTE(TRIM(LEFT(A579,IFERROR(FIND("'",A579)-1,1000))),"&lt;&lt;","&lt;"),"--","-"),"&gt;&gt;","&gt;"),"&amp;","")</f>
        <v/>
      </c>
      <c r="D579" s="4" t="s">
        <v>10</v>
      </c>
      <c r="E579" s="4" t="s">
        <v>11</v>
      </c>
      <c r="F579" s="4" t="str">
        <f t="shared" si="691"/>
        <v>!!!</v>
      </c>
      <c r="G579" s="4" t="str">
        <f t="shared" ref="G579:G642" si="751">IF(AND($A$2="",$A$3="",$A$4="",$A$5=""),"+",IF(F579="!!!","X","+"))</f>
        <v>+</v>
      </c>
      <c r="H579" s="4"/>
      <c r="I579" s="4" t="str">
        <f t="shared" si="692"/>
        <v>!!!</v>
      </c>
      <c r="J579" s="4" t="e">
        <f t="shared" si="693"/>
        <v>#VALUE!</v>
      </c>
      <c r="K579" s="4" t="e">
        <f t="shared" si="694"/>
        <v>#VALUE!</v>
      </c>
      <c r="L579" s="4" t="e">
        <f t="shared" si="695"/>
        <v>#VALUE!</v>
      </c>
      <c r="M579" s="4">
        <f t="shared" ref="M579:M642" si="752">MIN(IFERROR(FIND(" ",$C579),1000))</f>
        <v>1000</v>
      </c>
      <c r="N579" s="4">
        <f t="shared" ref="N579:O579" si="753">MIN(IFERROR(FIND(" ",$C579,M579+1),1000))</f>
        <v>1000</v>
      </c>
      <c r="O579" s="4">
        <f t="shared" si="753"/>
        <v>1000</v>
      </c>
      <c r="P579" s="4">
        <f t="shared" ref="P579:P642" si="754">MIN(IFERROR(FIND(" ",C579,O579+1),0),IFERROR(FIND("&lt;",C579,O579+1),0),IFERROR(FIND(":",C579,O579+1),0))</f>
        <v>0</v>
      </c>
      <c r="Q579" s="4" t="str">
        <f t="shared" si="701"/>
        <v/>
      </c>
      <c r="R579" s="4" t="str">
        <f t="shared" si="717"/>
        <v/>
      </c>
      <c r="S579" s="4" t="str">
        <f t="shared" si="707"/>
        <v/>
      </c>
      <c r="T579" s="4" t="e">
        <f t="shared" ref="T579:T642" si="755">FIND(" ",C579,FIND("as",C579))+1</f>
        <v>#VALUE!</v>
      </c>
      <c r="U579" s="4" t="e">
        <f t="shared" ref="U579:U642" si="756">MID(C579,T579,MIN(FIND(" ",C579,T579),FIND("&lt;",C579,T579))-T579)</f>
        <v>#VALUE!</v>
      </c>
      <c r="V579" s="4" t="b">
        <f t="shared" si="747"/>
        <v>0</v>
      </c>
      <c r="W579" s="13" t="str">
        <f t="shared" si="748"/>
        <v>Да</v>
      </c>
      <c r="X579" s="4" t="e">
        <f>(IF(COUNTIFS($G$2:G579,"+",$W$2:W579,"Да")&gt;1,"&amp; ","")&amp;D579&amp;J579&amp;E579&amp;SUBSTITUTE(L579,"""",""))</f>
        <v>#VALUE!</v>
      </c>
      <c r="Y579" s="4" t="e">
        <f t="shared" si="704"/>
        <v>#VALUE!</v>
      </c>
    </row>
    <row r="580" spans="1:25" x14ac:dyDescent="0.3">
      <c r="A580" s="11"/>
      <c r="B580" s="5" t="str">
        <f t="shared" si="749"/>
        <v/>
      </c>
      <c r="C580" s="5" t="str">
        <f t="shared" si="750"/>
        <v/>
      </c>
      <c r="D580" s="4" t="s">
        <v>10</v>
      </c>
      <c r="E580" s="4" t="s">
        <v>11</v>
      </c>
      <c r="F580" s="4" t="str">
        <f t="shared" si="691"/>
        <v>!!!</v>
      </c>
      <c r="G580" s="4" t="str">
        <f t="shared" si="751"/>
        <v>+</v>
      </c>
      <c r="H580" s="4"/>
      <c r="I580" s="4" t="str">
        <f t="shared" si="692"/>
        <v>!!!</v>
      </c>
      <c r="J580" s="4" t="e">
        <f t="shared" si="693"/>
        <v>#VALUE!</v>
      </c>
      <c r="K580" s="4" t="e">
        <f t="shared" si="694"/>
        <v>#VALUE!</v>
      </c>
      <c r="L580" s="4" t="e">
        <f t="shared" si="695"/>
        <v>#VALUE!</v>
      </c>
      <c r="M580" s="4">
        <f t="shared" si="752"/>
        <v>1000</v>
      </c>
      <c r="N580" s="4">
        <f t="shared" ref="N580:O580" si="757">MIN(IFERROR(FIND(" ",$C580,M580+1),1000))</f>
        <v>1000</v>
      </c>
      <c r="O580" s="4">
        <f t="shared" si="757"/>
        <v>1000</v>
      </c>
      <c r="P580" s="4">
        <f t="shared" si="754"/>
        <v>0</v>
      </c>
      <c r="Q580" s="4" t="str">
        <f t="shared" si="701"/>
        <v/>
      </c>
      <c r="R580" s="4" t="str">
        <f t="shared" si="717"/>
        <v/>
      </c>
      <c r="S580" s="4" t="str">
        <f t="shared" si="707"/>
        <v/>
      </c>
      <c r="T580" s="4" t="e">
        <f t="shared" si="755"/>
        <v>#VALUE!</v>
      </c>
      <c r="U580" s="4" t="e">
        <f t="shared" si="756"/>
        <v>#VALUE!</v>
      </c>
      <c r="V580" s="4" t="b">
        <f t="shared" si="747"/>
        <v>0</v>
      </c>
      <c r="W580" s="13" t="str">
        <f t="shared" si="748"/>
        <v>Да</v>
      </c>
      <c r="X580" s="4" t="e">
        <f>(IF(COUNTIFS($G$2:G580,"+",$W$2:W580,"Да")&gt;1,"&amp; ","")&amp;D580&amp;J580&amp;E580&amp;SUBSTITUTE(L580,"""",""))</f>
        <v>#VALUE!</v>
      </c>
      <c r="Y580" s="4" t="e">
        <f t="shared" si="704"/>
        <v>#VALUE!</v>
      </c>
    </row>
    <row r="581" spans="1:25" x14ac:dyDescent="0.3">
      <c r="A581" s="11"/>
      <c r="B581" s="5" t="str">
        <f t="shared" si="749"/>
        <v/>
      </c>
      <c r="C581" s="5" t="str">
        <f t="shared" si="750"/>
        <v/>
      </c>
      <c r="D581" s="4" t="s">
        <v>10</v>
      </c>
      <c r="E581" s="4" t="s">
        <v>11</v>
      </c>
      <c r="F581" s="4" t="str">
        <f t="shared" si="691"/>
        <v>!!!</v>
      </c>
      <c r="G581" s="4" t="str">
        <f t="shared" si="751"/>
        <v>+</v>
      </c>
      <c r="H581" s="4"/>
      <c r="I581" s="4" t="str">
        <f t="shared" si="692"/>
        <v>!!!</v>
      </c>
      <c r="J581" s="4" t="e">
        <f t="shared" si="693"/>
        <v>#VALUE!</v>
      </c>
      <c r="K581" s="4" t="e">
        <f t="shared" si="694"/>
        <v>#VALUE!</v>
      </c>
      <c r="L581" s="4" t="e">
        <f t="shared" si="695"/>
        <v>#VALUE!</v>
      </c>
      <c r="M581" s="4">
        <f t="shared" si="752"/>
        <v>1000</v>
      </c>
      <c r="N581" s="4">
        <f t="shared" ref="N581:O581" si="758">MIN(IFERROR(FIND(" ",$C581,M581+1),1000))</f>
        <v>1000</v>
      </c>
      <c r="O581" s="4">
        <f t="shared" si="758"/>
        <v>1000</v>
      </c>
      <c r="P581" s="4">
        <f t="shared" si="754"/>
        <v>0</v>
      </c>
      <c r="Q581" s="4" t="str">
        <f t="shared" si="701"/>
        <v/>
      </c>
      <c r="R581" s="4" t="str">
        <f t="shared" si="717"/>
        <v/>
      </c>
      <c r="S581" s="4" t="str">
        <f t="shared" si="707"/>
        <v/>
      </c>
      <c r="T581" s="4" t="e">
        <f t="shared" si="755"/>
        <v>#VALUE!</v>
      </c>
      <c r="U581" s="4" t="e">
        <f t="shared" si="756"/>
        <v>#VALUE!</v>
      </c>
      <c r="V581" s="4" t="b">
        <f t="shared" si="747"/>
        <v>0</v>
      </c>
      <c r="W581" s="13" t="str">
        <f t="shared" si="748"/>
        <v>Да</v>
      </c>
      <c r="X581" s="4" t="e">
        <f>(IF(COUNTIFS($G$2:G581,"+",$W$2:W581,"Да")&gt;1,"&amp; ","")&amp;D581&amp;J581&amp;E581&amp;SUBSTITUTE(L581,"""",""))</f>
        <v>#VALUE!</v>
      </c>
      <c r="Y581" s="4" t="e">
        <f t="shared" si="704"/>
        <v>#VALUE!</v>
      </c>
    </row>
    <row r="582" spans="1:25" x14ac:dyDescent="0.3">
      <c r="A582" s="11"/>
      <c r="B582" s="5" t="str">
        <f t="shared" si="749"/>
        <v/>
      </c>
      <c r="C582" s="5" t="str">
        <f t="shared" si="750"/>
        <v/>
      </c>
      <c r="D582" s="4" t="s">
        <v>10</v>
      </c>
      <c r="E582" s="4" t="s">
        <v>11</v>
      </c>
      <c r="F582" s="4" t="str">
        <f t="shared" si="691"/>
        <v>!!!</v>
      </c>
      <c r="G582" s="4" t="str">
        <f t="shared" si="751"/>
        <v>+</v>
      </c>
      <c r="H582" s="4"/>
      <c r="I582" s="4" t="str">
        <f t="shared" si="692"/>
        <v>!!!</v>
      </c>
      <c r="J582" s="4" t="e">
        <f t="shared" si="693"/>
        <v>#VALUE!</v>
      </c>
      <c r="K582" s="4" t="e">
        <f t="shared" si="694"/>
        <v>#VALUE!</v>
      </c>
      <c r="L582" s="4" t="e">
        <f t="shared" si="695"/>
        <v>#VALUE!</v>
      </c>
      <c r="M582" s="4">
        <f t="shared" si="752"/>
        <v>1000</v>
      </c>
      <c r="N582" s="4">
        <f t="shared" ref="N582:O582" si="759">MIN(IFERROR(FIND(" ",$C582,M582+1),1000))</f>
        <v>1000</v>
      </c>
      <c r="O582" s="4">
        <f t="shared" si="759"/>
        <v>1000</v>
      </c>
      <c r="P582" s="4">
        <f t="shared" si="754"/>
        <v>0</v>
      </c>
      <c r="Q582" s="4" t="str">
        <f t="shared" si="701"/>
        <v/>
      </c>
      <c r="R582" s="4" t="str">
        <f t="shared" si="717"/>
        <v/>
      </c>
      <c r="S582" s="4" t="str">
        <f t="shared" si="707"/>
        <v/>
      </c>
      <c r="T582" s="4" t="e">
        <f t="shared" si="755"/>
        <v>#VALUE!</v>
      </c>
      <c r="U582" s="4" t="e">
        <f t="shared" si="756"/>
        <v>#VALUE!</v>
      </c>
      <c r="V582" s="4" t="b">
        <f t="shared" si="747"/>
        <v>0</v>
      </c>
      <c r="W582" s="13" t="str">
        <f t="shared" si="748"/>
        <v>Да</v>
      </c>
      <c r="X582" s="4" t="e">
        <f>(IF(COUNTIFS($G$2:G582,"+",$W$2:W582,"Да")&gt;1,"&amp; ","")&amp;D582&amp;J582&amp;E582&amp;SUBSTITUTE(L582,"""",""))</f>
        <v>#VALUE!</v>
      </c>
      <c r="Y582" s="4" t="e">
        <f t="shared" si="704"/>
        <v>#VALUE!</v>
      </c>
    </row>
    <row r="583" spans="1:25" x14ac:dyDescent="0.3">
      <c r="A583" s="11"/>
      <c r="B583" s="5" t="str">
        <f t="shared" si="749"/>
        <v/>
      </c>
      <c r="C583" s="5" t="str">
        <f t="shared" si="750"/>
        <v/>
      </c>
      <c r="D583" s="4" t="s">
        <v>10</v>
      </c>
      <c r="E583" s="4" t="s">
        <v>11</v>
      </c>
      <c r="F583" s="4" t="str">
        <f t="shared" si="691"/>
        <v>!!!</v>
      </c>
      <c r="G583" s="4" t="str">
        <f t="shared" si="751"/>
        <v>+</v>
      </c>
      <c r="H583" s="4"/>
      <c r="I583" s="4" t="str">
        <f t="shared" si="692"/>
        <v>!!!</v>
      </c>
      <c r="J583" s="4" t="e">
        <f t="shared" si="693"/>
        <v>#VALUE!</v>
      </c>
      <c r="K583" s="4" t="e">
        <f t="shared" si="694"/>
        <v>#VALUE!</v>
      </c>
      <c r="L583" s="4" t="e">
        <f t="shared" si="695"/>
        <v>#VALUE!</v>
      </c>
      <c r="M583" s="4">
        <f t="shared" si="752"/>
        <v>1000</v>
      </c>
      <c r="N583" s="4">
        <f t="shared" ref="N583:O583" si="760">MIN(IFERROR(FIND(" ",$C583,M583+1),1000))</f>
        <v>1000</v>
      </c>
      <c r="O583" s="4">
        <f t="shared" si="760"/>
        <v>1000</v>
      </c>
      <c r="P583" s="4">
        <f t="shared" si="754"/>
        <v>0</v>
      </c>
      <c r="Q583" s="4" t="str">
        <f t="shared" si="701"/>
        <v/>
      </c>
      <c r="R583" s="4" t="str">
        <f t="shared" si="717"/>
        <v/>
      </c>
      <c r="S583" s="4" t="str">
        <f t="shared" si="707"/>
        <v/>
      </c>
      <c r="T583" s="4" t="e">
        <f t="shared" si="755"/>
        <v>#VALUE!</v>
      </c>
      <c r="U583" s="4" t="e">
        <f t="shared" si="756"/>
        <v>#VALUE!</v>
      </c>
      <c r="V583" s="4" t="b">
        <f t="shared" si="747"/>
        <v>0</v>
      </c>
      <c r="W583" s="13" t="str">
        <f t="shared" si="748"/>
        <v>Да</v>
      </c>
      <c r="X583" s="4" t="e">
        <f>(IF(COUNTIFS($G$2:G583,"+",$W$2:W583,"Да")&gt;1,"&amp; ","")&amp;D583&amp;J583&amp;E583&amp;SUBSTITUTE(L583,"""",""))</f>
        <v>#VALUE!</v>
      </c>
      <c r="Y583" s="4" t="e">
        <f t="shared" si="704"/>
        <v>#VALUE!</v>
      </c>
    </row>
    <row r="584" spans="1:25" x14ac:dyDescent="0.3">
      <c r="A584" s="11"/>
      <c r="B584" s="5" t="str">
        <f t="shared" si="749"/>
        <v/>
      </c>
      <c r="C584" s="5" t="str">
        <f t="shared" si="750"/>
        <v/>
      </c>
      <c r="D584" s="4" t="s">
        <v>10</v>
      </c>
      <c r="E584" s="4" t="s">
        <v>11</v>
      </c>
      <c r="F584" s="4" t="str">
        <f t="shared" si="691"/>
        <v>!!!</v>
      </c>
      <c r="G584" s="4" t="str">
        <f t="shared" si="751"/>
        <v>+</v>
      </c>
      <c r="H584" s="4"/>
      <c r="I584" s="4" t="str">
        <f t="shared" si="692"/>
        <v>!!!</v>
      </c>
      <c r="J584" s="4" t="e">
        <f t="shared" si="693"/>
        <v>#VALUE!</v>
      </c>
      <c r="K584" s="4" t="e">
        <f t="shared" si="694"/>
        <v>#VALUE!</v>
      </c>
      <c r="L584" s="4" t="e">
        <f t="shared" si="695"/>
        <v>#VALUE!</v>
      </c>
      <c r="M584" s="4">
        <f t="shared" si="752"/>
        <v>1000</v>
      </c>
      <c r="N584" s="4">
        <f t="shared" ref="N584:O584" si="761">MIN(IFERROR(FIND(" ",$C584,M584+1),1000))</f>
        <v>1000</v>
      </c>
      <c r="O584" s="4">
        <f t="shared" si="761"/>
        <v>1000</v>
      </c>
      <c r="P584" s="4">
        <f t="shared" si="754"/>
        <v>0</v>
      </c>
      <c r="Q584" s="4" t="str">
        <f t="shared" si="701"/>
        <v/>
      </c>
      <c r="R584" s="4" t="str">
        <f t="shared" si="717"/>
        <v/>
      </c>
      <c r="S584" s="4" t="str">
        <f t="shared" si="707"/>
        <v/>
      </c>
      <c r="T584" s="4" t="e">
        <f t="shared" si="755"/>
        <v>#VALUE!</v>
      </c>
      <c r="U584" s="4" t="e">
        <f t="shared" si="756"/>
        <v>#VALUE!</v>
      </c>
      <c r="V584" s="4" t="b">
        <f t="shared" si="747"/>
        <v>0</v>
      </c>
      <c r="W584" s="13" t="str">
        <f t="shared" si="748"/>
        <v>Да</v>
      </c>
      <c r="X584" s="4" t="e">
        <f>(IF(COUNTIFS($G$2:G584,"+",$W$2:W584,"Да")&gt;1,"&amp; ","")&amp;D584&amp;J584&amp;E584&amp;SUBSTITUTE(L584,"""",""))</f>
        <v>#VALUE!</v>
      </c>
      <c r="Y584" s="4" t="e">
        <f t="shared" si="704"/>
        <v>#VALUE!</v>
      </c>
    </row>
    <row r="585" spans="1:25" x14ac:dyDescent="0.3">
      <c r="A585" s="11"/>
      <c r="B585" s="5" t="str">
        <f t="shared" si="749"/>
        <v/>
      </c>
      <c r="C585" s="5" t="str">
        <f t="shared" si="750"/>
        <v/>
      </c>
      <c r="D585" s="4" t="s">
        <v>10</v>
      </c>
      <c r="E585" s="4" t="s">
        <v>11</v>
      </c>
      <c r="F585" s="4" t="str">
        <f t="shared" si="691"/>
        <v>!!!</v>
      </c>
      <c r="G585" s="4" t="str">
        <f t="shared" si="751"/>
        <v>+</v>
      </c>
      <c r="H585" s="4"/>
      <c r="I585" s="4" t="str">
        <f t="shared" si="692"/>
        <v>!!!</v>
      </c>
      <c r="J585" s="4" t="e">
        <f t="shared" si="693"/>
        <v>#VALUE!</v>
      </c>
      <c r="K585" s="4" t="e">
        <f t="shared" si="694"/>
        <v>#VALUE!</v>
      </c>
      <c r="L585" s="4" t="e">
        <f t="shared" si="695"/>
        <v>#VALUE!</v>
      </c>
      <c r="M585" s="4">
        <f t="shared" si="752"/>
        <v>1000</v>
      </c>
      <c r="N585" s="4">
        <f t="shared" ref="N585:O585" si="762">MIN(IFERROR(FIND(" ",$C585,M585+1),1000))</f>
        <v>1000</v>
      </c>
      <c r="O585" s="4">
        <f t="shared" si="762"/>
        <v>1000</v>
      </c>
      <c r="P585" s="4">
        <f t="shared" si="754"/>
        <v>0</v>
      </c>
      <c r="Q585" s="4" t="str">
        <f t="shared" si="701"/>
        <v/>
      </c>
      <c r="R585" s="4" t="str">
        <f t="shared" si="717"/>
        <v/>
      </c>
      <c r="S585" s="4" t="str">
        <f t="shared" si="707"/>
        <v/>
      </c>
      <c r="T585" s="4" t="e">
        <f t="shared" si="755"/>
        <v>#VALUE!</v>
      </c>
      <c r="U585" s="4" t="e">
        <f t="shared" si="756"/>
        <v>#VALUE!</v>
      </c>
      <c r="V585" s="4" t="b">
        <f t="shared" si="747"/>
        <v>0</v>
      </c>
      <c r="W585" s="13" t="str">
        <f t="shared" si="748"/>
        <v>Да</v>
      </c>
      <c r="X585" s="4" t="e">
        <f>(IF(COUNTIFS($G$2:G585,"+",$W$2:W585,"Да")&gt;1,"&amp; ","")&amp;D585&amp;J585&amp;E585&amp;SUBSTITUTE(L585,"""",""))</f>
        <v>#VALUE!</v>
      </c>
      <c r="Y585" s="4" t="e">
        <f t="shared" si="704"/>
        <v>#VALUE!</v>
      </c>
    </row>
    <row r="586" spans="1:25" x14ac:dyDescent="0.3">
      <c r="A586" s="11"/>
      <c r="B586" s="5" t="str">
        <f t="shared" si="749"/>
        <v/>
      </c>
      <c r="C586" s="5" t="str">
        <f t="shared" si="750"/>
        <v/>
      </c>
      <c r="D586" s="4" t="s">
        <v>10</v>
      </c>
      <c r="E586" s="4" t="s">
        <v>11</v>
      </c>
      <c r="F586" s="4" t="str">
        <f t="shared" si="691"/>
        <v>!!!</v>
      </c>
      <c r="G586" s="4" t="str">
        <f t="shared" si="751"/>
        <v>+</v>
      </c>
      <c r="H586" s="4"/>
      <c r="I586" s="4" t="str">
        <f t="shared" si="692"/>
        <v>!!!</v>
      </c>
      <c r="J586" s="4" t="e">
        <f t="shared" si="693"/>
        <v>#VALUE!</v>
      </c>
      <c r="K586" s="4" t="e">
        <f t="shared" si="694"/>
        <v>#VALUE!</v>
      </c>
      <c r="L586" s="4" t="e">
        <f t="shared" si="695"/>
        <v>#VALUE!</v>
      </c>
      <c r="M586" s="4">
        <f t="shared" si="752"/>
        <v>1000</v>
      </c>
      <c r="N586" s="4">
        <f t="shared" ref="N586:O586" si="763">MIN(IFERROR(FIND(" ",$C586,M586+1),1000))</f>
        <v>1000</v>
      </c>
      <c r="O586" s="4">
        <f t="shared" si="763"/>
        <v>1000</v>
      </c>
      <c r="P586" s="4">
        <f t="shared" si="754"/>
        <v>0</v>
      </c>
      <c r="Q586" s="4" t="str">
        <f t="shared" si="701"/>
        <v/>
      </c>
      <c r="R586" s="4" t="str">
        <f t="shared" si="717"/>
        <v/>
      </c>
      <c r="S586" s="4" t="str">
        <f t="shared" si="707"/>
        <v/>
      </c>
      <c r="T586" s="4" t="e">
        <f t="shared" si="755"/>
        <v>#VALUE!</v>
      </c>
      <c r="U586" s="4" t="e">
        <f t="shared" si="756"/>
        <v>#VALUE!</v>
      </c>
      <c r="V586" s="4" t="b">
        <f t="shared" si="747"/>
        <v>0</v>
      </c>
      <c r="W586" s="13" t="str">
        <f t="shared" si="748"/>
        <v>Да</v>
      </c>
      <c r="X586" s="4" t="e">
        <f>(IF(COUNTIFS($G$2:G586,"+",$W$2:W586,"Да")&gt;1,"&amp; ","")&amp;D586&amp;J586&amp;E586&amp;SUBSTITUTE(L586,"""",""))</f>
        <v>#VALUE!</v>
      </c>
      <c r="Y586" s="4" t="e">
        <f t="shared" si="704"/>
        <v>#VALUE!</v>
      </c>
    </row>
    <row r="587" spans="1:25" x14ac:dyDescent="0.3">
      <c r="A587" s="11"/>
      <c r="B587" s="5" t="str">
        <f t="shared" si="749"/>
        <v/>
      </c>
      <c r="C587" s="5" t="str">
        <f t="shared" si="750"/>
        <v/>
      </c>
      <c r="D587" s="4" t="s">
        <v>10</v>
      </c>
      <c r="E587" s="4" t="s">
        <v>11</v>
      </c>
      <c r="F587" s="4" t="str">
        <f t="shared" si="691"/>
        <v>!!!</v>
      </c>
      <c r="G587" s="4" t="str">
        <f t="shared" si="751"/>
        <v>+</v>
      </c>
      <c r="H587" s="4"/>
      <c r="I587" s="4" t="str">
        <f t="shared" si="692"/>
        <v>!!!</v>
      </c>
      <c r="J587" s="4" t="e">
        <f t="shared" si="693"/>
        <v>#VALUE!</v>
      </c>
      <c r="K587" s="4" t="e">
        <f t="shared" si="694"/>
        <v>#VALUE!</v>
      </c>
      <c r="L587" s="4" t="e">
        <f t="shared" si="695"/>
        <v>#VALUE!</v>
      </c>
      <c r="M587" s="4">
        <f t="shared" si="752"/>
        <v>1000</v>
      </c>
      <c r="N587" s="4">
        <f t="shared" ref="N587:O587" si="764">MIN(IFERROR(FIND(" ",$C587,M587+1),1000))</f>
        <v>1000</v>
      </c>
      <c r="O587" s="4">
        <f t="shared" si="764"/>
        <v>1000</v>
      </c>
      <c r="P587" s="4">
        <f t="shared" si="754"/>
        <v>0</v>
      </c>
      <c r="Q587" s="4" t="str">
        <f t="shared" si="701"/>
        <v/>
      </c>
      <c r="R587" s="4" t="str">
        <f t="shared" si="717"/>
        <v/>
      </c>
      <c r="S587" s="4" t="str">
        <f t="shared" si="707"/>
        <v/>
      </c>
      <c r="T587" s="4" t="e">
        <f t="shared" si="755"/>
        <v>#VALUE!</v>
      </c>
      <c r="U587" s="4" t="e">
        <f t="shared" si="756"/>
        <v>#VALUE!</v>
      </c>
      <c r="V587" s="4" t="b">
        <f t="shared" si="747"/>
        <v>0</v>
      </c>
      <c r="W587" s="13" t="str">
        <f t="shared" si="748"/>
        <v>Да</v>
      </c>
      <c r="X587" s="4" t="e">
        <f>(IF(COUNTIFS($G$2:G587,"+",$W$2:W587,"Да")&gt;1,"&amp; ","")&amp;D587&amp;J587&amp;E587&amp;SUBSTITUTE(L587,"""",""))</f>
        <v>#VALUE!</v>
      </c>
      <c r="Y587" s="4" t="e">
        <f t="shared" si="704"/>
        <v>#VALUE!</v>
      </c>
    </row>
    <row r="588" spans="1:25" x14ac:dyDescent="0.3">
      <c r="A588" s="11"/>
      <c r="B588" s="5" t="str">
        <f t="shared" si="749"/>
        <v/>
      </c>
      <c r="C588" s="5" t="str">
        <f t="shared" si="750"/>
        <v/>
      </c>
      <c r="D588" s="4" t="s">
        <v>10</v>
      </c>
      <c r="E588" s="4" t="s">
        <v>11</v>
      </c>
      <c r="F588" s="4" t="str">
        <f t="shared" si="691"/>
        <v>!!!</v>
      </c>
      <c r="G588" s="4" t="str">
        <f t="shared" si="751"/>
        <v>+</v>
      </c>
      <c r="H588" s="4"/>
      <c r="I588" s="4" t="str">
        <f t="shared" si="692"/>
        <v>!!!</v>
      </c>
      <c r="J588" s="4" t="e">
        <f t="shared" si="693"/>
        <v>#VALUE!</v>
      </c>
      <c r="K588" s="4" t="e">
        <f t="shared" si="694"/>
        <v>#VALUE!</v>
      </c>
      <c r="L588" s="4" t="e">
        <f t="shared" si="695"/>
        <v>#VALUE!</v>
      </c>
      <c r="M588" s="4">
        <f t="shared" si="752"/>
        <v>1000</v>
      </c>
      <c r="N588" s="4">
        <f t="shared" ref="N588:O588" si="765">MIN(IFERROR(FIND(" ",$C588,M588+1),1000))</f>
        <v>1000</v>
      </c>
      <c r="O588" s="4">
        <f t="shared" si="765"/>
        <v>1000</v>
      </c>
      <c r="P588" s="4">
        <f t="shared" si="754"/>
        <v>0</v>
      </c>
      <c r="Q588" s="4" t="str">
        <f t="shared" si="701"/>
        <v/>
      </c>
      <c r="R588" s="4" t="str">
        <f t="shared" si="717"/>
        <v/>
      </c>
      <c r="S588" s="4" t="str">
        <f t="shared" si="707"/>
        <v/>
      </c>
      <c r="T588" s="4" t="e">
        <f t="shared" si="755"/>
        <v>#VALUE!</v>
      </c>
      <c r="U588" s="4" t="e">
        <f t="shared" si="756"/>
        <v>#VALUE!</v>
      </c>
      <c r="V588" s="4" t="b">
        <f t="shared" si="747"/>
        <v>0</v>
      </c>
      <c r="W588" s="13" t="str">
        <f t="shared" si="748"/>
        <v>Да</v>
      </c>
      <c r="X588" s="4" t="e">
        <f>(IF(COUNTIFS($G$2:G588,"+",$W$2:W588,"Да")&gt;1,"&amp; ","")&amp;D588&amp;J588&amp;E588&amp;SUBSTITUTE(L588,"""",""))</f>
        <v>#VALUE!</v>
      </c>
      <c r="Y588" s="4" t="e">
        <f t="shared" si="704"/>
        <v>#VALUE!</v>
      </c>
    </row>
    <row r="589" spans="1:25" x14ac:dyDescent="0.3">
      <c r="A589" s="11"/>
      <c r="B589" s="5" t="str">
        <f t="shared" si="749"/>
        <v/>
      </c>
      <c r="C589" s="5" t="str">
        <f t="shared" si="750"/>
        <v/>
      </c>
      <c r="D589" s="4" t="s">
        <v>10</v>
      </c>
      <c r="E589" s="4" t="s">
        <v>11</v>
      </c>
      <c r="F589" s="4" t="str">
        <f t="shared" si="691"/>
        <v>!!!</v>
      </c>
      <c r="G589" s="4" t="str">
        <f t="shared" si="751"/>
        <v>+</v>
      </c>
      <c r="H589" s="4"/>
      <c r="I589" s="4" t="str">
        <f t="shared" si="692"/>
        <v>!!!</v>
      </c>
      <c r="J589" s="4" t="e">
        <f t="shared" si="693"/>
        <v>#VALUE!</v>
      </c>
      <c r="K589" s="4" t="e">
        <f t="shared" si="694"/>
        <v>#VALUE!</v>
      </c>
      <c r="L589" s="4" t="e">
        <f t="shared" si="695"/>
        <v>#VALUE!</v>
      </c>
      <c r="M589" s="4">
        <f t="shared" si="752"/>
        <v>1000</v>
      </c>
      <c r="N589" s="4">
        <f t="shared" ref="N589:O589" si="766">MIN(IFERROR(FIND(" ",$C589,M589+1),1000))</f>
        <v>1000</v>
      </c>
      <c r="O589" s="4">
        <f t="shared" si="766"/>
        <v>1000</v>
      </c>
      <c r="P589" s="4">
        <f t="shared" si="754"/>
        <v>0</v>
      </c>
      <c r="Q589" s="4" t="str">
        <f t="shared" si="701"/>
        <v/>
      </c>
      <c r="R589" s="4" t="str">
        <f t="shared" si="717"/>
        <v/>
      </c>
      <c r="S589" s="4" t="str">
        <f t="shared" si="707"/>
        <v/>
      </c>
      <c r="T589" s="4" t="e">
        <f t="shared" si="755"/>
        <v>#VALUE!</v>
      </c>
      <c r="U589" s="4" t="e">
        <f t="shared" si="756"/>
        <v>#VALUE!</v>
      </c>
      <c r="V589" s="4" t="b">
        <f t="shared" si="747"/>
        <v>0</v>
      </c>
      <c r="W589" s="13" t="str">
        <f t="shared" si="748"/>
        <v>Да</v>
      </c>
      <c r="X589" s="4" t="e">
        <f>(IF(COUNTIFS($G$2:G589,"+",$W$2:W589,"Да")&gt;1,"&amp; ","")&amp;D589&amp;J589&amp;E589&amp;SUBSTITUTE(L589,"""",""))</f>
        <v>#VALUE!</v>
      </c>
      <c r="Y589" s="4" t="e">
        <f t="shared" si="704"/>
        <v>#VALUE!</v>
      </c>
    </row>
    <row r="590" spans="1:25" x14ac:dyDescent="0.3">
      <c r="A590" s="11"/>
      <c r="B590" s="5" t="str">
        <f t="shared" si="749"/>
        <v/>
      </c>
      <c r="C590" s="5" t="str">
        <f t="shared" si="750"/>
        <v/>
      </c>
      <c r="D590" s="4" t="s">
        <v>10</v>
      </c>
      <c r="E590" s="4" t="s">
        <v>11</v>
      </c>
      <c r="F590" s="4" t="str">
        <f t="shared" si="691"/>
        <v>!!!</v>
      </c>
      <c r="G590" s="4" t="str">
        <f t="shared" si="751"/>
        <v>+</v>
      </c>
      <c r="H590" s="4"/>
      <c r="I590" s="4" t="str">
        <f t="shared" si="692"/>
        <v>!!!</v>
      </c>
      <c r="J590" s="4" t="e">
        <f t="shared" si="693"/>
        <v>#VALUE!</v>
      </c>
      <c r="K590" s="4" t="e">
        <f t="shared" si="694"/>
        <v>#VALUE!</v>
      </c>
      <c r="L590" s="4" t="e">
        <f t="shared" si="695"/>
        <v>#VALUE!</v>
      </c>
      <c r="M590" s="4">
        <f t="shared" si="752"/>
        <v>1000</v>
      </c>
      <c r="N590" s="4">
        <f t="shared" ref="N590:O590" si="767">MIN(IFERROR(FIND(" ",$C590,M590+1),1000))</f>
        <v>1000</v>
      </c>
      <c r="O590" s="4">
        <f t="shared" si="767"/>
        <v>1000</v>
      </c>
      <c r="P590" s="4">
        <f t="shared" si="754"/>
        <v>0</v>
      </c>
      <c r="Q590" s="4" t="str">
        <f t="shared" si="701"/>
        <v/>
      </c>
      <c r="R590" s="4" t="str">
        <f t="shared" si="717"/>
        <v/>
      </c>
      <c r="S590" s="4" t="str">
        <f t="shared" si="707"/>
        <v/>
      </c>
      <c r="T590" s="4" t="e">
        <f t="shared" si="755"/>
        <v>#VALUE!</v>
      </c>
      <c r="U590" s="4" t="e">
        <f t="shared" si="756"/>
        <v>#VALUE!</v>
      </c>
      <c r="V590" s="4" t="b">
        <f t="shared" si="747"/>
        <v>0</v>
      </c>
      <c r="W590" s="13" t="str">
        <f t="shared" si="748"/>
        <v>Да</v>
      </c>
      <c r="X590" s="4" t="e">
        <f>(IF(COUNTIFS($G$2:G590,"+",$W$2:W590,"Да")&gt;1,"&amp; ","")&amp;D590&amp;J590&amp;E590&amp;SUBSTITUTE(L590,"""",""))</f>
        <v>#VALUE!</v>
      </c>
      <c r="Y590" s="4" t="e">
        <f t="shared" si="704"/>
        <v>#VALUE!</v>
      </c>
    </row>
    <row r="591" spans="1:25" x14ac:dyDescent="0.3">
      <c r="A591" s="11"/>
      <c r="B591" s="5" t="str">
        <f t="shared" si="749"/>
        <v/>
      </c>
      <c r="C591" s="5" t="str">
        <f t="shared" si="750"/>
        <v/>
      </c>
      <c r="D591" s="4" t="s">
        <v>10</v>
      </c>
      <c r="E591" s="4" t="s">
        <v>11</v>
      </c>
      <c r="F591" s="4" t="str">
        <f t="shared" si="691"/>
        <v>!!!</v>
      </c>
      <c r="G591" s="4" t="str">
        <f t="shared" si="751"/>
        <v>+</v>
      </c>
      <c r="H591" s="4"/>
      <c r="I591" s="4" t="str">
        <f t="shared" si="692"/>
        <v>!!!</v>
      </c>
      <c r="J591" s="4" t="e">
        <f t="shared" si="693"/>
        <v>#VALUE!</v>
      </c>
      <c r="K591" s="4" t="e">
        <f t="shared" si="694"/>
        <v>#VALUE!</v>
      </c>
      <c r="L591" s="4" t="e">
        <f t="shared" si="695"/>
        <v>#VALUE!</v>
      </c>
      <c r="M591" s="4">
        <f t="shared" si="752"/>
        <v>1000</v>
      </c>
      <c r="N591" s="4">
        <f t="shared" ref="N591:O591" si="768">MIN(IFERROR(FIND(" ",$C591,M591+1),1000))</f>
        <v>1000</v>
      </c>
      <c r="O591" s="4">
        <f t="shared" si="768"/>
        <v>1000</v>
      </c>
      <c r="P591" s="4">
        <f t="shared" si="754"/>
        <v>0</v>
      </c>
      <c r="Q591" s="4" t="str">
        <f t="shared" si="701"/>
        <v/>
      </c>
      <c r="R591" s="4" t="str">
        <f t="shared" si="717"/>
        <v/>
      </c>
      <c r="S591" s="4" t="str">
        <f t="shared" si="707"/>
        <v/>
      </c>
      <c r="T591" s="4" t="e">
        <f t="shared" si="755"/>
        <v>#VALUE!</v>
      </c>
      <c r="U591" s="4" t="e">
        <f t="shared" si="756"/>
        <v>#VALUE!</v>
      </c>
      <c r="V591" s="4" t="b">
        <f t="shared" si="747"/>
        <v>0</v>
      </c>
      <c r="W591" s="13" t="str">
        <f t="shared" si="748"/>
        <v>Да</v>
      </c>
      <c r="X591" s="4" t="e">
        <f>(IF(COUNTIFS($G$2:G591,"+",$W$2:W591,"Да")&gt;1,"&amp; ","")&amp;D591&amp;J591&amp;E591&amp;SUBSTITUTE(L591,"""",""))</f>
        <v>#VALUE!</v>
      </c>
      <c r="Y591" s="4" t="e">
        <f t="shared" si="704"/>
        <v>#VALUE!</v>
      </c>
    </row>
    <row r="592" spans="1:25" x14ac:dyDescent="0.3">
      <c r="A592" s="11"/>
      <c r="B592" s="5" t="str">
        <f t="shared" si="749"/>
        <v/>
      </c>
      <c r="C592" s="5" t="str">
        <f t="shared" si="750"/>
        <v/>
      </c>
      <c r="D592" s="4" t="s">
        <v>10</v>
      </c>
      <c r="E592" s="4" t="s">
        <v>11</v>
      </c>
      <c r="F592" s="4" t="str">
        <f t="shared" si="691"/>
        <v>!!!</v>
      </c>
      <c r="G592" s="4" t="str">
        <f t="shared" si="751"/>
        <v>+</v>
      </c>
      <c r="H592" s="4"/>
      <c r="I592" s="4" t="str">
        <f t="shared" si="692"/>
        <v>!!!</v>
      </c>
      <c r="J592" s="4" t="e">
        <f t="shared" si="693"/>
        <v>#VALUE!</v>
      </c>
      <c r="K592" s="4" t="e">
        <f t="shared" si="694"/>
        <v>#VALUE!</v>
      </c>
      <c r="L592" s="4" t="e">
        <f t="shared" si="695"/>
        <v>#VALUE!</v>
      </c>
      <c r="M592" s="4">
        <f t="shared" si="752"/>
        <v>1000</v>
      </c>
      <c r="N592" s="4">
        <f t="shared" ref="N592:O592" si="769">MIN(IFERROR(FIND(" ",$C592,M592+1),1000))</f>
        <v>1000</v>
      </c>
      <c r="O592" s="4">
        <f t="shared" si="769"/>
        <v>1000</v>
      </c>
      <c r="P592" s="4">
        <f t="shared" si="754"/>
        <v>0</v>
      </c>
      <c r="Q592" s="4" t="str">
        <f t="shared" si="701"/>
        <v/>
      </c>
      <c r="R592" s="4" t="str">
        <f t="shared" si="717"/>
        <v/>
      </c>
      <c r="S592" s="4" t="str">
        <f t="shared" si="707"/>
        <v/>
      </c>
      <c r="T592" s="4" t="e">
        <f t="shared" si="755"/>
        <v>#VALUE!</v>
      </c>
      <c r="U592" s="4" t="e">
        <f t="shared" si="756"/>
        <v>#VALUE!</v>
      </c>
      <c r="V592" s="4" t="b">
        <f t="shared" si="747"/>
        <v>0</v>
      </c>
      <c r="W592" s="13" t="str">
        <f t="shared" si="748"/>
        <v>Да</v>
      </c>
      <c r="X592" s="4" t="e">
        <f>(IF(COUNTIFS($G$2:G592,"+",$W$2:W592,"Да")&gt;1,"&amp; ","")&amp;D592&amp;J592&amp;E592&amp;SUBSTITUTE(L592,"""",""))</f>
        <v>#VALUE!</v>
      </c>
      <c r="Y592" s="4" t="e">
        <f t="shared" si="704"/>
        <v>#VALUE!</v>
      </c>
    </row>
    <row r="593" spans="1:25" x14ac:dyDescent="0.3">
      <c r="A593" s="11"/>
      <c r="B593" s="5" t="str">
        <f t="shared" si="749"/>
        <v/>
      </c>
      <c r="C593" s="5" t="str">
        <f t="shared" si="750"/>
        <v/>
      </c>
      <c r="D593" s="4" t="s">
        <v>10</v>
      </c>
      <c r="E593" s="4" t="s">
        <v>11</v>
      </c>
      <c r="F593" s="4" t="str">
        <f t="shared" si="691"/>
        <v>!!!</v>
      </c>
      <c r="G593" s="4" t="str">
        <f t="shared" si="751"/>
        <v>+</v>
      </c>
      <c r="H593" s="4"/>
      <c r="I593" s="4" t="str">
        <f t="shared" si="692"/>
        <v>!!!</v>
      </c>
      <c r="J593" s="4" t="e">
        <f t="shared" si="693"/>
        <v>#VALUE!</v>
      </c>
      <c r="K593" s="4" t="e">
        <f t="shared" si="694"/>
        <v>#VALUE!</v>
      </c>
      <c r="L593" s="4" t="e">
        <f t="shared" si="695"/>
        <v>#VALUE!</v>
      </c>
      <c r="M593" s="4">
        <f t="shared" si="752"/>
        <v>1000</v>
      </c>
      <c r="N593" s="4">
        <f t="shared" ref="N593:O593" si="770">MIN(IFERROR(FIND(" ",$C593,M593+1),1000))</f>
        <v>1000</v>
      </c>
      <c r="O593" s="4">
        <f t="shared" si="770"/>
        <v>1000</v>
      </c>
      <c r="P593" s="4">
        <f t="shared" si="754"/>
        <v>0</v>
      </c>
      <c r="Q593" s="4" t="str">
        <f t="shared" si="701"/>
        <v/>
      </c>
      <c r="R593" s="4" t="str">
        <f t="shared" si="717"/>
        <v/>
      </c>
      <c r="S593" s="4" t="str">
        <f t="shared" si="707"/>
        <v/>
      </c>
      <c r="T593" s="4" t="e">
        <f t="shared" si="755"/>
        <v>#VALUE!</v>
      </c>
      <c r="U593" s="4" t="e">
        <f t="shared" si="756"/>
        <v>#VALUE!</v>
      </c>
      <c r="V593" s="4" t="b">
        <f t="shared" si="747"/>
        <v>0</v>
      </c>
      <c r="W593" s="13" t="str">
        <f t="shared" si="748"/>
        <v>Да</v>
      </c>
      <c r="X593" s="4" t="e">
        <f>(IF(COUNTIFS($G$2:G593,"+",$W$2:W593,"Да")&gt;1,"&amp; ","")&amp;D593&amp;J593&amp;E593&amp;SUBSTITUTE(L593,"""",""))</f>
        <v>#VALUE!</v>
      </c>
      <c r="Y593" s="4" t="e">
        <f t="shared" si="704"/>
        <v>#VALUE!</v>
      </c>
    </row>
    <row r="594" spans="1:25" x14ac:dyDescent="0.3">
      <c r="A594" s="11"/>
      <c r="B594" s="5" t="str">
        <f t="shared" si="749"/>
        <v/>
      </c>
      <c r="C594" s="5" t="str">
        <f t="shared" si="750"/>
        <v/>
      </c>
      <c r="D594" s="4" t="s">
        <v>10</v>
      </c>
      <c r="E594" s="4" t="s">
        <v>11</v>
      </c>
      <c r="F594" s="4" t="str">
        <f t="shared" si="691"/>
        <v>!!!</v>
      </c>
      <c r="G594" s="4" t="str">
        <f t="shared" si="751"/>
        <v>+</v>
      </c>
      <c r="H594" s="4"/>
      <c r="I594" s="4" t="str">
        <f t="shared" si="692"/>
        <v>!!!</v>
      </c>
      <c r="J594" s="4" t="e">
        <f t="shared" si="693"/>
        <v>#VALUE!</v>
      </c>
      <c r="K594" s="4" t="e">
        <f t="shared" si="694"/>
        <v>#VALUE!</v>
      </c>
      <c r="L594" s="4" t="e">
        <f t="shared" si="695"/>
        <v>#VALUE!</v>
      </c>
      <c r="M594" s="4">
        <f t="shared" si="752"/>
        <v>1000</v>
      </c>
      <c r="N594" s="4">
        <f t="shared" ref="N594:O594" si="771">MIN(IFERROR(FIND(" ",$C594,M594+1),1000))</f>
        <v>1000</v>
      </c>
      <c r="O594" s="4">
        <f t="shared" si="771"/>
        <v>1000</v>
      </c>
      <c r="P594" s="4">
        <f t="shared" si="754"/>
        <v>0</v>
      </c>
      <c r="Q594" s="4" t="str">
        <f t="shared" si="701"/>
        <v/>
      </c>
      <c r="R594" s="4" t="str">
        <f t="shared" si="717"/>
        <v/>
      </c>
      <c r="S594" s="4" t="str">
        <f t="shared" si="707"/>
        <v/>
      </c>
      <c r="T594" s="4" t="e">
        <f t="shared" si="755"/>
        <v>#VALUE!</v>
      </c>
      <c r="U594" s="4" t="e">
        <f t="shared" si="756"/>
        <v>#VALUE!</v>
      </c>
      <c r="V594" s="4" t="b">
        <f t="shared" si="747"/>
        <v>0</v>
      </c>
      <c r="W594" s="13" t="str">
        <f t="shared" si="748"/>
        <v>Да</v>
      </c>
      <c r="X594" s="4" t="e">
        <f>(IF(COUNTIFS($G$2:G594,"+",$W$2:W594,"Да")&gt;1,"&amp; ","")&amp;D594&amp;J594&amp;E594&amp;SUBSTITUTE(L594,"""",""))</f>
        <v>#VALUE!</v>
      </c>
      <c r="Y594" s="4" t="e">
        <f t="shared" si="704"/>
        <v>#VALUE!</v>
      </c>
    </row>
    <row r="595" spans="1:25" x14ac:dyDescent="0.3">
      <c r="A595" s="11"/>
      <c r="B595" s="5" t="str">
        <f t="shared" si="749"/>
        <v/>
      </c>
      <c r="C595" s="5" t="str">
        <f t="shared" si="750"/>
        <v/>
      </c>
      <c r="D595" s="4" t="s">
        <v>10</v>
      </c>
      <c r="E595" s="4" t="s">
        <v>11</v>
      </c>
      <c r="F595" s="4" t="str">
        <f t="shared" si="691"/>
        <v>!!!</v>
      </c>
      <c r="G595" s="4" t="str">
        <f t="shared" si="751"/>
        <v>+</v>
      </c>
      <c r="H595" s="4"/>
      <c r="I595" s="4" t="str">
        <f t="shared" si="692"/>
        <v>!!!</v>
      </c>
      <c r="J595" s="4" t="e">
        <f t="shared" si="693"/>
        <v>#VALUE!</v>
      </c>
      <c r="K595" s="4" t="e">
        <f t="shared" si="694"/>
        <v>#VALUE!</v>
      </c>
      <c r="L595" s="4" t="e">
        <f t="shared" si="695"/>
        <v>#VALUE!</v>
      </c>
      <c r="M595" s="4">
        <f t="shared" si="752"/>
        <v>1000</v>
      </c>
      <c r="N595" s="4">
        <f t="shared" ref="N595:O595" si="772">MIN(IFERROR(FIND(" ",$C595,M595+1),1000))</f>
        <v>1000</v>
      </c>
      <c r="O595" s="4">
        <f t="shared" si="772"/>
        <v>1000</v>
      </c>
      <c r="P595" s="4">
        <f t="shared" si="754"/>
        <v>0</v>
      </c>
      <c r="Q595" s="4" t="str">
        <f t="shared" si="701"/>
        <v/>
      </c>
      <c r="R595" s="4" t="str">
        <f t="shared" si="717"/>
        <v/>
      </c>
      <c r="S595" s="4" t="str">
        <f t="shared" si="707"/>
        <v/>
      </c>
      <c r="T595" s="4" t="e">
        <f t="shared" si="755"/>
        <v>#VALUE!</v>
      </c>
      <c r="U595" s="4" t="e">
        <f t="shared" si="756"/>
        <v>#VALUE!</v>
      </c>
      <c r="V595" s="4" t="b">
        <f t="shared" si="747"/>
        <v>0</v>
      </c>
      <c r="W595" s="13" t="str">
        <f t="shared" si="748"/>
        <v>Да</v>
      </c>
      <c r="X595" s="4" t="e">
        <f>(IF(COUNTIFS($G$2:G595,"+",$W$2:W595,"Да")&gt;1,"&amp; ","")&amp;D595&amp;J595&amp;E595&amp;SUBSTITUTE(L595,"""",""))</f>
        <v>#VALUE!</v>
      </c>
      <c r="Y595" s="4" t="e">
        <f t="shared" si="704"/>
        <v>#VALUE!</v>
      </c>
    </row>
    <row r="596" spans="1:25" x14ac:dyDescent="0.3">
      <c r="A596" s="11"/>
      <c r="B596" s="5" t="str">
        <f t="shared" si="749"/>
        <v/>
      </c>
      <c r="C596" s="5" t="str">
        <f t="shared" si="750"/>
        <v/>
      </c>
      <c r="D596" s="4" t="s">
        <v>10</v>
      </c>
      <c r="E596" s="4" t="s">
        <v>11</v>
      </c>
      <c r="F596" s="4" t="str">
        <f t="shared" ref="F596:F659" si="773">IFERROR(SEARCH(" as ",B596),"!!!")</f>
        <v>!!!</v>
      </c>
      <c r="G596" s="4" t="str">
        <f t="shared" si="751"/>
        <v>+</v>
      </c>
      <c r="H596" s="4"/>
      <c r="I596" s="4" t="str">
        <f t="shared" ref="I596:I659" si="774">IFERROR(SEARCH(" ",B596),"!!!")</f>
        <v>!!!</v>
      </c>
      <c r="J596" s="4" t="e">
        <f t="shared" ref="J596:J659" si="775">RIGHT(B596,LEN(B596)-F596-3)</f>
        <v>#VALUE!</v>
      </c>
      <c r="K596" s="4" t="e">
        <f t="shared" ref="K596:K659" si="776">MID(B596,I596+1,F596-I596)</f>
        <v>#VALUE!</v>
      </c>
      <c r="L596" s="4" t="e">
        <f t="shared" ref="L596:L659" si="777">MID(B596,I596+1,F596-I596)</f>
        <v>#VALUE!</v>
      </c>
      <c r="M596" s="4">
        <f t="shared" si="752"/>
        <v>1000</v>
      </c>
      <c r="N596" s="4">
        <f t="shared" ref="N596:O596" si="778">MIN(IFERROR(FIND(" ",$C596,M596+1),1000))</f>
        <v>1000</v>
      </c>
      <c r="O596" s="4">
        <f t="shared" si="778"/>
        <v>1000</v>
      </c>
      <c r="P596" s="4">
        <f t="shared" si="754"/>
        <v>0</v>
      </c>
      <c r="Q596" s="4" t="str">
        <f t="shared" si="701"/>
        <v/>
      </c>
      <c r="R596" s="4" t="str">
        <f t="shared" si="717"/>
        <v/>
      </c>
      <c r="S596" s="4" t="str">
        <f t="shared" si="707"/>
        <v/>
      </c>
      <c r="T596" s="4" t="e">
        <f t="shared" si="755"/>
        <v>#VALUE!</v>
      </c>
      <c r="U596" s="4" t="e">
        <f t="shared" si="756"/>
        <v>#VALUE!</v>
      </c>
      <c r="V596" s="4" t="b">
        <f t="shared" si="747"/>
        <v>0</v>
      </c>
      <c r="W596" s="13" t="str">
        <f t="shared" si="748"/>
        <v>Да</v>
      </c>
      <c r="X596" s="4" t="e">
        <f>(IF(COUNTIFS($G$2:G596,"+",$W$2:W596,"Да")&gt;1,"&amp; ","")&amp;D596&amp;J596&amp;E596&amp;SUBSTITUTE(L596,"""",""))</f>
        <v>#VALUE!</v>
      </c>
      <c r="Y596" s="4" t="e">
        <f t="shared" si="704"/>
        <v>#VALUE!</v>
      </c>
    </row>
    <row r="597" spans="1:25" x14ac:dyDescent="0.3">
      <c r="A597" s="11"/>
      <c r="B597" s="5" t="str">
        <f t="shared" si="749"/>
        <v/>
      </c>
      <c r="C597" s="5" t="str">
        <f t="shared" si="750"/>
        <v/>
      </c>
      <c r="D597" s="4" t="s">
        <v>10</v>
      </c>
      <c r="E597" s="4" t="s">
        <v>11</v>
      </c>
      <c r="F597" s="4" t="str">
        <f t="shared" si="773"/>
        <v>!!!</v>
      </c>
      <c r="G597" s="4" t="str">
        <f t="shared" si="751"/>
        <v>+</v>
      </c>
      <c r="H597" s="4"/>
      <c r="I597" s="4" t="str">
        <f t="shared" si="774"/>
        <v>!!!</v>
      </c>
      <c r="J597" s="4" t="e">
        <f t="shared" si="775"/>
        <v>#VALUE!</v>
      </c>
      <c r="K597" s="4" t="e">
        <f t="shared" si="776"/>
        <v>#VALUE!</v>
      </c>
      <c r="L597" s="4" t="e">
        <f t="shared" si="777"/>
        <v>#VALUE!</v>
      </c>
      <c r="M597" s="4">
        <f t="shared" si="752"/>
        <v>1000</v>
      </c>
      <c r="N597" s="4">
        <f t="shared" ref="N597:O597" si="779">MIN(IFERROR(FIND(" ",$C597,M597+1),1000))</f>
        <v>1000</v>
      </c>
      <c r="O597" s="4">
        <f t="shared" si="779"/>
        <v>1000</v>
      </c>
      <c r="P597" s="4">
        <f t="shared" si="754"/>
        <v>0</v>
      </c>
      <c r="Q597" s="4" t="str">
        <f t="shared" si="701"/>
        <v/>
      </c>
      <c r="R597" s="4" t="str">
        <f t="shared" si="717"/>
        <v/>
      </c>
      <c r="S597" s="4" t="str">
        <f t="shared" si="707"/>
        <v/>
      </c>
      <c r="T597" s="4" t="e">
        <f t="shared" si="755"/>
        <v>#VALUE!</v>
      </c>
      <c r="U597" s="4" t="e">
        <f t="shared" si="756"/>
        <v>#VALUE!</v>
      </c>
      <c r="V597" s="4" t="b">
        <f t="shared" si="747"/>
        <v>0</v>
      </c>
      <c r="W597" s="13" t="str">
        <f t="shared" si="748"/>
        <v>Да</v>
      </c>
      <c r="X597" s="4" t="e">
        <f>(IF(COUNTIFS($G$2:G597,"+",$W$2:W597,"Да")&gt;1,"&amp; ","")&amp;D597&amp;J597&amp;E597&amp;SUBSTITUTE(L597,"""",""))</f>
        <v>#VALUE!</v>
      </c>
      <c r="Y597" s="4" t="e">
        <f t="shared" si="704"/>
        <v>#VALUE!</v>
      </c>
    </row>
    <row r="598" spans="1:25" x14ac:dyDescent="0.3">
      <c r="A598" s="11"/>
      <c r="B598" s="5" t="str">
        <f t="shared" si="749"/>
        <v/>
      </c>
      <c r="C598" s="5" t="str">
        <f t="shared" si="750"/>
        <v/>
      </c>
      <c r="D598" s="4" t="s">
        <v>10</v>
      </c>
      <c r="E598" s="4" t="s">
        <v>11</v>
      </c>
      <c r="F598" s="4" t="str">
        <f t="shared" si="773"/>
        <v>!!!</v>
      </c>
      <c r="G598" s="4" t="str">
        <f t="shared" si="751"/>
        <v>+</v>
      </c>
      <c r="H598" s="4"/>
      <c r="I598" s="4" t="str">
        <f t="shared" si="774"/>
        <v>!!!</v>
      </c>
      <c r="J598" s="4" t="e">
        <f t="shared" si="775"/>
        <v>#VALUE!</v>
      </c>
      <c r="K598" s="4" t="e">
        <f t="shared" si="776"/>
        <v>#VALUE!</v>
      </c>
      <c r="L598" s="4" t="e">
        <f t="shared" si="777"/>
        <v>#VALUE!</v>
      </c>
      <c r="M598" s="4">
        <f t="shared" si="752"/>
        <v>1000</v>
      </c>
      <c r="N598" s="4">
        <f t="shared" ref="N598:O598" si="780">MIN(IFERROR(FIND(" ",$C598,M598+1),1000))</f>
        <v>1000</v>
      </c>
      <c r="O598" s="4">
        <f t="shared" si="780"/>
        <v>1000</v>
      </c>
      <c r="P598" s="4">
        <f t="shared" si="754"/>
        <v>0</v>
      </c>
      <c r="Q598" s="4" t="str">
        <f t="shared" si="701"/>
        <v/>
      </c>
      <c r="R598" s="4" t="str">
        <f t="shared" si="717"/>
        <v/>
      </c>
      <c r="S598" s="4" t="str">
        <f t="shared" si="707"/>
        <v/>
      </c>
      <c r="T598" s="4" t="e">
        <f t="shared" si="755"/>
        <v>#VALUE!</v>
      </c>
      <c r="U598" s="4" t="e">
        <f t="shared" si="756"/>
        <v>#VALUE!</v>
      </c>
      <c r="V598" s="4" t="b">
        <f t="shared" si="747"/>
        <v>0</v>
      </c>
      <c r="W598" s="13" t="str">
        <f t="shared" si="748"/>
        <v>Да</v>
      </c>
      <c r="X598" s="4" t="e">
        <f>(IF(COUNTIFS($G$2:G598,"+",$W$2:W598,"Да")&gt;1,"&amp; ","")&amp;D598&amp;J598&amp;E598&amp;SUBSTITUTE(L598,"""",""))</f>
        <v>#VALUE!</v>
      </c>
      <c r="Y598" s="4" t="e">
        <f t="shared" si="704"/>
        <v>#VALUE!</v>
      </c>
    </row>
    <row r="599" spans="1:25" x14ac:dyDescent="0.3">
      <c r="A599" s="11"/>
      <c r="B599" s="5" t="str">
        <f t="shared" si="749"/>
        <v/>
      </c>
      <c r="C599" s="5" t="str">
        <f t="shared" si="750"/>
        <v/>
      </c>
      <c r="D599" s="4" t="s">
        <v>10</v>
      </c>
      <c r="E599" s="4" t="s">
        <v>11</v>
      </c>
      <c r="F599" s="4" t="str">
        <f t="shared" si="773"/>
        <v>!!!</v>
      </c>
      <c r="G599" s="4" t="str">
        <f t="shared" si="751"/>
        <v>+</v>
      </c>
      <c r="H599" s="4"/>
      <c r="I599" s="4" t="str">
        <f t="shared" si="774"/>
        <v>!!!</v>
      </c>
      <c r="J599" s="4" t="e">
        <f t="shared" si="775"/>
        <v>#VALUE!</v>
      </c>
      <c r="K599" s="4" t="e">
        <f t="shared" si="776"/>
        <v>#VALUE!</v>
      </c>
      <c r="L599" s="4" t="e">
        <f t="shared" si="777"/>
        <v>#VALUE!</v>
      </c>
      <c r="M599" s="4">
        <f t="shared" si="752"/>
        <v>1000</v>
      </c>
      <c r="N599" s="4">
        <f t="shared" ref="N599:O599" si="781">MIN(IFERROR(FIND(" ",$C599,M599+1),1000))</f>
        <v>1000</v>
      </c>
      <c r="O599" s="4">
        <f t="shared" si="781"/>
        <v>1000</v>
      </c>
      <c r="P599" s="4">
        <f t="shared" si="754"/>
        <v>0</v>
      </c>
      <c r="Q599" s="4" t="str">
        <f t="shared" si="701"/>
        <v/>
      </c>
      <c r="R599" s="4" t="str">
        <f t="shared" si="717"/>
        <v/>
      </c>
      <c r="S599" s="4" t="str">
        <f t="shared" si="707"/>
        <v/>
      </c>
      <c r="T599" s="4" t="e">
        <f t="shared" si="755"/>
        <v>#VALUE!</v>
      </c>
      <c r="U599" s="4" t="e">
        <f t="shared" si="756"/>
        <v>#VALUE!</v>
      </c>
      <c r="V599" s="4" t="b">
        <f t="shared" si="747"/>
        <v>0</v>
      </c>
      <c r="W599" s="13" t="str">
        <f t="shared" si="748"/>
        <v>Да</v>
      </c>
      <c r="X599" s="4" t="e">
        <f>(IF(COUNTIFS($G$2:G599,"+",$W$2:W599,"Да")&gt;1,"&amp; ","")&amp;D599&amp;J599&amp;E599&amp;SUBSTITUTE(L599,"""",""))</f>
        <v>#VALUE!</v>
      </c>
      <c r="Y599" s="4" t="e">
        <f t="shared" si="704"/>
        <v>#VALUE!</v>
      </c>
    </row>
    <row r="600" spans="1:25" x14ac:dyDescent="0.3">
      <c r="A600" s="11"/>
      <c r="B600" s="5" t="str">
        <f t="shared" si="749"/>
        <v/>
      </c>
      <c r="C600" s="5" t="str">
        <f t="shared" si="750"/>
        <v/>
      </c>
      <c r="D600" s="4" t="s">
        <v>10</v>
      </c>
      <c r="E600" s="4" t="s">
        <v>11</v>
      </c>
      <c r="F600" s="4" t="str">
        <f t="shared" si="773"/>
        <v>!!!</v>
      </c>
      <c r="G600" s="4" t="str">
        <f t="shared" si="751"/>
        <v>+</v>
      </c>
      <c r="H600" s="4"/>
      <c r="I600" s="4" t="str">
        <f t="shared" si="774"/>
        <v>!!!</v>
      </c>
      <c r="J600" s="4" t="e">
        <f t="shared" si="775"/>
        <v>#VALUE!</v>
      </c>
      <c r="K600" s="4" t="e">
        <f t="shared" si="776"/>
        <v>#VALUE!</v>
      </c>
      <c r="L600" s="4" t="e">
        <f t="shared" si="777"/>
        <v>#VALUE!</v>
      </c>
      <c r="M600" s="4">
        <f t="shared" si="752"/>
        <v>1000</v>
      </c>
      <c r="N600" s="4">
        <f t="shared" ref="N600:O600" si="782">MIN(IFERROR(FIND(" ",$C600,M600+1),1000))</f>
        <v>1000</v>
      </c>
      <c r="O600" s="4">
        <f t="shared" si="782"/>
        <v>1000</v>
      </c>
      <c r="P600" s="4">
        <f t="shared" si="754"/>
        <v>0</v>
      </c>
      <c r="Q600" s="4" t="str">
        <f t="shared" ref="Q600:Q663" si="783">LEFT(C600,M600-1)</f>
        <v/>
      </c>
      <c r="R600" s="4" t="str">
        <f t="shared" si="717"/>
        <v/>
      </c>
      <c r="S600" s="4" t="str">
        <f t="shared" si="707"/>
        <v/>
      </c>
      <c r="T600" s="4" t="e">
        <f t="shared" si="755"/>
        <v>#VALUE!</v>
      </c>
      <c r="U600" s="4" t="e">
        <f t="shared" si="756"/>
        <v>#VALUE!</v>
      </c>
      <c r="V600" s="4" t="b">
        <f t="shared" si="747"/>
        <v>0</v>
      </c>
      <c r="W600" s="13" t="str">
        <f t="shared" si="748"/>
        <v>Да</v>
      </c>
      <c r="X600" s="4" t="e">
        <f>(IF(COUNTIFS($G$2:G600,"+",$W$2:W600,"Да")&gt;1,"&amp; ","")&amp;D600&amp;J600&amp;E600&amp;SUBSTITUTE(L600,"""",""))</f>
        <v>#VALUE!</v>
      </c>
      <c r="Y600" s="4" t="e">
        <f t="shared" si="704"/>
        <v>#VALUE!</v>
      </c>
    </row>
    <row r="601" spans="1:25" x14ac:dyDescent="0.3">
      <c r="A601" s="11"/>
      <c r="B601" s="5" t="str">
        <f t="shared" si="749"/>
        <v/>
      </c>
      <c r="C601" s="5" t="str">
        <f t="shared" si="750"/>
        <v/>
      </c>
      <c r="D601" s="4" t="s">
        <v>10</v>
      </c>
      <c r="E601" s="4" t="s">
        <v>11</v>
      </c>
      <c r="F601" s="4" t="str">
        <f t="shared" si="773"/>
        <v>!!!</v>
      </c>
      <c r="G601" s="4" t="str">
        <f t="shared" si="751"/>
        <v>+</v>
      </c>
      <c r="H601" s="4"/>
      <c r="I601" s="4" t="str">
        <f t="shared" si="774"/>
        <v>!!!</v>
      </c>
      <c r="J601" s="4" t="e">
        <f t="shared" si="775"/>
        <v>#VALUE!</v>
      </c>
      <c r="K601" s="4" t="e">
        <f t="shared" si="776"/>
        <v>#VALUE!</v>
      </c>
      <c r="L601" s="4" t="e">
        <f t="shared" si="777"/>
        <v>#VALUE!</v>
      </c>
      <c r="M601" s="4">
        <f t="shared" si="752"/>
        <v>1000</v>
      </c>
      <c r="N601" s="4">
        <f t="shared" ref="N601:O601" si="784">MIN(IFERROR(FIND(" ",$C601,M601+1),1000))</f>
        <v>1000</v>
      </c>
      <c r="O601" s="4">
        <f t="shared" si="784"/>
        <v>1000</v>
      </c>
      <c r="P601" s="4">
        <f t="shared" si="754"/>
        <v>0</v>
      </c>
      <c r="Q601" s="4" t="str">
        <f t="shared" si="783"/>
        <v/>
      </c>
      <c r="R601" s="4" t="str">
        <f t="shared" si="717"/>
        <v/>
      </c>
      <c r="S601" s="4" t="str">
        <f t="shared" si="707"/>
        <v/>
      </c>
      <c r="T601" s="4" t="e">
        <f t="shared" si="755"/>
        <v>#VALUE!</v>
      </c>
      <c r="U601" s="4" t="e">
        <f t="shared" si="756"/>
        <v>#VALUE!</v>
      </c>
      <c r="V601" s="4" t="b">
        <f t="shared" si="747"/>
        <v>0</v>
      </c>
      <c r="W601" s="13" t="str">
        <f t="shared" si="748"/>
        <v>Да</v>
      </c>
      <c r="X601" s="4" t="e">
        <f>(IF(COUNTIFS($G$2:G601,"+",$W$2:W601,"Да")&gt;1,"&amp; ","")&amp;D601&amp;J601&amp;E601&amp;SUBSTITUTE(L601,"""",""))</f>
        <v>#VALUE!</v>
      </c>
      <c r="Y601" s="4" t="e">
        <f t="shared" si="704"/>
        <v>#VALUE!</v>
      </c>
    </row>
    <row r="602" spans="1:25" x14ac:dyDescent="0.3">
      <c r="A602" s="11"/>
      <c r="B602" s="5" t="str">
        <f t="shared" si="749"/>
        <v/>
      </c>
      <c r="C602" s="5" t="str">
        <f t="shared" si="750"/>
        <v/>
      </c>
      <c r="D602" s="4" t="s">
        <v>10</v>
      </c>
      <c r="E602" s="4" t="s">
        <v>11</v>
      </c>
      <c r="F602" s="4" t="str">
        <f t="shared" si="773"/>
        <v>!!!</v>
      </c>
      <c r="G602" s="4" t="str">
        <f t="shared" si="751"/>
        <v>+</v>
      </c>
      <c r="H602" s="4"/>
      <c r="I602" s="4" t="str">
        <f t="shared" si="774"/>
        <v>!!!</v>
      </c>
      <c r="J602" s="4" t="e">
        <f t="shared" si="775"/>
        <v>#VALUE!</v>
      </c>
      <c r="K602" s="4" t="e">
        <f t="shared" si="776"/>
        <v>#VALUE!</v>
      </c>
      <c r="L602" s="4" t="e">
        <f t="shared" si="777"/>
        <v>#VALUE!</v>
      </c>
      <c r="M602" s="4">
        <f t="shared" si="752"/>
        <v>1000</v>
      </c>
      <c r="N602" s="4">
        <f t="shared" ref="N602:O602" si="785">MIN(IFERROR(FIND(" ",$C602,M602+1),1000))</f>
        <v>1000</v>
      </c>
      <c r="O602" s="4">
        <f t="shared" si="785"/>
        <v>1000</v>
      </c>
      <c r="P602" s="4">
        <f t="shared" si="754"/>
        <v>0</v>
      </c>
      <c r="Q602" s="4" t="str">
        <f t="shared" si="783"/>
        <v/>
      </c>
      <c r="R602" s="4" t="str">
        <f t="shared" si="717"/>
        <v/>
      </c>
      <c r="S602" s="4" t="str">
        <f t="shared" si="707"/>
        <v/>
      </c>
      <c r="T602" s="4" t="e">
        <f t="shared" si="755"/>
        <v>#VALUE!</v>
      </c>
      <c r="U602" s="4" t="e">
        <f t="shared" si="756"/>
        <v>#VALUE!</v>
      </c>
      <c r="V602" s="4" t="b">
        <f t="shared" si="747"/>
        <v>0</v>
      </c>
      <c r="W602" s="13" t="str">
        <f t="shared" si="748"/>
        <v>Да</v>
      </c>
      <c r="X602" s="4" t="e">
        <f>(IF(COUNTIFS($G$2:G602,"+",$W$2:W602,"Да")&gt;1,"&amp; ","")&amp;D602&amp;J602&amp;E602&amp;SUBSTITUTE(L602,"""",""))</f>
        <v>#VALUE!</v>
      </c>
      <c r="Y602" s="4" t="e">
        <f t="shared" ref="Y602:Y665" si="786">IF(S602="",X602,LEFT(X602,FIND(":",X602))&amp;" "&amp;S602)</f>
        <v>#VALUE!</v>
      </c>
    </row>
    <row r="603" spans="1:25" x14ac:dyDescent="0.3">
      <c r="A603" s="11"/>
      <c r="B603" s="5" t="str">
        <f t="shared" si="749"/>
        <v/>
      </c>
      <c r="C603" s="5" t="str">
        <f t="shared" si="750"/>
        <v/>
      </c>
      <c r="D603" s="4" t="s">
        <v>10</v>
      </c>
      <c r="E603" s="4" t="s">
        <v>11</v>
      </c>
      <c r="F603" s="4" t="str">
        <f t="shared" si="773"/>
        <v>!!!</v>
      </c>
      <c r="G603" s="4" t="str">
        <f t="shared" si="751"/>
        <v>+</v>
      </c>
      <c r="H603" s="4"/>
      <c r="I603" s="4" t="str">
        <f t="shared" si="774"/>
        <v>!!!</v>
      </c>
      <c r="J603" s="4" t="e">
        <f t="shared" si="775"/>
        <v>#VALUE!</v>
      </c>
      <c r="K603" s="4" t="e">
        <f t="shared" si="776"/>
        <v>#VALUE!</v>
      </c>
      <c r="L603" s="4" t="e">
        <f t="shared" si="777"/>
        <v>#VALUE!</v>
      </c>
      <c r="M603" s="4">
        <f t="shared" si="752"/>
        <v>1000</v>
      </c>
      <c r="N603" s="4">
        <f t="shared" ref="N603:O603" si="787">MIN(IFERROR(FIND(" ",$C603,M603+1),1000))</f>
        <v>1000</v>
      </c>
      <c r="O603" s="4">
        <f t="shared" si="787"/>
        <v>1000</v>
      </c>
      <c r="P603" s="4">
        <f t="shared" si="754"/>
        <v>0</v>
      </c>
      <c r="Q603" s="4" t="str">
        <f t="shared" si="783"/>
        <v/>
      </c>
      <c r="R603" s="4" t="str">
        <f t="shared" si="717"/>
        <v/>
      </c>
      <c r="S603" s="4" t="str">
        <f t="shared" si="707"/>
        <v/>
      </c>
      <c r="T603" s="4" t="e">
        <f t="shared" si="755"/>
        <v>#VALUE!</v>
      </c>
      <c r="U603" s="4" t="e">
        <f t="shared" si="756"/>
        <v>#VALUE!</v>
      </c>
      <c r="V603" s="4" t="b">
        <f t="shared" si="747"/>
        <v>0</v>
      </c>
      <c r="W603" s="13" t="str">
        <f t="shared" si="748"/>
        <v>Да</v>
      </c>
      <c r="X603" s="4" t="e">
        <f>(IF(COUNTIFS($G$2:G603,"+",$W$2:W603,"Да")&gt;1,"&amp; ","")&amp;D603&amp;J603&amp;E603&amp;SUBSTITUTE(L603,"""",""))</f>
        <v>#VALUE!</v>
      </c>
      <c r="Y603" s="4" t="e">
        <f t="shared" si="786"/>
        <v>#VALUE!</v>
      </c>
    </row>
    <row r="604" spans="1:25" x14ac:dyDescent="0.3">
      <c r="A604" s="11"/>
      <c r="B604" s="5" t="str">
        <f t="shared" si="749"/>
        <v/>
      </c>
      <c r="C604" s="5" t="str">
        <f t="shared" si="750"/>
        <v/>
      </c>
      <c r="D604" s="4" t="s">
        <v>10</v>
      </c>
      <c r="E604" s="4" t="s">
        <v>11</v>
      </c>
      <c r="F604" s="4" t="str">
        <f t="shared" si="773"/>
        <v>!!!</v>
      </c>
      <c r="G604" s="4" t="str">
        <f t="shared" si="751"/>
        <v>+</v>
      </c>
      <c r="H604" s="4"/>
      <c r="I604" s="4" t="str">
        <f t="shared" si="774"/>
        <v>!!!</v>
      </c>
      <c r="J604" s="4" t="e">
        <f t="shared" si="775"/>
        <v>#VALUE!</v>
      </c>
      <c r="K604" s="4" t="e">
        <f t="shared" si="776"/>
        <v>#VALUE!</v>
      </c>
      <c r="L604" s="4" t="e">
        <f t="shared" si="777"/>
        <v>#VALUE!</v>
      </c>
      <c r="M604" s="4">
        <f t="shared" si="752"/>
        <v>1000</v>
      </c>
      <c r="N604" s="4">
        <f t="shared" ref="N604:O604" si="788">MIN(IFERROR(FIND(" ",$C604,M604+1),1000))</f>
        <v>1000</v>
      </c>
      <c r="O604" s="4">
        <f t="shared" si="788"/>
        <v>1000</v>
      </c>
      <c r="P604" s="4">
        <f t="shared" si="754"/>
        <v>0</v>
      </c>
      <c r="Q604" s="4" t="str">
        <f t="shared" si="783"/>
        <v/>
      </c>
      <c r="R604" s="4" t="str">
        <f t="shared" si="717"/>
        <v/>
      </c>
      <c r="S604" s="4" t="str">
        <f t="shared" ref="S604:S667" si="789">IFERROR(IF(LEFT(A603,1)="'",SUBSTITUTE(A603,"'",""),""),"")</f>
        <v/>
      </c>
      <c r="T604" s="4" t="e">
        <f t="shared" si="755"/>
        <v>#VALUE!</v>
      </c>
      <c r="U604" s="4" t="e">
        <f t="shared" si="756"/>
        <v>#VALUE!</v>
      </c>
      <c r="V604" s="4" t="b">
        <f t="shared" si="747"/>
        <v>0</v>
      </c>
      <c r="W604" s="13" t="str">
        <f t="shared" si="748"/>
        <v>Да</v>
      </c>
      <c r="X604" s="4" t="e">
        <f>(IF(COUNTIFS($G$2:G604,"+",$W$2:W604,"Да")&gt;1,"&amp; ","")&amp;D604&amp;J604&amp;E604&amp;SUBSTITUTE(L604,"""",""))</f>
        <v>#VALUE!</v>
      </c>
      <c r="Y604" s="4" t="e">
        <f t="shared" si="786"/>
        <v>#VALUE!</v>
      </c>
    </row>
    <row r="605" spans="1:25" x14ac:dyDescent="0.3">
      <c r="A605" s="11"/>
      <c r="B605" s="5" t="str">
        <f t="shared" si="749"/>
        <v/>
      </c>
      <c r="C605" s="5" t="str">
        <f t="shared" si="750"/>
        <v/>
      </c>
      <c r="D605" s="4" t="s">
        <v>10</v>
      </c>
      <c r="E605" s="4" t="s">
        <v>11</v>
      </c>
      <c r="F605" s="4" t="str">
        <f t="shared" si="773"/>
        <v>!!!</v>
      </c>
      <c r="G605" s="4" t="str">
        <f t="shared" si="751"/>
        <v>+</v>
      </c>
      <c r="H605" s="4"/>
      <c r="I605" s="4" t="str">
        <f t="shared" si="774"/>
        <v>!!!</v>
      </c>
      <c r="J605" s="4" t="e">
        <f t="shared" si="775"/>
        <v>#VALUE!</v>
      </c>
      <c r="K605" s="4" t="e">
        <f t="shared" si="776"/>
        <v>#VALUE!</v>
      </c>
      <c r="L605" s="4" t="e">
        <f t="shared" si="777"/>
        <v>#VALUE!</v>
      </c>
      <c r="M605" s="4">
        <f t="shared" si="752"/>
        <v>1000</v>
      </c>
      <c r="N605" s="4">
        <f t="shared" ref="N605:O605" si="790">MIN(IFERROR(FIND(" ",$C605,M605+1),1000))</f>
        <v>1000</v>
      </c>
      <c r="O605" s="4">
        <f t="shared" si="790"/>
        <v>1000</v>
      </c>
      <c r="P605" s="4">
        <f t="shared" si="754"/>
        <v>0</v>
      </c>
      <c r="Q605" s="4" t="str">
        <f t="shared" si="783"/>
        <v/>
      </c>
      <c r="R605" s="4" t="str">
        <f t="shared" si="717"/>
        <v/>
      </c>
      <c r="S605" s="4" t="str">
        <f t="shared" si="789"/>
        <v/>
      </c>
      <c r="T605" s="4" t="e">
        <f t="shared" si="755"/>
        <v>#VALUE!</v>
      </c>
      <c r="U605" s="4" t="e">
        <f t="shared" si="756"/>
        <v>#VALUE!</v>
      </c>
      <c r="V605" s="4" t="b">
        <f t="shared" si="747"/>
        <v>0</v>
      </c>
      <c r="W605" s="13" t="str">
        <f t="shared" si="748"/>
        <v>Да</v>
      </c>
      <c r="X605" s="4" t="e">
        <f>(IF(COUNTIFS($G$2:G605,"+",$W$2:W605,"Да")&gt;1,"&amp; ","")&amp;D605&amp;J605&amp;E605&amp;SUBSTITUTE(L605,"""",""))</f>
        <v>#VALUE!</v>
      </c>
      <c r="Y605" s="4" t="e">
        <f t="shared" si="786"/>
        <v>#VALUE!</v>
      </c>
    </row>
    <row r="606" spans="1:25" x14ac:dyDescent="0.3">
      <c r="A606" s="11"/>
      <c r="B606" s="5" t="str">
        <f t="shared" si="749"/>
        <v/>
      </c>
      <c r="C606" s="5" t="str">
        <f t="shared" si="750"/>
        <v/>
      </c>
      <c r="D606" s="4" t="s">
        <v>10</v>
      </c>
      <c r="E606" s="4" t="s">
        <v>11</v>
      </c>
      <c r="F606" s="4" t="str">
        <f t="shared" si="773"/>
        <v>!!!</v>
      </c>
      <c r="G606" s="4" t="str">
        <f t="shared" si="751"/>
        <v>+</v>
      </c>
      <c r="H606" s="4"/>
      <c r="I606" s="4" t="str">
        <f t="shared" si="774"/>
        <v>!!!</v>
      </c>
      <c r="J606" s="4" t="e">
        <f t="shared" si="775"/>
        <v>#VALUE!</v>
      </c>
      <c r="K606" s="4" t="e">
        <f t="shared" si="776"/>
        <v>#VALUE!</v>
      </c>
      <c r="L606" s="4" t="e">
        <f t="shared" si="777"/>
        <v>#VALUE!</v>
      </c>
      <c r="M606" s="4">
        <f t="shared" si="752"/>
        <v>1000</v>
      </c>
      <c r="N606" s="4">
        <f t="shared" ref="N606:O606" si="791">MIN(IFERROR(FIND(" ",$C606,M606+1),1000))</f>
        <v>1000</v>
      </c>
      <c r="O606" s="4">
        <f t="shared" si="791"/>
        <v>1000</v>
      </c>
      <c r="P606" s="4">
        <f t="shared" si="754"/>
        <v>0</v>
      </c>
      <c r="Q606" s="4" t="str">
        <f t="shared" si="783"/>
        <v/>
      </c>
      <c r="R606" s="4" t="str">
        <f t="shared" si="717"/>
        <v/>
      </c>
      <c r="S606" s="4" t="str">
        <f t="shared" si="789"/>
        <v/>
      </c>
      <c r="T606" s="4" t="e">
        <f t="shared" si="755"/>
        <v>#VALUE!</v>
      </c>
      <c r="U606" s="4" t="e">
        <f t="shared" si="756"/>
        <v>#VALUE!</v>
      </c>
      <c r="V606" s="4" t="b">
        <f t="shared" si="747"/>
        <v>0</v>
      </c>
      <c r="W606" s="13" t="str">
        <f t="shared" si="748"/>
        <v>Да</v>
      </c>
      <c r="X606" s="4" t="e">
        <f>(IF(COUNTIFS($G$2:G606,"+",$W$2:W606,"Да")&gt;1,"&amp; ","")&amp;D606&amp;J606&amp;E606&amp;SUBSTITUTE(L606,"""",""))</f>
        <v>#VALUE!</v>
      </c>
      <c r="Y606" s="4" t="e">
        <f t="shared" si="786"/>
        <v>#VALUE!</v>
      </c>
    </row>
    <row r="607" spans="1:25" x14ac:dyDescent="0.3">
      <c r="A607" s="11"/>
      <c r="B607" s="5" t="str">
        <f t="shared" si="749"/>
        <v/>
      </c>
      <c r="C607" s="5" t="str">
        <f t="shared" si="750"/>
        <v/>
      </c>
      <c r="D607" s="4" t="s">
        <v>10</v>
      </c>
      <c r="E607" s="4" t="s">
        <v>11</v>
      </c>
      <c r="F607" s="4" t="str">
        <f t="shared" si="773"/>
        <v>!!!</v>
      </c>
      <c r="G607" s="4" t="str">
        <f t="shared" si="751"/>
        <v>+</v>
      </c>
      <c r="H607" s="4"/>
      <c r="I607" s="4" t="str">
        <f t="shared" si="774"/>
        <v>!!!</v>
      </c>
      <c r="J607" s="4" t="e">
        <f t="shared" si="775"/>
        <v>#VALUE!</v>
      </c>
      <c r="K607" s="4" t="e">
        <f t="shared" si="776"/>
        <v>#VALUE!</v>
      </c>
      <c r="L607" s="4" t="e">
        <f t="shared" si="777"/>
        <v>#VALUE!</v>
      </c>
      <c r="M607" s="4">
        <f t="shared" si="752"/>
        <v>1000</v>
      </c>
      <c r="N607" s="4">
        <f t="shared" ref="N607:O607" si="792">MIN(IFERROR(FIND(" ",$C607,M607+1),1000))</f>
        <v>1000</v>
      </c>
      <c r="O607" s="4">
        <f t="shared" si="792"/>
        <v>1000</v>
      </c>
      <c r="P607" s="4">
        <f t="shared" si="754"/>
        <v>0</v>
      </c>
      <c r="Q607" s="4" t="str">
        <f t="shared" si="783"/>
        <v/>
      </c>
      <c r="R607" s="4" t="str">
        <f t="shared" si="717"/>
        <v/>
      </c>
      <c r="S607" s="4" t="str">
        <f t="shared" si="789"/>
        <v/>
      </c>
      <c r="T607" s="4" t="e">
        <f t="shared" si="755"/>
        <v>#VALUE!</v>
      </c>
      <c r="U607" s="4" t="e">
        <f t="shared" si="756"/>
        <v>#VALUE!</v>
      </c>
      <c r="V607" s="4" t="b">
        <f t="shared" si="747"/>
        <v>0</v>
      </c>
      <c r="W607" s="13" t="str">
        <f t="shared" si="748"/>
        <v>Да</v>
      </c>
      <c r="X607" s="4" t="e">
        <f>(IF(COUNTIFS($G$2:G607,"+",$W$2:W607,"Да")&gt;1,"&amp; ","")&amp;D607&amp;J607&amp;E607&amp;SUBSTITUTE(L607,"""",""))</f>
        <v>#VALUE!</v>
      </c>
      <c r="Y607" s="4" t="e">
        <f t="shared" si="786"/>
        <v>#VALUE!</v>
      </c>
    </row>
    <row r="608" spans="1:25" x14ac:dyDescent="0.3">
      <c r="A608" s="11"/>
      <c r="B608" s="5" t="str">
        <f t="shared" si="749"/>
        <v/>
      </c>
      <c r="C608" s="5" t="str">
        <f t="shared" si="750"/>
        <v/>
      </c>
      <c r="D608" s="4" t="s">
        <v>10</v>
      </c>
      <c r="E608" s="4" t="s">
        <v>11</v>
      </c>
      <c r="F608" s="4" t="str">
        <f t="shared" si="773"/>
        <v>!!!</v>
      </c>
      <c r="G608" s="4" t="str">
        <f t="shared" si="751"/>
        <v>+</v>
      </c>
      <c r="H608" s="4"/>
      <c r="I608" s="4" t="str">
        <f t="shared" si="774"/>
        <v>!!!</v>
      </c>
      <c r="J608" s="4" t="e">
        <f t="shared" si="775"/>
        <v>#VALUE!</v>
      </c>
      <c r="K608" s="4" t="e">
        <f t="shared" si="776"/>
        <v>#VALUE!</v>
      </c>
      <c r="L608" s="4" t="e">
        <f t="shared" si="777"/>
        <v>#VALUE!</v>
      </c>
      <c r="M608" s="4">
        <f t="shared" si="752"/>
        <v>1000</v>
      </c>
      <c r="N608" s="4">
        <f t="shared" ref="N608:O608" si="793">MIN(IFERROR(FIND(" ",$C608,M608+1),1000))</f>
        <v>1000</v>
      </c>
      <c r="O608" s="4">
        <f t="shared" si="793"/>
        <v>1000</v>
      </c>
      <c r="P608" s="4">
        <f t="shared" si="754"/>
        <v>0</v>
      </c>
      <c r="Q608" s="4" t="str">
        <f t="shared" si="783"/>
        <v/>
      </c>
      <c r="R608" s="4" t="str">
        <f t="shared" si="717"/>
        <v/>
      </c>
      <c r="S608" s="4" t="str">
        <f t="shared" si="789"/>
        <v/>
      </c>
      <c r="T608" s="4" t="e">
        <f t="shared" si="755"/>
        <v>#VALUE!</v>
      </c>
      <c r="U608" s="4" t="e">
        <f t="shared" si="756"/>
        <v>#VALUE!</v>
      </c>
      <c r="V608" s="4" t="b">
        <f t="shared" si="747"/>
        <v>0</v>
      </c>
      <c r="W608" s="13" t="str">
        <f t="shared" si="748"/>
        <v>Да</v>
      </c>
      <c r="X608" s="4" t="e">
        <f>(IF(COUNTIFS($G$2:G608,"+",$W$2:W608,"Да")&gt;1,"&amp; ","")&amp;D608&amp;J608&amp;E608&amp;SUBSTITUTE(L608,"""",""))</f>
        <v>#VALUE!</v>
      </c>
      <c r="Y608" s="4" t="e">
        <f t="shared" si="786"/>
        <v>#VALUE!</v>
      </c>
    </row>
    <row r="609" spans="1:25" x14ac:dyDescent="0.3">
      <c r="A609" s="11"/>
      <c r="B609" s="5" t="str">
        <f t="shared" si="749"/>
        <v/>
      </c>
      <c r="C609" s="5" t="str">
        <f t="shared" si="750"/>
        <v/>
      </c>
      <c r="D609" s="4" t="s">
        <v>10</v>
      </c>
      <c r="E609" s="4" t="s">
        <v>11</v>
      </c>
      <c r="F609" s="4" t="str">
        <f t="shared" si="773"/>
        <v>!!!</v>
      </c>
      <c r="G609" s="4" t="str">
        <f t="shared" si="751"/>
        <v>+</v>
      </c>
      <c r="H609" s="4"/>
      <c r="I609" s="4" t="str">
        <f t="shared" si="774"/>
        <v>!!!</v>
      </c>
      <c r="J609" s="4" t="e">
        <f t="shared" si="775"/>
        <v>#VALUE!</v>
      </c>
      <c r="K609" s="4" t="e">
        <f t="shared" si="776"/>
        <v>#VALUE!</v>
      </c>
      <c r="L609" s="4" t="e">
        <f t="shared" si="777"/>
        <v>#VALUE!</v>
      </c>
      <c r="M609" s="4">
        <f t="shared" si="752"/>
        <v>1000</v>
      </c>
      <c r="N609" s="4">
        <f t="shared" ref="N609:O609" si="794">MIN(IFERROR(FIND(" ",$C609,M609+1),1000))</f>
        <v>1000</v>
      </c>
      <c r="O609" s="4">
        <f t="shared" si="794"/>
        <v>1000</v>
      </c>
      <c r="P609" s="4">
        <f t="shared" si="754"/>
        <v>0</v>
      </c>
      <c r="Q609" s="4" t="str">
        <f t="shared" si="783"/>
        <v/>
      </c>
      <c r="R609" s="4" t="str">
        <f t="shared" si="717"/>
        <v/>
      </c>
      <c r="S609" s="4" t="str">
        <f t="shared" si="789"/>
        <v/>
      </c>
      <c r="T609" s="4" t="e">
        <f t="shared" si="755"/>
        <v>#VALUE!</v>
      </c>
      <c r="U609" s="4" t="e">
        <f t="shared" si="756"/>
        <v>#VALUE!</v>
      </c>
      <c r="V609" s="4" t="b">
        <f t="shared" si="747"/>
        <v>0</v>
      </c>
      <c r="W609" s="13" t="str">
        <f t="shared" si="748"/>
        <v>Да</v>
      </c>
      <c r="X609" s="4" t="e">
        <f>(IF(COUNTIFS($G$2:G609,"+",$W$2:W609,"Да")&gt;1,"&amp; ","")&amp;D609&amp;J609&amp;E609&amp;SUBSTITUTE(L609,"""",""))</f>
        <v>#VALUE!</v>
      </c>
      <c r="Y609" s="4" t="e">
        <f t="shared" si="786"/>
        <v>#VALUE!</v>
      </c>
    </row>
    <row r="610" spans="1:25" x14ac:dyDescent="0.3">
      <c r="A610" s="11"/>
      <c r="B610" s="5" t="str">
        <f t="shared" si="749"/>
        <v/>
      </c>
      <c r="C610" s="5" t="str">
        <f t="shared" si="750"/>
        <v/>
      </c>
      <c r="D610" s="4" t="s">
        <v>10</v>
      </c>
      <c r="E610" s="4" t="s">
        <v>11</v>
      </c>
      <c r="F610" s="4" t="str">
        <f t="shared" si="773"/>
        <v>!!!</v>
      </c>
      <c r="G610" s="4" t="str">
        <f t="shared" si="751"/>
        <v>+</v>
      </c>
      <c r="H610" s="4"/>
      <c r="I610" s="4" t="str">
        <f t="shared" si="774"/>
        <v>!!!</v>
      </c>
      <c r="J610" s="4" t="e">
        <f t="shared" si="775"/>
        <v>#VALUE!</v>
      </c>
      <c r="K610" s="4" t="e">
        <f t="shared" si="776"/>
        <v>#VALUE!</v>
      </c>
      <c r="L610" s="4" t="e">
        <f t="shared" si="777"/>
        <v>#VALUE!</v>
      </c>
      <c r="M610" s="4">
        <f t="shared" si="752"/>
        <v>1000</v>
      </c>
      <c r="N610" s="4">
        <f t="shared" ref="N610:O610" si="795">MIN(IFERROR(FIND(" ",$C610,M610+1),1000))</f>
        <v>1000</v>
      </c>
      <c r="O610" s="4">
        <f t="shared" si="795"/>
        <v>1000</v>
      </c>
      <c r="P610" s="4">
        <f t="shared" si="754"/>
        <v>0</v>
      </c>
      <c r="Q610" s="4" t="str">
        <f t="shared" si="783"/>
        <v/>
      </c>
      <c r="R610" s="4" t="str">
        <f t="shared" si="717"/>
        <v/>
      </c>
      <c r="S610" s="4" t="str">
        <f t="shared" si="789"/>
        <v/>
      </c>
      <c r="T610" s="4" t="e">
        <f t="shared" si="755"/>
        <v>#VALUE!</v>
      </c>
      <c r="U610" s="4" t="e">
        <f t="shared" si="756"/>
        <v>#VALUE!</v>
      </c>
      <c r="V610" s="4" t="b">
        <f t="shared" si="747"/>
        <v>0</v>
      </c>
      <c r="W610" s="13" t="str">
        <f t="shared" si="748"/>
        <v>Да</v>
      </c>
      <c r="X610" s="4" t="e">
        <f>(IF(COUNTIFS($G$2:G610,"+",$W$2:W610,"Да")&gt;1,"&amp; ","")&amp;D610&amp;J610&amp;E610&amp;SUBSTITUTE(L610,"""",""))</f>
        <v>#VALUE!</v>
      </c>
      <c r="Y610" s="4" t="e">
        <f t="shared" si="786"/>
        <v>#VALUE!</v>
      </c>
    </row>
    <row r="611" spans="1:25" x14ac:dyDescent="0.3">
      <c r="A611" s="11"/>
      <c r="B611" s="5" t="str">
        <f t="shared" si="749"/>
        <v/>
      </c>
      <c r="C611" s="5" t="str">
        <f t="shared" si="750"/>
        <v/>
      </c>
      <c r="D611" s="4" t="s">
        <v>10</v>
      </c>
      <c r="E611" s="4" t="s">
        <v>11</v>
      </c>
      <c r="F611" s="4" t="str">
        <f t="shared" si="773"/>
        <v>!!!</v>
      </c>
      <c r="G611" s="4" t="str">
        <f t="shared" si="751"/>
        <v>+</v>
      </c>
      <c r="H611" s="4"/>
      <c r="I611" s="4" t="str">
        <f t="shared" si="774"/>
        <v>!!!</v>
      </c>
      <c r="J611" s="4" t="e">
        <f t="shared" si="775"/>
        <v>#VALUE!</v>
      </c>
      <c r="K611" s="4" t="e">
        <f t="shared" si="776"/>
        <v>#VALUE!</v>
      </c>
      <c r="L611" s="4" t="e">
        <f t="shared" si="777"/>
        <v>#VALUE!</v>
      </c>
      <c r="M611" s="4">
        <f t="shared" si="752"/>
        <v>1000</v>
      </c>
      <c r="N611" s="4">
        <f t="shared" ref="N611:O611" si="796">MIN(IFERROR(FIND(" ",$C611,M611+1),1000))</f>
        <v>1000</v>
      </c>
      <c r="O611" s="4">
        <f t="shared" si="796"/>
        <v>1000</v>
      </c>
      <c r="P611" s="4">
        <f t="shared" si="754"/>
        <v>0</v>
      </c>
      <c r="Q611" s="4" t="str">
        <f t="shared" si="783"/>
        <v/>
      </c>
      <c r="R611" s="4" t="str">
        <f t="shared" si="717"/>
        <v/>
      </c>
      <c r="S611" s="4" t="str">
        <f t="shared" si="789"/>
        <v/>
      </c>
      <c r="T611" s="4" t="e">
        <f t="shared" si="755"/>
        <v>#VALUE!</v>
      </c>
      <c r="U611" s="4" t="e">
        <f t="shared" si="756"/>
        <v>#VALUE!</v>
      </c>
      <c r="V611" s="4" t="b">
        <f t="shared" si="747"/>
        <v>0</v>
      </c>
      <c r="W611" s="13" t="str">
        <f t="shared" si="748"/>
        <v>Да</v>
      </c>
      <c r="X611" s="4" t="e">
        <f>(IF(COUNTIFS($G$2:G611,"+",$W$2:W611,"Да")&gt;1,"&amp; ","")&amp;D611&amp;J611&amp;E611&amp;SUBSTITUTE(L611,"""",""))</f>
        <v>#VALUE!</v>
      </c>
      <c r="Y611" s="4" t="e">
        <f t="shared" si="786"/>
        <v>#VALUE!</v>
      </c>
    </row>
    <row r="612" spans="1:25" x14ac:dyDescent="0.3">
      <c r="A612" s="11"/>
      <c r="B612" s="5" t="str">
        <f t="shared" si="749"/>
        <v/>
      </c>
      <c r="C612" s="5" t="str">
        <f t="shared" si="750"/>
        <v/>
      </c>
      <c r="D612" s="4" t="s">
        <v>10</v>
      </c>
      <c r="E612" s="4" t="s">
        <v>11</v>
      </c>
      <c r="F612" s="4" t="str">
        <f t="shared" si="773"/>
        <v>!!!</v>
      </c>
      <c r="G612" s="4" t="str">
        <f t="shared" si="751"/>
        <v>+</v>
      </c>
      <c r="H612" s="4"/>
      <c r="I612" s="4" t="str">
        <f t="shared" si="774"/>
        <v>!!!</v>
      </c>
      <c r="J612" s="4" t="e">
        <f t="shared" si="775"/>
        <v>#VALUE!</v>
      </c>
      <c r="K612" s="4" t="e">
        <f t="shared" si="776"/>
        <v>#VALUE!</v>
      </c>
      <c r="L612" s="4" t="e">
        <f t="shared" si="777"/>
        <v>#VALUE!</v>
      </c>
      <c r="M612" s="4">
        <f t="shared" si="752"/>
        <v>1000</v>
      </c>
      <c r="N612" s="4">
        <f t="shared" ref="N612:O612" si="797">MIN(IFERROR(FIND(" ",$C612,M612+1),1000))</f>
        <v>1000</v>
      </c>
      <c r="O612" s="4">
        <f t="shared" si="797"/>
        <v>1000</v>
      </c>
      <c r="P612" s="4">
        <f t="shared" si="754"/>
        <v>0</v>
      </c>
      <c r="Q612" s="4" t="str">
        <f t="shared" si="783"/>
        <v/>
      </c>
      <c r="R612" s="4" t="str">
        <f t="shared" si="717"/>
        <v/>
      </c>
      <c r="S612" s="4" t="str">
        <f t="shared" si="789"/>
        <v/>
      </c>
      <c r="T612" s="4" t="e">
        <f t="shared" si="755"/>
        <v>#VALUE!</v>
      </c>
      <c r="U612" s="4" t="e">
        <f t="shared" si="756"/>
        <v>#VALUE!</v>
      </c>
      <c r="V612" s="4" t="b">
        <f t="shared" si="747"/>
        <v>0</v>
      </c>
      <c r="W612" s="13" t="str">
        <f t="shared" si="748"/>
        <v>Да</v>
      </c>
      <c r="X612" s="4" t="e">
        <f>(IF(COUNTIFS($G$2:G612,"+",$W$2:W612,"Да")&gt;1,"&amp; ","")&amp;D612&amp;J612&amp;E612&amp;SUBSTITUTE(L612,"""",""))</f>
        <v>#VALUE!</v>
      </c>
      <c r="Y612" s="4" t="e">
        <f t="shared" si="786"/>
        <v>#VALUE!</v>
      </c>
    </row>
    <row r="613" spans="1:25" x14ac:dyDescent="0.3">
      <c r="A613" s="11"/>
      <c r="B613" s="5" t="str">
        <f t="shared" si="749"/>
        <v/>
      </c>
      <c r="C613" s="5" t="str">
        <f t="shared" si="750"/>
        <v/>
      </c>
      <c r="D613" s="4" t="s">
        <v>10</v>
      </c>
      <c r="E613" s="4" t="s">
        <v>11</v>
      </c>
      <c r="F613" s="4" t="str">
        <f t="shared" si="773"/>
        <v>!!!</v>
      </c>
      <c r="G613" s="4" t="str">
        <f t="shared" si="751"/>
        <v>+</v>
      </c>
      <c r="H613" s="4"/>
      <c r="I613" s="4" t="str">
        <f t="shared" si="774"/>
        <v>!!!</v>
      </c>
      <c r="J613" s="4" t="e">
        <f t="shared" si="775"/>
        <v>#VALUE!</v>
      </c>
      <c r="K613" s="4" t="e">
        <f t="shared" si="776"/>
        <v>#VALUE!</v>
      </c>
      <c r="L613" s="4" t="e">
        <f t="shared" si="777"/>
        <v>#VALUE!</v>
      </c>
      <c r="M613" s="4">
        <f t="shared" si="752"/>
        <v>1000</v>
      </c>
      <c r="N613" s="4">
        <f t="shared" ref="N613:O613" si="798">MIN(IFERROR(FIND(" ",$C613,M613+1),1000))</f>
        <v>1000</v>
      </c>
      <c r="O613" s="4">
        <f t="shared" si="798"/>
        <v>1000</v>
      </c>
      <c r="P613" s="4">
        <f t="shared" si="754"/>
        <v>0</v>
      </c>
      <c r="Q613" s="4" t="str">
        <f t="shared" si="783"/>
        <v/>
      </c>
      <c r="R613" s="4" t="str">
        <f t="shared" ref="R613:R676" si="799">IFERROR(MID(C613,N613+1,O613-N613-1),"")</f>
        <v/>
      </c>
      <c r="S613" s="4" t="str">
        <f t="shared" si="789"/>
        <v/>
      </c>
      <c r="T613" s="4" t="e">
        <f t="shared" si="755"/>
        <v>#VALUE!</v>
      </c>
      <c r="U613" s="4" t="e">
        <f t="shared" si="756"/>
        <v>#VALUE!</v>
      </c>
      <c r="V613" s="4" t="b">
        <f t="shared" si="747"/>
        <v>0</v>
      </c>
      <c r="W613" s="13" t="str">
        <f t="shared" si="748"/>
        <v>Да</v>
      </c>
      <c r="X613" s="4" t="e">
        <f>(IF(COUNTIFS($G$2:G613,"+",$W$2:W613,"Да")&gt;1,"&amp; ","")&amp;D613&amp;J613&amp;E613&amp;SUBSTITUTE(L613,"""",""))</f>
        <v>#VALUE!</v>
      </c>
      <c r="Y613" s="4" t="e">
        <f t="shared" si="786"/>
        <v>#VALUE!</v>
      </c>
    </row>
    <row r="614" spans="1:25" x14ac:dyDescent="0.3">
      <c r="A614" s="11"/>
      <c r="B614" s="5" t="str">
        <f t="shared" si="749"/>
        <v/>
      </c>
      <c r="C614" s="5" t="str">
        <f t="shared" si="750"/>
        <v/>
      </c>
      <c r="D614" s="4" t="s">
        <v>10</v>
      </c>
      <c r="E614" s="4" t="s">
        <v>11</v>
      </c>
      <c r="F614" s="4" t="str">
        <f t="shared" si="773"/>
        <v>!!!</v>
      </c>
      <c r="G614" s="4" t="str">
        <f t="shared" si="751"/>
        <v>+</v>
      </c>
      <c r="H614" s="4"/>
      <c r="I614" s="4" t="str">
        <f t="shared" si="774"/>
        <v>!!!</v>
      </c>
      <c r="J614" s="4" t="e">
        <f t="shared" si="775"/>
        <v>#VALUE!</v>
      </c>
      <c r="K614" s="4" t="e">
        <f t="shared" si="776"/>
        <v>#VALUE!</v>
      </c>
      <c r="L614" s="4" t="e">
        <f t="shared" si="777"/>
        <v>#VALUE!</v>
      </c>
      <c r="M614" s="4">
        <f t="shared" si="752"/>
        <v>1000</v>
      </c>
      <c r="N614" s="4">
        <f t="shared" ref="N614:O614" si="800">MIN(IFERROR(FIND(" ",$C614,M614+1),1000))</f>
        <v>1000</v>
      </c>
      <c r="O614" s="4">
        <f t="shared" si="800"/>
        <v>1000</v>
      </c>
      <c r="P614" s="4">
        <f t="shared" si="754"/>
        <v>0</v>
      </c>
      <c r="Q614" s="4" t="str">
        <f t="shared" si="783"/>
        <v/>
      </c>
      <c r="R614" s="4" t="str">
        <f t="shared" si="799"/>
        <v/>
      </c>
      <c r="S614" s="4" t="str">
        <f t="shared" si="789"/>
        <v/>
      </c>
      <c r="T614" s="4" t="e">
        <f t="shared" si="755"/>
        <v>#VALUE!</v>
      </c>
      <c r="U614" s="4" t="e">
        <f t="shared" si="756"/>
        <v>#VALUE!</v>
      </c>
      <c r="V614" s="4" t="b">
        <f t="shared" si="747"/>
        <v>0</v>
      </c>
      <c r="W614" s="13" t="str">
        <f t="shared" si="748"/>
        <v>Да</v>
      </c>
      <c r="X614" s="4" t="e">
        <f>(IF(COUNTIFS($G$2:G614,"+",$W$2:W614,"Да")&gt;1,"&amp; ","")&amp;D614&amp;J614&amp;E614&amp;SUBSTITUTE(L614,"""",""))</f>
        <v>#VALUE!</v>
      </c>
      <c r="Y614" s="4" t="e">
        <f t="shared" si="786"/>
        <v>#VALUE!</v>
      </c>
    </row>
    <row r="615" spans="1:25" x14ac:dyDescent="0.3">
      <c r="A615" s="11"/>
      <c r="B615" s="5" t="str">
        <f t="shared" si="749"/>
        <v/>
      </c>
      <c r="C615" s="5" t="str">
        <f t="shared" si="750"/>
        <v/>
      </c>
      <c r="D615" s="4" t="s">
        <v>10</v>
      </c>
      <c r="E615" s="4" t="s">
        <v>11</v>
      </c>
      <c r="F615" s="4" t="str">
        <f t="shared" si="773"/>
        <v>!!!</v>
      </c>
      <c r="G615" s="4" t="str">
        <f t="shared" si="751"/>
        <v>+</v>
      </c>
      <c r="H615" s="4"/>
      <c r="I615" s="4" t="str">
        <f t="shared" si="774"/>
        <v>!!!</v>
      </c>
      <c r="J615" s="4" t="e">
        <f t="shared" si="775"/>
        <v>#VALUE!</v>
      </c>
      <c r="K615" s="4" t="e">
        <f t="shared" si="776"/>
        <v>#VALUE!</v>
      </c>
      <c r="L615" s="4" t="e">
        <f t="shared" si="777"/>
        <v>#VALUE!</v>
      </c>
      <c r="M615" s="4">
        <f t="shared" si="752"/>
        <v>1000</v>
      </c>
      <c r="N615" s="4">
        <f t="shared" ref="N615:O615" si="801">MIN(IFERROR(FIND(" ",$C615,M615+1),1000))</f>
        <v>1000</v>
      </c>
      <c r="O615" s="4">
        <f t="shared" si="801"/>
        <v>1000</v>
      </c>
      <c r="P615" s="4">
        <f t="shared" si="754"/>
        <v>0</v>
      </c>
      <c r="Q615" s="4" t="str">
        <f t="shared" si="783"/>
        <v/>
      </c>
      <c r="R615" s="4" t="str">
        <f t="shared" si="799"/>
        <v/>
      </c>
      <c r="S615" s="4" t="str">
        <f t="shared" si="789"/>
        <v/>
      </c>
      <c r="T615" s="4" t="e">
        <f t="shared" si="755"/>
        <v>#VALUE!</v>
      </c>
      <c r="U615" s="4" t="e">
        <f t="shared" si="756"/>
        <v>#VALUE!</v>
      </c>
      <c r="V615" s="4" t="b">
        <f t="shared" si="747"/>
        <v>0</v>
      </c>
      <c r="W615" s="13" t="str">
        <f t="shared" si="748"/>
        <v>Да</v>
      </c>
      <c r="X615" s="4" t="e">
        <f>(IF(COUNTIFS($G$2:G615,"+",$W$2:W615,"Да")&gt;1,"&amp; ","")&amp;D615&amp;J615&amp;E615&amp;SUBSTITUTE(L615,"""",""))</f>
        <v>#VALUE!</v>
      </c>
      <c r="Y615" s="4" t="e">
        <f t="shared" si="786"/>
        <v>#VALUE!</v>
      </c>
    </row>
    <row r="616" spans="1:25" x14ac:dyDescent="0.3">
      <c r="A616" s="11"/>
      <c r="B616" s="5" t="str">
        <f t="shared" si="749"/>
        <v/>
      </c>
      <c r="C616" s="5" t="str">
        <f t="shared" si="750"/>
        <v/>
      </c>
      <c r="D616" s="4" t="s">
        <v>10</v>
      </c>
      <c r="E616" s="4" t="s">
        <v>11</v>
      </c>
      <c r="F616" s="4" t="str">
        <f t="shared" si="773"/>
        <v>!!!</v>
      </c>
      <c r="G616" s="4" t="str">
        <f t="shared" si="751"/>
        <v>+</v>
      </c>
      <c r="H616" s="4"/>
      <c r="I616" s="4" t="str">
        <f t="shared" si="774"/>
        <v>!!!</v>
      </c>
      <c r="J616" s="4" t="e">
        <f t="shared" si="775"/>
        <v>#VALUE!</v>
      </c>
      <c r="K616" s="4" t="e">
        <f t="shared" si="776"/>
        <v>#VALUE!</v>
      </c>
      <c r="L616" s="4" t="e">
        <f t="shared" si="777"/>
        <v>#VALUE!</v>
      </c>
      <c r="M616" s="4">
        <f t="shared" si="752"/>
        <v>1000</v>
      </c>
      <c r="N616" s="4">
        <f t="shared" ref="N616:O616" si="802">MIN(IFERROR(FIND(" ",$C616,M616+1),1000))</f>
        <v>1000</v>
      </c>
      <c r="O616" s="4">
        <f t="shared" si="802"/>
        <v>1000</v>
      </c>
      <c r="P616" s="4">
        <f t="shared" si="754"/>
        <v>0</v>
      </c>
      <c r="Q616" s="4" t="str">
        <f t="shared" si="783"/>
        <v/>
      </c>
      <c r="R616" s="4" t="str">
        <f t="shared" si="799"/>
        <v/>
      </c>
      <c r="S616" s="4" t="str">
        <f t="shared" si="789"/>
        <v/>
      </c>
      <c r="T616" s="4" t="e">
        <f t="shared" si="755"/>
        <v>#VALUE!</v>
      </c>
      <c r="U616" s="4" t="e">
        <f t="shared" si="756"/>
        <v>#VALUE!</v>
      </c>
      <c r="V616" s="4" t="b">
        <f t="shared" si="747"/>
        <v>0</v>
      </c>
      <c r="W616" s="13" t="str">
        <f t="shared" si="748"/>
        <v>Да</v>
      </c>
      <c r="X616" s="4" t="e">
        <f>(IF(COUNTIFS($G$2:G616,"+",$W$2:W616,"Да")&gt;1,"&amp; ","")&amp;D616&amp;J616&amp;E616&amp;SUBSTITUTE(L616,"""",""))</f>
        <v>#VALUE!</v>
      </c>
      <c r="Y616" s="4" t="e">
        <f t="shared" si="786"/>
        <v>#VALUE!</v>
      </c>
    </row>
    <row r="617" spans="1:25" x14ac:dyDescent="0.3">
      <c r="A617" s="11"/>
      <c r="B617" s="5" t="str">
        <f t="shared" si="749"/>
        <v/>
      </c>
      <c r="C617" s="5" t="str">
        <f t="shared" si="750"/>
        <v/>
      </c>
      <c r="D617" s="4" t="s">
        <v>10</v>
      </c>
      <c r="E617" s="4" t="s">
        <v>11</v>
      </c>
      <c r="F617" s="4" t="str">
        <f t="shared" si="773"/>
        <v>!!!</v>
      </c>
      <c r="G617" s="4" t="str">
        <f t="shared" si="751"/>
        <v>+</v>
      </c>
      <c r="H617" s="4"/>
      <c r="I617" s="4" t="str">
        <f t="shared" si="774"/>
        <v>!!!</v>
      </c>
      <c r="J617" s="4" t="e">
        <f t="shared" si="775"/>
        <v>#VALUE!</v>
      </c>
      <c r="K617" s="4" t="e">
        <f t="shared" si="776"/>
        <v>#VALUE!</v>
      </c>
      <c r="L617" s="4" t="e">
        <f t="shared" si="777"/>
        <v>#VALUE!</v>
      </c>
      <c r="M617" s="4">
        <f t="shared" si="752"/>
        <v>1000</v>
      </c>
      <c r="N617" s="4">
        <f t="shared" ref="N617:O617" si="803">MIN(IFERROR(FIND(" ",$C617,M617+1),1000))</f>
        <v>1000</v>
      </c>
      <c r="O617" s="4">
        <f t="shared" si="803"/>
        <v>1000</v>
      </c>
      <c r="P617" s="4">
        <f t="shared" si="754"/>
        <v>0</v>
      </c>
      <c r="Q617" s="4" t="str">
        <f t="shared" si="783"/>
        <v/>
      </c>
      <c r="R617" s="4" t="str">
        <f t="shared" si="799"/>
        <v/>
      </c>
      <c r="S617" s="4" t="str">
        <f t="shared" si="789"/>
        <v/>
      </c>
      <c r="T617" s="4" t="e">
        <f t="shared" si="755"/>
        <v>#VALUE!</v>
      </c>
      <c r="U617" s="4" t="e">
        <f t="shared" si="756"/>
        <v>#VALUE!</v>
      </c>
      <c r="V617" s="4" t="b">
        <f t="shared" si="747"/>
        <v>0</v>
      </c>
      <c r="W617" s="13" t="str">
        <f t="shared" si="748"/>
        <v>Да</v>
      </c>
      <c r="X617" s="4" t="e">
        <f>(IF(COUNTIFS($G$2:G617,"+",$W$2:W617,"Да")&gt;1,"&amp; ","")&amp;D617&amp;J617&amp;E617&amp;SUBSTITUTE(L617,"""",""))</f>
        <v>#VALUE!</v>
      </c>
      <c r="Y617" s="4" t="e">
        <f t="shared" si="786"/>
        <v>#VALUE!</v>
      </c>
    </row>
    <row r="618" spans="1:25" x14ac:dyDescent="0.3">
      <c r="A618" s="11"/>
      <c r="B618" s="5" t="str">
        <f t="shared" si="749"/>
        <v/>
      </c>
      <c r="C618" s="5" t="str">
        <f t="shared" si="750"/>
        <v/>
      </c>
      <c r="D618" s="4" t="s">
        <v>10</v>
      </c>
      <c r="E618" s="4" t="s">
        <v>11</v>
      </c>
      <c r="F618" s="4" t="str">
        <f t="shared" si="773"/>
        <v>!!!</v>
      </c>
      <c r="G618" s="4" t="str">
        <f t="shared" si="751"/>
        <v>+</v>
      </c>
      <c r="H618" s="4"/>
      <c r="I618" s="4" t="str">
        <f t="shared" si="774"/>
        <v>!!!</v>
      </c>
      <c r="J618" s="4" t="e">
        <f t="shared" si="775"/>
        <v>#VALUE!</v>
      </c>
      <c r="K618" s="4" t="e">
        <f t="shared" si="776"/>
        <v>#VALUE!</v>
      </c>
      <c r="L618" s="4" t="e">
        <f t="shared" si="777"/>
        <v>#VALUE!</v>
      </c>
      <c r="M618" s="4">
        <f t="shared" si="752"/>
        <v>1000</v>
      </c>
      <c r="N618" s="4">
        <f t="shared" ref="N618:O618" si="804">MIN(IFERROR(FIND(" ",$C618,M618+1),1000))</f>
        <v>1000</v>
      </c>
      <c r="O618" s="4">
        <f t="shared" si="804"/>
        <v>1000</v>
      </c>
      <c r="P618" s="4">
        <f t="shared" si="754"/>
        <v>0</v>
      </c>
      <c r="Q618" s="4" t="str">
        <f t="shared" si="783"/>
        <v/>
      </c>
      <c r="R618" s="4" t="str">
        <f t="shared" si="799"/>
        <v/>
      </c>
      <c r="S618" s="4" t="str">
        <f t="shared" si="789"/>
        <v/>
      </c>
      <c r="T618" s="4" t="e">
        <f t="shared" si="755"/>
        <v>#VALUE!</v>
      </c>
      <c r="U618" s="4" t="e">
        <f t="shared" si="756"/>
        <v>#VALUE!</v>
      </c>
      <c r="V618" s="4" t="b">
        <f t="shared" si="747"/>
        <v>0</v>
      </c>
      <c r="W618" s="13" t="str">
        <f t="shared" si="748"/>
        <v>Да</v>
      </c>
      <c r="X618" s="4" t="e">
        <f>(IF(COUNTIFS($G$2:G618,"+",$W$2:W618,"Да")&gt;1,"&amp; ","")&amp;D618&amp;J618&amp;E618&amp;SUBSTITUTE(L618,"""",""))</f>
        <v>#VALUE!</v>
      </c>
      <c r="Y618" s="4" t="e">
        <f t="shared" si="786"/>
        <v>#VALUE!</v>
      </c>
    </row>
    <row r="619" spans="1:25" x14ac:dyDescent="0.3">
      <c r="A619" s="11"/>
      <c r="B619" s="5" t="str">
        <f t="shared" si="749"/>
        <v/>
      </c>
      <c r="C619" s="5" t="str">
        <f t="shared" si="750"/>
        <v/>
      </c>
      <c r="D619" s="4" t="s">
        <v>10</v>
      </c>
      <c r="E619" s="4" t="s">
        <v>11</v>
      </c>
      <c r="F619" s="4" t="str">
        <f t="shared" si="773"/>
        <v>!!!</v>
      </c>
      <c r="G619" s="4" t="str">
        <f t="shared" si="751"/>
        <v>+</v>
      </c>
      <c r="H619" s="4"/>
      <c r="I619" s="4" t="str">
        <f t="shared" si="774"/>
        <v>!!!</v>
      </c>
      <c r="J619" s="4" t="e">
        <f t="shared" si="775"/>
        <v>#VALUE!</v>
      </c>
      <c r="K619" s="4" t="e">
        <f t="shared" si="776"/>
        <v>#VALUE!</v>
      </c>
      <c r="L619" s="4" t="e">
        <f t="shared" si="777"/>
        <v>#VALUE!</v>
      </c>
      <c r="M619" s="4">
        <f t="shared" si="752"/>
        <v>1000</v>
      </c>
      <c r="N619" s="4">
        <f t="shared" ref="N619:O619" si="805">MIN(IFERROR(FIND(" ",$C619,M619+1),1000))</f>
        <v>1000</v>
      </c>
      <c r="O619" s="4">
        <f t="shared" si="805"/>
        <v>1000</v>
      </c>
      <c r="P619" s="4">
        <f t="shared" si="754"/>
        <v>0</v>
      </c>
      <c r="Q619" s="4" t="str">
        <f t="shared" si="783"/>
        <v/>
      </c>
      <c r="R619" s="4" t="str">
        <f t="shared" si="799"/>
        <v/>
      </c>
      <c r="S619" s="4" t="str">
        <f t="shared" si="789"/>
        <v/>
      </c>
      <c r="T619" s="4" t="e">
        <f t="shared" si="755"/>
        <v>#VALUE!</v>
      </c>
      <c r="U619" s="4" t="e">
        <f t="shared" si="756"/>
        <v>#VALUE!</v>
      </c>
      <c r="V619" s="4" t="b">
        <f t="shared" si="747"/>
        <v>0</v>
      </c>
      <c r="W619" s="13" t="str">
        <f t="shared" si="748"/>
        <v>Да</v>
      </c>
      <c r="X619" s="4" t="e">
        <f>(IF(COUNTIFS($G$2:G619,"+",$W$2:W619,"Да")&gt;1,"&amp; ","")&amp;D619&amp;J619&amp;E619&amp;SUBSTITUTE(L619,"""",""))</f>
        <v>#VALUE!</v>
      </c>
      <c r="Y619" s="4" t="e">
        <f t="shared" si="786"/>
        <v>#VALUE!</v>
      </c>
    </row>
    <row r="620" spans="1:25" x14ac:dyDescent="0.3">
      <c r="A620" s="11"/>
      <c r="B620" s="5" t="str">
        <f t="shared" si="749"/>
        <v/>
      </c>
      <c r="C620" s="5" t="str">
        <f t="shared" si="750"/>
        <v/>
      </c>
      <c r="D620" s="4" t="s">
        <v>10</v>
      </c>
      <c r="E620" s="4" t="s">
        <v>11</v>
      </c>
      <c r="F620" s="4" t="str">
        <f t="shared" si="773"/>
        <v>!!!</v>
      </c>
      <c r="G620" s="4" t="str">
        <f t="shared" si="751"/>
        <v>+</v>
      </c>
      <c r="H620" s="4"/>
      <c r="I620" s="4" t="str">
        <f t="shared" si="774"/>
        <v>!!!</v>
      </c>
      <c r="J620" s="4" t="e">
        <f t="shared" si="775"/>
        <v>#VALUE!</v>
      </c>
      <c r="K620" s="4" t="e">
        <f t="shared" si="776"/>
        <v>#VALUE!</v>
      </c>
      <c r="L620" s="4" t="e">
        <f t="shared" si="777"/>
        <v>#VALUE!</v>
      </c>
      <c r="M620" s="4">
        <f t="shared" si="752"/>
        <v>1000</v>
      </c>
      <c r="N620" s="4">
        <f t="shared" ref="N620:O620" si="806">MIN(IFERROR(FIND(" ",$C620,M620+1),1000))</f>
        <v>1000</v>
      </c>
      <c r="O620" s="4">
        <f t="shared" si="806"/>
        <v>1000</v>
      </c>
      <c r="P620" s="4">
        <f t="shared" si="754"/>
        <v>0</v>
      </c>
      <c r="Q620" s="4" t="str">
        <f t="shared" si="783"/>
        <v/>
      </c>
      <c r="R620" s="4" t="str">
        <f t="shared" si="799"/>
        <v/>
      </c>
      <c r="S620" s="4" t="str">
        <f t="shared" si="789"/>
        <v/>
      </c>
      <c r="T620" s="4" t="e">
        <f t="shared" si="755"/>
        <v>#VALUE!</v>
      </c>
      <c r="U620" s="4" t="e">
        <f t="shared" si="756"/>
        <v>#VALUE!</v>
      </c>
      <c r="V620" s="4" t="b">
        <f t="shared" si="747"/>
        <v>0</v>
      </c>
      <c r="W620" s="13" t="str">
        <f t="shared" si="748"/>
        <v>Да</v>
      </c>
      <c r="X620" s="4" t="e">
        <f>(IF(COUNTIFS($G$2:G620,"+",$W$2:W620,"Да")&gt;1,"&amp; ","")&amp;D620&amp;J620&amp;E620&amp;SUBSTITUTE(L620,"""",""))</f>
        <v>#VALUE!</v>
      </c>
      <c r="Y620" s="4" t="e">
        <f t="shared" si="786"/>
        <v>#VALUE!</v>
      </c>
    </row>
    <row r="621" spans="1:25" x14ac:dyDescent="0.3">
      <c r="A621" s="11"/>
      <c r="B621" s="5" t="str">
        <f t="shared" si="749"/>
        <v/>
      </c>
      <c r="C621" s="5" t="str">
        <f t="shared" si="750"/>
        <v/>
      </c>
      <c r="D621" s="4" t="s">
        <v>10</v>
      </c>
      <c r="E621" s="4" t="s">
        <v>11</v>
      </c>
      <c r="F621" s="4" t="str">
        <f t="shared" si="773"/>
        <v>!!!</v>
      </c>
      <c r="G621" s="4" t="str">
        <f t="shared" si="751"/>
        <v>+</v>
      </c>
      <c r="H621" s="4"/>
      <c r="I621" s="4" t="str">
        <f t="shared" si="774"/>
        <v>!!!</v>
      </c>
      <c r="J621" s="4" t="e">
        <f t="shared" si="775"/>
        <v>#VALUE!</v>
      </c>
      <c r="K621" s="4" t="e">
        <f t="shared" si="776"/>
        <v>#VALUE!</v>
      </c>
      <c r="L621" s="4" t="e">
        <f t="shared" si="777"/>
        <v>#VALUE!</v>
      </c>
      <c r="M621" s="4">
        <f t="shared" si="752"/>
        <v>1000</v>
      </c>
      <c r="N621" s="4">
        <f t="shared" ref="N621:O621" si="807">MIN(IFERROR(FIND(" ",$C621,M621+1),1000))</f>
        <v>1000</v>
      </c>
      <c r="O621" s="4">
        <f t="shared" si="807"/>
        <v>1000</v>
      </c>
      <c r="P621" s="4">
        <f t="shared" si="754"/>
        <v>0</v>
      </c>
      <c r="Q621" s="4" t="str">
        <f t="shared" si="783"/>
        <v/>
      </c>
      <c r="R621" s="4" t="str">
        <f t="shared" si="799"/>
        <v/>
      </c>
      <c r="S621" s="4" t="str">
        <f t="shared" si="789"/>
        <v/>
      </c>
      <c r="T621" s="4" t="e">
        <f t="shared" si="755"/>
        <v>#VALUE!</v>
      </c>
      <c r="U621" s="4" t="e">
        <f t="shared" si="756"/>
        <v>#VALUE!</v>
      </c>
      <c r="V621" s="4" t="b">
        <f t="shared" si="747"/>
        <v>0</v>
      </c>
      <c r="W621" s="13" t="str">
        <f t="shared" si="748"/>
        <v>Да</v>
      </c>
      <c r="X621" s="4" t="e">
        <f>(IF(COUNTIFS($G$2:G621,"+",$W$2:W621,"Да")&gt;1,"&amp; ","")&amp;D621&amp;J621&amp;E621&amp;SUBSTITUTE(L621,"""",""))</f>
        <v>#VALUE!</v>
      </c>
      <c r="Y621" s="4" t="e">
        <f t="shared" si="786"/>
        <v>#VALUE!</v>
      </c>
    </row>
    <row r="622" spans="1:25" x14ac:dyDescent="0.3">
      <c r="A622" s="11"/>
      <c r="B622" s="5" t="str">
        <f t="shared" si="749"/>
        <v/>
      </c>
      <c r="C622" s="5" t="str">
        <f t="shared" si="750"/>
        <v/>
      </c>
      <c r="D622" s="4" t="s">
        <v>10</v>
      </c>
      <c r="E622" s="4" t="s">
        <v>11</v>
      </c>
      <c r="F622" s="4" t="str">
        <f t="shared" si="773"/>
        <v>!!!</v>
      </c>
      <c r="G622" s="4" t="str">
        <f t="shared" si="751"/>
        <v>+</v>
      </c>
      <c r="H622" s="4"/>
      <c r="I622" s="4" t="str">
        <f t="shared" si="774"/>
        <v>!!!</v>
      </c>
      <c r="J622" s="4" t="e">
        <f t="shared" si="775"/>
        <v>#VALUE!</v>
      </c>
      <c r="K622" s="4" t="e">
        <f t="shared" si="776"/>
        <v>#VALUE!</v>
      </c>
      <c r="L622" s="4" t="e">
        <f t="shared" si="777"/>
        <v>#VALUE!</v>
      </c>
      <c r="M622" s="4">
        <f t="shared" si="752"/>
        <v>1000</v>
      </c>
      <c r="N622" s="4">
        <f t="shared" ref="N622:O622" si="808">MIN(IFERROR(FIND(" ",$C622,M622+1),1000))</f>
        <v>1000</v>
      </c>
      <c r="O622" s="4">
        <f t="shared" si="808"/>
        <v>1000</v>
      </c>
      <c r="P622" s="4">
        <f t="shared" si="754"/>
        <v>0</v>
      </c>
      <c r="Q622" s="4" t="str">
        <f t="shared" si="783"/>
        <v/>
      </c>
      <c r="R622" s="4" t="str">
        <f t="shared" si="799"/>
        <v/>
      </c>
      <c r="S622" s="4" t="str">
        <f t="shared" si="789"/>
        <v/>
      </c>
      <c r="T622" s="4" t="e">
        <f t="shared" si="755"/>
        <v>#VALUE!</v>
      </c>
      <c r="U622" s="4" t="e">
        <f t="shared" si="756"/>
        <v>#VALUE!</v>
      </c>
      <c r="V622" s="4" t="b">
        <f t="shared" si="747"/>
        <v>0</v>
      </c>
      <c r="W622" s="13" t="str">
        <f t="shared" si="748"/>
        <v>Да</v>
      </c>
      <c r="X622" s="4" t="e">
        <f>(IF(COUNTIFS($G$2:G622,"+",$W$2:W622,"Да")&gt;1,"&amp; ","")&amp;D622&amp;J622&amp;E622&amp;SUBSTITUTE(L622,"""",""))</f>
        <v>#VALUE!</v>
      </c>
      <c r="Y622" s="4" t="e">
        <f t="shared" si="786"/>
        <v>#VALUE!</v>
      </c>
    </row>
    <row r="623" spans="1:25" x14ac:dyDescent="0.3">
      <c r="A623" s="11"/>
      <c r="B623" s="5" t="str">
        <f t="shared" si="749"/>
        <v/>
      </c>
      <c r="C623" s="5" t="str">
        <f t="shared" si="750"/>
        <v/>
      </c>
      <c r="D623" s="4" t="s">
        <v>10</v>
      </c>
      <c r="E623" s="4" t="s">
        <v>11</v>
      </c>
      <c r="F623" s="4" t="str">
        <f t="shared" si="773"/>
        <v>!!!</v>
      </c>
      <c r="G623" s="4" t="str">
        <f t="shared" si="751"/>
        <v>+</v>
      </c>
      <c r="H623" s="4"/>
      <c r="I623" s="4" t="str">
        <f t="shared" si="774"/>
        <v>!!!</v>
      </c>
      <c r="J623" s="4" t="e">
        <f t="shared" si="775"/>
        <v>#VALUE!</v>
      </c>
      <c r="K623" s="4" t="e">
        <f t="shared" si="776"/>
        <v>#VALUE!</v>
      </c>
      <c r="L623" s="4" t="e">
        <f t="shared" si="777"/>
        <v>#VALUE!</v>
      </c>
      <c r="M623" s="4">
        <f t="shared" si="752"/>
        <v>1000</v>
      </c>
      <c r="N623" s="4">
        <f t="shared" ref="N623:O623" si="809">MIN(IFERROR(FIND(" ",$C623,M623+1),1000))</f>
        <v>1000</v>
      </c>
      <c r="O623" s="4">
        <f t="shared" si="809"/>
        <v>1000</v>
      </c>
      <c r="P623" s="4">
        <f t="shared" si="754"/>
        <v>0</v>
      </c>
      <c r="Q623" s="4" t="str">
        <f t="shared" si="783"/>
        <v/>
      </c>
      <c r="R623" s="4" t="str">
        <f t="shared" si="799"/>
        <v/>
      </c>
      <c r="S623" s="4" t="str">
        <f t="shared" si="789"/>
        <v/>
      </c>
      <c r="T623" s="4" t="e">
        <f t="shared" si="755"/>
        <v>#VALUE!</v>
      </c>
      <c r="U623" s="4" t="e">
        <f t="shared" si="756"/>
        <v>#VALUE!</v>
      </c>
      <c r="V623" s="4" t="b">
        <f t="shared" si="747"/>
        <v>0</v>
      </c>
      <c r="W623" s="13" t="str">
        <f t="shared" si="748"/>
        <v>Да</v>
      </c>
      <c r="X623" s="4" t="e">
        <f>(IF(COUNTIFS($G$2:G623,"+",$W$2:W623,"Да")&gt;1,"&amp; ","")&amp;D623&amp;J623&amp;E623&amp;SUBSTITUTE(L623,"""",""))</f>
        <v>#VALUE!</v>
      </c>
      <c r="Y623" s="4" t="e">
        <f t="shared" si="786"/>
        <v>#VALUE!</v>
      </c>
    </row>
    <row r="624" spans="1:25" x14ac:dyDescent="0.3">
      <c r="A624" s="11"/>
      <c r="B624" s="5" t="str">
        <f t="shared" si="749"/>
        <v/>
      </c>
      <c r="C624" s="5" t="str">
        <f t="shared" si="750"/>
        <v/>
      </c>
      <c r="D624" s="4" t="s">
        <v>10</v>
      </c>
      <c r="E624" s="4" t="s">
        <v>11</v>
      </c>
      <c r="F624" s="4" t="str">
        <f t="shared" si="773"/>
        <v>!!!</v>
      </c>
      <c r="G624" s="4" t="str">
        <f t="shared" si="751"/>
        <v>+</v>
      </c>
      <c r="H624" s="4"/>
      <c r="I624" s="4" t="str">
        <f t="shared" si="774"/>
        <v>!!!</v>
      </c>
      <c r="J624" s="4" t="e">
        <f t="shared" si="775"/>
        <v>#VALUE!</v>
      </c>
      <c r="K624" s="4" t="e">
        <f t="shared" si="776"/>
        <v>#VALUE!</v>
      </c>
      <c r="L624" s="4" t="e">
        <f t="shared" si="777"/>
        <v>#VALUE!</v>
      </c>
      <c r="M624" s="4">
        <f t="shared" si="752"/>
        <v>1000</v>
      </c>
      <c r="N624" s="4">
        <f t="shared" ref="N624:O624" si="810">MIN(IFERROR(FIND(" ",$C624,M624+1),1000))</f>
        <v>1000</v>
      </c>
      <c r="O624" s="4">
        <f t="shared" si="810"/>
        <v>1000</v>
      </c>
      <c r="P624" s="4">
        <f t="shared" si="754"/>
        <v>0</v>
      </c>
      <c r="Q624" s="4" t="str">
        <f t="shared" si="783"/>
        <v/>
      </c>
      <c r="R624" s="4" t="str">
        <f t="shared" si="799"/>
        <v/>
      </c>
      <c r="S624" s="4" t="str">
        <f t="shared" si="789"/>
        <v/>
      </c>
      <c r="T624" s="4" t="e">
        <f t="shared" si="755"/>
        <v>#VALUE!</v>
      </c>
      <c r="U624" s="4" t="e">
        <f t="shared" si="756"/>
        <v>#VALUE!</v>
      </c>
      <c r="V624" s="4" t="b">
        <f t="shared" si="747"/>
        <v>0</v>
      </c>
      <c r="W624" s="13" t="str">
        <f t="shared" si="748"/>
        <v>Да</v>
      </c>
      <c r="X624" s="4" t="e">
        <f>(IF(COUNTIFS($G$2:G624,"+",$W$2:W624,"Да")&gt;1,"&amp; ","")&amp;D624&amp;J624&amp;E624&amp;SUBSTITUTE(L624,"""",""))</f>
        <v>#VALUE!</v>
      </c>
      <c r="Y624" s="4" t="e">
        <f t="shared" si="786"/>
        <v>#VALUE!</v>
      </c>
    </row>
    <row r="625" spans="1:25" x14ac:dyDescent="0.3">
      <c r="A625" s="11"/>
      <c r="B625" s="5" t="str">
        <f t="shared" si="749"/>
        <v/>
      </c>
      <c r="C625" s="5" t="str">
        <f t="shared" si="750"/>
        <v/>
      </c>
      <c r="D625" s="4" t="s">
        <v>10</v>
      </c>
      <c r="E625" s="4" t="s">
        <v>11</v>
      </c>
      <c r="F625" s="4" t="str">
        <f t="shared" si="773"/>
        <v>!!!</v>
      </c>
      <c r="G625" s="4" t="str">
        <f t="shared" si="751"/>
        <v>+</v>
      </c>
      <c r="H625" s="4"/>
      <c r="I625" s="4" t="str">
        <f t="shared" si="774"/>
        <v>!!!</v>
      </c>
      <c r="J625" s="4" t="e">
        <f t="shared" si="775"/>
        <v>#VALUE!</v>
      </c>
      <c r="K625" s="4" t="e">
        <f t="shared" si="776"/>
        <v>#VALUE!</v>
      </c>
      <c r="L625" s="4" t="e">
        <f t="shared" si="777"/>
        <v>#VALUE!</v>
      </c>
      <c r="M625" s="4">
        <f t="shared" si="752"/>
        <v>1000</v>
      </c>
      <c r="N625" s="4">
        <f t="shared" ref="N625:O625" si="811">MIN(IFERROR(FIND(" ",$C625,M625+1),1000))</f>
        <v>1000</v>
      </c>
      <c r="O625" s="4">
        <f t="shared" si="811"/>
        <v>1000</v>
      </c>
      <c r="P625" s="4">
        <f t="shared" si="754"/>
        <v>0</v>
      </c>
      <c r="Q625" s="4" t="str">
        <f t="shared" si="783"/>
        <v/>
      </c>
      <c r="R625" s="4" t="str">
        <f t="shared" si="799"/>
        <v/>
      </c>
      <c r="S625" s="4" t="str">
        <f t="shared" si="789"/>
        <v/>
      </c>
      <c r="T625" s="4" t="e">
        <f t="shared" si="755"/>
        <v>#VALUE!</v>
      </c>
      <c r="U625" s="4" t="e">
        <f t="shared" si="756"/>
        <v>#VALUE!</v>
      </c>
      <c r="V625" s="4" t="b">
        <f t="shared" si="747"/>
        <v>0</v>
      </c>
      <c r="W625" s="13" t="str">
        <f t="shared" si="748"/>
        <v>Да</v>
      </c>
      <c r="X625" s="4" t="e">
        <f>(IF(COUNTIFS($G$2:G625,"+",$W$2:W625,"Да")&gt;1,"&amp; ","")&amp;D625&amp;J625&amp;E625&amp;SUBSTITUTE(L625,"""",""))</f>
        <v>#VALUE!</v>
      </c>
      <c r="Y625" s="4" t="e">
        <f t="shared" si="786"/>
        <v>#VALUE!</v>
      </c>
    </row>
    <row r="626" spans="1:25" x14ac:dyDescent="0.3">
      <c r="A626" s="11"/>
      <c r="B626" s="5" t="str">
        <f t="shared" si="749"/>
        <v/>
      </c>
      <c r="C626" s="5" t="str">
        <f t="shared" si="750"/>
        <v/>
      </c>
      <c r="D626" s="4" t="s">
        <v>10</v>
      </c>
      <c r="E626" s="4" t="s">
        <v>11</v>
      </c>
      <c r="F626" s="4" t="str">
        <f t="shared" si="773"/>
        <v>!!!</v>
      </c>
      <c r="G626" s="4" t="str">
        <f t="shared" si="751"/>
        <v>+</v>
      </c>
      <c r="H626" s="4"/>
      <c r="I626" s="4" t="str">
        <f t="shared" si="774"/>
        <v>!!!</v>
      </c>
      <c r="J626" s="4" t="e">
        <f t="shared" si="775"/>
        <v>#VALUE!</v>
      </c>
      <c r="K626" s="4" t="e">
        <f t="shared" si="776"/>
        <v>#VALUE!</v>
      </c>
      <c r="L626" s="4" t="e">
        <f t="shared" si="777"/>
        <v>#VALUE!</v>
      </c>
      <c r="M626" s="4">
        <f t="shared" si="752"/>
        <v>1000</v>
      </c>
      <c r="N626" s="4">
        <f t="shared" ref="N626:O626" si="812">MIN(IFERROR(FIND(" ",$C626,M626+1),1000))</f>
        <v>1000</v>
      </c>
      <c r="O626" s="4">
        <f t="shared" si="812"/>
        <v>1000</v>
      </c>
      <c r="P626" s="4">
        <f t="shared" si="754"/>
        <v>0</v>
      </c>
      <c r="Q626" s="4" t="str">
        <f t="shared" si="783"/>
        <v/>
      </c>
      <c r="R626" s="4" t="str">
        <f t="shared" si="799"/>
        <v/>
      </c>
      <c r="S626" s="4" t="str">
        <f t="shared" si="789"/>
        <v/>
      </c>
      <c r="T626" s="4" t="e">
        <f t="shared" si="755"/>
        <v>#VALUE!</v>
      </c>
      <c r="U626" s="4" t="e">
        <f t="shared" si="756"/>
        <v>#VALUE!</v>
      </c>
      <c r="V626" s="4" t="b">
        <f t="shared" si="747"/>
        <v>0</v>
      </c>
      <c r="W626" s="13" t="str">
        <f t="shared" si="748"/>
        <v>Да</v>
      </c>
      <c r="X626" s="4" t="e">
        <f>(IF(COUNTIFS($G$2:G626,"+",$W$2:W626,"Да")&gt;1,"&amp; ","")&amp;D626&amp;J626&amp;E626&amp;SUBSTITUTE(L626,"""",""))</f>
        <v>#VALUE!</v>
      </c>
      <c r="Y626" s="4" t="e">
        <f t="shared" si="786"/>
        <v>#VALUE!</v>
      </c>
    </row>
    <row r="627" spans="1:25" x14ac:dyDescent="0.3">
      <c r="A627" s="11"/>
      <c r="B627" s="5" t="str">
        <f t="shared" si="749"/>
        <v/>
      </c>
      <c r="C627" s="5" t="str">
        <f t="shared" si="750"/>
        <v/>
      </c>
      <c r="D627" s="4" t="s">
        <v>10</v>
      </c>
      <c r="E627" s="4" t="s">
        <v>11</v>
      </c>
      <c r="F627" s="4" t="str">
        <f t="shared" si="773"/>
        <v>!!!</v>
      </c>
      <c r="G627" s="4" t="str">
        <f t="shared" si="751"/>
        <v>+</v>
      </c>
      <c r="H627" s="4"/>
      <c r="I627" s="4" t="str">
        <f t="shared" si="774"/>
        <v>!!!</v>
      </c>
      <c r="J627" s="4" t="e">
        <f t="shared" si="775"/>
        <v>#VALUE!</v>
      </c>
      <c r="K627" s="4" t="e">
        <f t="shared" si="776"/>
        <v>#VALUE!</v>
      </c>
      <c r="L627" s="4" t="e">
        <f t="shared" si="777"/>
        <v>#VALUE!</v>
      </c>
      <c r="M627" s="4">
        <f t="shared" si="752"/>
        <v>1000</v>
      </c>
      <c r="N627" s="4">
        <f t="shared" ref="N627:O627" si="813">MIN(IFERROR(FIND(" ",$C627,M627+1),1000))</f>
        <v>1000</v>
      </c>
      <c r="O627" s="4">
        <f t="shared" si="813"/>
        <v>1000</v>
      </c>
      <c r="P627" s="4">
        <f t="shared" si="754"/>
        <v>0</v>
      </c>
      <c r="Q627" s="4" t="str">
        <f t="shared" si="783"/>
        <v/>
      </c>
      <c r="R627" s="4" t="str">
        <f t="shared" si="799"/>
        <v/>
      </c>
      <c r="S627" s="4" t="str">
        <f t="shared" si="789"/>
        <v/>
      </c>
      <c r="T627" s="4" t="e">
        <f t="shared" si="755"/>
        <v>#VALUE!</v>
      </c>
      <c r="U627" s="4" t="e">
        <f t="shared" si="756"/>
        <v>#VALUE!</v>
      </c>
      <c r="V627" s="4" t="b">
        <f t="shared" si="747"/>
        <v>0</v>
      </c>
      <c r="W627" s="13" t="str">
        <f t="shared" si="748"/>
        <v>Да</v>
      </c>
      <c r="X627" s="4" t="e">
        <f>(IF(COUNTIFS($G$2:G627,"+",$W$2:W627,"Да")&gt;1,"&amp; ","")&amp;D627&amp;J627&amp;E627&amp;SUBSTITUTE(L627,"""",""))</f>
        <v>#VALUE!</v>
      </c>
      <c r="Y627" s="4" t="e">
        <f t="shared" si="786"/>
        <v>#VALUE!</v>
      </c>
    </row>
    <row r="628" spans="1:25" x14ac:dyDescent="0.3">
      <c r="A628" s="11"/>
      <c r="B628" s="5" t="str">
        <f t="shared" si="749"/>
        <v/>
      </c>
      <c r="C628" s="5" t="str">
        <f t="shared" si="750"/>
        <v/>
      </c>
      <c r="D628" s="4" t="s">
        <v>10</v>
      </c>
      <c r="E628" s="4" t="s">
        <v>11</v>
      </c>
      <c r="F628" s="4" t="str">
        <f t="shared" si="773"/>
        <v>!!!</v>
      </c>
      <c r="G628" s="4" t="str">
        <f t="shared" si="751"/>
        <v>+</v>
      </c>
      <c r="H628" s="4"/>
      <c r="I628" s="4" t="str">
        <f t="shared" si="774"/>
        <v>!!!</v>
      </c>
      <c r="J628" s="4" t="e">
        <f t="shared" si="775"/>
        <v>#VALUE!</v>
      </c>
      <c r="K628" s="4" t="e">
        <f t="shared" si="776"/>
        <v>#VALUE!</v>
      </c>
      <c r="L628" s="4" t="e">
        <f t="shared" si="777"/>
        <v>#VALUE!</v>
      </c>
      <c r="M628" s="4">
        <f t="shared" si="752"/>
        <v>1000</v>
      </c>
      <c r="N628" s="4">
        <f t="shared" ref="N628:O628" si="814">MIN(IFERROR(FIND(" ",$C628,M628+1),1000))</f>
        <v>1000</v>
      </c>
      <c r="O628" s="4">
        <f t="shared" si="814"/>
        <v>1000</v>
      </c>
      <c r="P628" s="4">
        <f t="shared" si="754"/>
        <v>0</v>
      </c>
      <c r="Q628" s="4" t="str">
        <f t="shared" si="783"/>
        <v/>
      </c>
      <c r="R628" s="4" t="str">
        <f t="shared" si="799"/>
        <v/>
      </c>
      <c r="S628" s="4" t="str">
        <f t="shared" si="789"/>
        <v/>
      </c>
      <c r="T628" s="4" t="e">
        <f t="shared" si="755"/>
        <v>#VALUE!</v>
      </c>
      <c r="U628" s="4" t="e">
        <f t="shared" si="756"/>
        <v>#VALUE!</v>
      </c>
      <c r="V628" s="4" t="b">
        <f t="shared" si="747"/>
        <v>0</v>
      </c>
      <c r="W628" s="13" t="str">
        <f t="shared" si="748"/>
        <v>Да</v>
      </c>
      <c r="X628" s="4" t="e">
        <f>(IF(COUNTIFS($G$2:G628,"+",$W$2:W628,"Да")&gt;1,"&amp; ","")&amp;D628&amp;J628&amp;E628&amp;SUBSTITUTE(L628,"""",""))</f>
        <v>#VALUE!</v>
      </c>
      <c r="Y628" s="4" t="e">
        <f t="shared" si="786"/>
        <v>#VALUE!</v>
      </c>
    </row>
    <row r="629" spans="1:25" x14ac:dyDescent="0.3">
      <c r="A629" s="11"/>
      <c r="B629" s="5" t="str">
        <f t="shared" si="749"/>
        <v/>
      </c>
      <c r="C629" s="5" t="str">
        <f t="shared" si="750"/>
        <v/>
      </c>
      <c r="D629" s="4" t="s">
        <v>10</v>
      </c>
      <c r="E629" s="4" t="s">
        <v>11</v>
      </c>
      <c r="F629" s="4" t="str">
        <f t="shared" si="773"/>
        <v>!!!</v>
      </c>
      <c r="G629" s="4" t="str">
        <f t="shared" si="751"/>
        <v>+</v>
      </c>
      <c r="H629" s="4"/>
      <c r="I629" s="4" t="str">
        <f t="shared" si="774"/>
        <v>!!!</v>
      </c>
      <c r="J629" s="4" t="e">
        <f t="shared" si="775"/>
        <v>#VALUE!</v>
      </c>
      <c r="K629" s="4" t="e">
        <f t="shared" si="776"/>
        <v>#VALUE!</v>
      </c>
      <c r="L629" s="4" t="e">
        <f t="shared" si="777"/>
        <v>#VALUE!</v>
      </c>
      <c r="M629" s="4">
        <f t="shared" si="752"/>
        <v>1000</v>
      </c>
      <c r="N629" s="4">
        <f t="shared" ref="N629:O629" si="815">MIN(IFERROR(FIND(" ",$C629,M629+1),1000))</f>
        <v>1000</v>
      </c>
      <c r="O629" s="4">
        <f t="shared" si="815"/>
        <v>1000</v>
      </c>
      <c r="P629" s="4">
        <f t="shared" si="754"/>
        <v>0</v>
      </c>
      <c r="Q629" s="4" t="str">
        <f t="shared" si="783"/>
        <v/>
      </c>
      <c r="R629" s="4" t="str">
        <f t="shared" si="799"/>
        <v/>
      </c>
      <c r="S629" s="4" t="str">
        <f t="shared" si="789"/>
        <v/>
      </c>
      <c r="T629" s="4" t="e">
        <f t="shared" si="755"/>
        <v>#VALUE!</v>
      </c>
      <c r="U629" s="4" t="e">
        <f t="shared" si="756"/>
        <v>#VALUE!</v>
      </c>
      <c r="V629" s="4" t="b">
        <f t="shared" si="747"/>
        <v>0</v>
      </c>
      <c r="W629" s="13" t="str">
        <f t="shared" si="748"/>
        <v>Да</v>
      </c>
      <c r="X629" s="4" t="e">
        <f>(IF(COUNTIFS($G$2:G629,"+",$W$2:W629,"Да")&gt;1,"&amp; ","")&amp;D629&amp;J629&amp;E629&amp;SUBSTITUTE(L629,"""",""))</f>
        <v>#VALUE!</v>
      </c>
      <c r="Y629" s="4" t="e">
        <f t="shared" si="786"/>
        <v>#VALUE!</v>
      </c>
    </row>
    <row r="630" spans="1:25" x14ac:dyDescent="0.3">
      <c r="A630" s="11"/>
      <c r="B630" s="5" t="str">
        <f t="shared" si="749"/>
        <v/>
      </c>
      <c r="C630" s="5" t="str">
        <f t="shared" si="750"/>
        <v/>
      </c>
      <c r="D630" s="4" t="s">
        <v>10</v>
      </c>
      <c r="E630" s="4" t="s">
        <v>11</v>
      </c>
      <c r="F630" s="4" t="str">
        <f t="shared" si="773"/>
        <v>!!!</v>
      </c>
      <c r="G630" s="4" t="str">
        <f t="shared" si="751"/>
        <v>+</v>
      </c>
      <c r="H630" s="4"/>
      <c r="I630" s="4" t="str">
        <f t="shared" si="774"/>
        <v>!!!</v>
      </c>
      <c r="J630" s="4" t="e">
        <f t="shared" si="775"/>
        <v>#VALUE!</v>
      </c>
      <c r="K630" s="4" t="e">
        <f t="shared" si="776"/>
        <v>#VALUE!</v>
      </c>
      <c r="L630" s="4" t="e">
        <f t="shared" si="777"/>
        <v>#VALUE!</v>
      </c>
      <c r="M630" s="4">
        <f t="shared" si="752"/>
        <v>1000</v>
      </c>
      <c r="N630" s="4">
        <f t="shared" ref="N630:O630" si="816">MIN(IFERROR(FIND(" ",$C630,M630+1),1000))</f>
        <v>1000</v>
      </c>
      <c r="O630" s="4">
        <f t="shared" si="816"/>
        <v>1000</v>
      </c>
      <c r="P630" s="4">
        <f t="shared" si="754"/>
        <v>0</v>
      </c>
      <c r="Q630" s="4" t="str">
        <f t="shared" si="783"/>
        <v/>
      </c>
      <c r="R630" s="4" t="str">
        <f t="shared" si="799"/>
        <v/>
      </c>
      <c r="S630" s="4" t="str">
        <f t="shared" si="789"/>
        <v/>
      </c>
      <c r="T630" s="4" t="e">
        <f t="shared" si="755"/>
        <v>#VALUE!</v>
      </c>
      <c r="U630" s="4" t="e">
        <f t="shared" si="756"/>
        <v>#VALUE!</v>
      </c>
      <c r="V630" s="4" t="b">
        <f t="shared" si="747"/>
        <v>0</v>
      </c>
      <c r="W630" s="13" t="str">
        <f t="shared" si="748"/>
        <v>Да</v>
      </c>
      <c r="X630" s="4" t="e">
        <f>(IF(COUNTIFS($G$2:G630,"+",$W$2:W630,"Да")&gt;1,"&amp; ","")&amp;D630&amp;J630&amp;E630&amp;SUBSTITUTE(L630,"""",""))</f>
        <v>#VALUE!</v>
      </c>
      <c r="Y630" s="4" t="e">
        <f t="shared" si="786"/>
        <v>#VALUE!</v>
      </c>
    </row>
    <row r="631" spans="1:25" x14ac:dyDescent="0.3">
      <c r="A631" s="11"/>
      <c r="B631" s="5" t="str">
        <f t="shared" si="749"/>
        <v/>
      </c>
      <c r="C631" s="5" t="str">
        <f t="shared" si="750"/>
        <v/>
      </c>
      <c r="D631" s="4" t="s">
        <v>10</v>
      </c>
      <c r="E631" s="4" t="s">
        <v>11</v>
      </c>
      <c r="F631" s="4" t="str">
        <f t="shared" si="773"/>
        <v>!!!</v>
      </c>
      <c r="G631" s="4" t="str">
        <f t="shared" si="751"/>
        <v>+</v>
      </c>
      <c r="H631" s="4"/>
      <c r="I631" s="4" t="str">
        <f t="shared" si="774"/>
        <v>!!!</v>
      </c>
      <c r="J631" s="4" t="e">
        <f t="shared" si="775"/>
        <v>#VALUE!</v>
      </c>
      <c r="K631" s="4" t="e">
        <f t="shared" si="776"/>
        <v>#VALUE!</v>
      </c>
      <c r="L631" s="4" t="e">
        <f t="shared" si="777"/>
        <v>#VALUE!</v>
      </c>
      <c r="M631" s="4">
        <f t="shared" si="752"/>
        <v>1000</v>
      </c>
      <c r="N631" s="4">
        <f t="shared" ref="N631:O631" si="817">MIN(IFERROR(FIND(" ",$C631,M631+1),1000))</f>
        <v>1000</v>
      </c>
      <c r="O631" s="4">
        <f t="shared" si="817"/>
        <v>1000</v>
      </c>
      <c r="P631" s="4">
        <f t="shared" si="754"/>
        <v>0</v>
      </c>
      <c r="Q631" s="4" t="str">
        <f t="shared" si="783"/>
        <v/>
      </c>
      <c r="R631" s="4" t="str">
        <f t="shared" si="799"/>
        <v/>
      </c>
      <c r="S631" s="4" t="str">
        <f t="shared" si="789"/>
        <v/>
      </c>
      <c r="T631" s="4" t="e">
        <f t="shared" si="755"/>
        <v>#VALUE!</v>
      </c>
      <c r="U631" s="4" t="e">
        <f t="shared" si="756"/>
        <v>#VALUE!</v>
      </c>
      <c r="V631" s="4" t="b">
        <f t="shared" si="747"/>
        <v>0</v>
      </c>
      <c r="W631" s="13" t="str">
        <f t="shared" si="748"/>
        <v>Да</v>
      </c>
      <c r="X631" s="4" t="e">
        <f>(IF(COUNTIFS($G$2:G631,"+",$W$2:W631,"Да")&gt;1,"&amp; ","")&amp;D631&amp;J631&amp;E631&amp;SUBSTITUTE(L631,"""",""))</f>
        <v>#VALUE!</v>
      </c>
      <c r="Y631" s="4" t="e">
        <f t="shared" si="786"/>
        <v>#VALUE!</v>
      </c>
    </row>
    <row r="632" spans="1:25" x14ac:dyDescent="0.3">
      <c r="A632" s="11"/>
      <c r="B632" s="5" t="str">
        <f t="shared" si="749"/>
        <v/>
      </c>
      <c r="C632" s="5" t="str">
        <f t="shared" si="750"/>
        <v/>
      </c>
      <c r="D632" s="4" t="s">
        <v>10</v>
      </c>
      <c r="E632" s="4" t="s">
        <v>11</v>
      </c>
      <c r="F632" s="4" t="str">
        <f t="shared" si="773"/>
        <v>!!!</v>
      </c>
      <c r="G632" s="4" t="str">
        <f t="shared" si="751"/>
        <v>+</v>
      </c>
      <c r="H632" s="4"/>
      <c r="I632" s="4" t="str">
        <f t="shared" si="774"/>
        <v>!!!</v>
      </c>
      <c r="J632" s="4" t="e">
        <f t="shared" si="775"/>
        <v>#VALUE!</v>
      </c>
      <c r="K632" s="4" t="e">
        <f t="shared" si="776"/>
        <v>#VALUE!</v>
      </c>
      <c r="L632" s="4" t="e">
        <f t="shared" si="777"/>
        <v>#VALUE!</v>
      </c>
      <c r="M632" s="4">
        <f t="shared" si="752"/>
        <v>1000</v>
      </c>
      <c r="N632" s="4">
        <f t="shared" ref="N632:O632" si="818">MIN(IFERROR(FIND(" ",$C632,M632+1),1000))</f>
        <v>1000</v>
      </c>
      <c r="O632" s="4">
        <f t="shared" si="818"/>
        <v>1000</v>
      </c>
      <c r="P632" s="4">
        <f t="shared" si="754"/>
        <v>0</v>
      </c>
      <c r="Q632" s="4" t="str">
        <f t="shared" si="783"/>
        <v/>
      </c>
      <c r="R632" s="4" t="str">
        <f t="shared" si="799"/>
        <v/>
      </c>
      <c r="S632" s="4" t="str">
        <f t="shared" si="789"/>
        <v/>
      </c>
      <c r="T632" s="4" t="e">
        <f t="shared" si="755"/>
        <v>#VALUE!</v>
      </c>
      <c r="U632" s="4" t="e">
        <f t="shared" si="756"/>
        <v>#VALUE!</v>
      </c>
      <c r="V632" s="4" t="b">
        <f t="shared" si="747"/>
        <v>0</v>
      </c>
      <c r="W632" s="13" t="str">
        <f t="shared" si="748"/>
        <v>Да</v>
      </c>
      <c r="X632" s="4" t="e">
        <f>(IF(COUNTIFS($G$2:G632,"+",$W$2:W632,"Да")&gt;1,"&amp; ","")&amp;D632&amp;J632&amp;E632&amp;SUBSTITUTE(L632,"""",""))</f>
        <v>#VALUE!</v>
      </c>
      <c r="Y632" s="4" t="e">
        <f t="shared" si="786"/>
        <v>#VALUE!</v>
      </c>
    </row>
    <row r="633" spans="1:25" x14ac:dyDescent="0.3">
      <c r="A633" s="11"/>
      <c r="B633" s="5" t="str">
        <f t="shared" si="749"/>
        <v/>
      </c>
      <c r="C633" s="5" t="str">
        <f t="shared" si="750"/>
        <v/>
      </c>
      <c r="D633" s="4" t="s">
        <v>10</v>
      </c>
      <c r="E633" s="4" t="s">
        <v>11</v>
      </c>
      <c r="F633" s="4" t="str">
        <f t="shared" si="773"/>
        <v>!!!</v>
      </c>
      <c r="G633" s="4" t="str">
        <f t="shared" si="751"/>
        <v>+</v>
      </c>
      <c r="H633" s="4"/>
      <c r="I633" s="4" t="str">
        <f t="shared" si="774"/>
        <v>!!!</v>
      </c>
      <c r="J633" s="4" t="e">
        <f t="shared" si="775"/>
        <v>#VALUE!</v>
      </c>
      <c r="K633" s="4" t="e">
        <f t="shared" si="776"/>
        <v>#VALUE!</v>
      </c>
      <c r="L633" s="4" t="e">
        <f t="shared" si="777"/>
        <v>#VALUE!</v>
      </c>
      <c r="M633" s="4">
        <f t="shared" si="752"/>
        <v>1000</v>
      </c>
      <c r="N633" s="4">
        <f t="shared" ref="N633:O633" si="819">MIN(IFERROR(FIND(" ",$C633,M633+1),1000))</f>
        <v>1000</v>
      </c>
      <c r="O633" s="4">
        <f t="shared" si="819"/>
        <v>1000</v>
      </c>
      <c r="P633" s="4">
        <f t="shared" si="754"/>
        <v>0</v>
      </c>
      <c r="Q633" s="4" t="str">
        <f t="shared" si="783"/>
        <v/>
      </c>
      <c r="R633" s="4" t="str">
        <f t="shared" si="799"/>
        <v/>
      </c>
      <c r="S633" s="4" t="str">
        <f t="shared" si="789"/>
        <v/>
      </c>
      <c r="T633" s="4" t="e">
        <f t="shared" si="755"/>
        <v>#VALUE!</v>
      </c>
      <c r="U633" s="4" t="e">
        <f t="shared" si="756"/>
        <v>#VALUE!</v>
      </c>
      <c r="V633" s="4" t="b">
        <f t="shared" si="747"/>
        <v>0</v>
      </c>
      <c r="W633" s="13" t="str">
        <f t="shared" si="748"/>
        <v>Да</v>
      </c>
      <c r="X633" s="4" t="e">
        <f>(IF(COUNTIFS($G$2:G633,"+",$W$2:W633,"Да")&gt;1,"&amp; ","")&amp;D633&amp;J633&amp;E633&amp;SUBSTITUTE(L633,"""",""))</f>
        <v>#VALUE!</v>
      </c>
      <c r="Y633" s="4" t="e">
        <f t="shared" si="786"/>
        <v>#VALUE!</v>
      </c>
    </row>
    <row r="634" spans="1:25" x14ac:dyDescent="0.3">
      <c r="A634" s="11"/>
      <c r="B634" s="5" t="str">
        <f t="shared" si="749"/>
        <v/>
      </c>
      <c r="C634" s="5" t="str">
        <f t="shared" si="750"/>
        <v/>
      </c>
      <c r="D634" s="4" t="s">
        <v>10</v>
      </c>
      <c r="E634" s="4" t="s">
        <v>11</v>
      </c>
      <c r="F634" s="4" t="str">
        <f t="shared" si="773"/>
        <v>!!!</v>
      </c>
      <c r="G634" s="4" t="str">
        <f t="shared" si="751"/>
        <v>+</v>
      </c>
      <c r="H634" s="4"/>
      <c r="I634" s="4" t="str">
        <f t="shared" si="774"/>
        <v>!!!</v>
      </c>
      <c r="J634" s="4" t="e">
        <f t="shared" si="775"/>
        <v>#VALUE!</v>
      </c>
      <c r="K634" s="4" t="e">
        <f t="shared" si="776"/>
        <v>#VALUE!</v>
      </c>
      <c r="L634" s="4" t="e">
        <f t="shared" si="777"/>
        <v>#VALUE!</v>
      </c>
      <c r="M634" s="4">
        <f t="shared" si="752"/>
        <v>1000</v>
      </c>
      <c r="N634" s="4">
        <f t="shared" ref="N634:O634" si="820">MIN(IFERROR(FIND(" ",$C634,M634+1),1000))</f>
        <v>1000</v>
      </c>
      <c r="O634" s="4">
        <f t="shared" si="820"/>
        <v>1000</v>
      </c>
      <c r="P634" s="4">
        <f t="shared" si="754"/>
        <v>0</v>
      </c>
      <c r="Q634" s="4" t="str">
        <f t="shared" si="783"/>
        <v/>
      </c>
      <c r="R634" s="4" t="str">
        <f t="shared" si="799"/>
        <v/>
      </c>
      <c r="S634" s="4" t="str">
        <f t="shared" si="789"/>
        <v/>
      </c>
      <c r="T634" s="4" t="e">
        <f t="shared" si="755"/>
        <v>#VALUE!</v>
      </c>
      <c r="U634" s="4" t="e">
        <f t="shared" si="756"/>
        <v>#VALUE!</v>
      </c>
      <c r="V634" s="4" t="b">
        <f t="shared" si="747"/>
        <v>0</v>
      </c>
      <c r="W634" s="13" t="str">
        <f t="shared" si="748"/>
        <v>Да</v>
      </c>
      <c r="X634" s="4" t="e">
        <f>(IF(COUNTIFS($G$2:G634,"+",$W$2:W634,"Да")&gt;1,"&amp; ","")&amp;D634&amp;J634&amp;E634&amp;SUBSTITUTE(L634,"""",""))</f>
        <v>#VALUE!</v>
      </c>
      <c r="Y634" s="4" t="e">
        <f t="shared" si="786"/>
        <v>#VALUE!</v>
      </c>
    </row>
    <row r="635" spans="1:25" x14ac:dyDescent="0.3">
      <c r="A635" s="11"/>
      <c r="B635" s="5" t="str">
        <f t="shared" si="749"/>
        <v/>
      </c>
      <c r="C635" s="5" t="str">
        <f t="shared" si="750"/>
        <v/>
      </c>
      <c r="D635" s="4" t="s">
        <v>10</v>
      </c>
      <c r="E635" s="4" t="s">
        <v>11</v>
      </c>
      <c r="F635" s="4" t="str">
        <f t="shared" si="773"/>
        <v>!!!</v>
      </c>
      <c r="G635" s="4" t="str">
        <f t="shared" si="751"/>
        <v>+</v>
      </c>
      <c r="H635" s="4"/>
      <c r="I635" s="4" t="str">
        <f t="shared" si="774"/>
        <v>!!!</v>
      </c>
      <c r="J635" s="4" t="e">
        <f t="shared" si="775"/>
        <v>#VALUE!</v>
      </c>
      <c r="K635" s="4" t="e">
        <f t="shared" si="776"/>
        <v>#VALUE!</v>
      </c>
      <c r="L635" s="4" t="e">
        <f t="shared" si="777"/>
        <v>#VALUE!</v>
      </c>
      <c r="M635" s="4">
        <f t="shared" si="752"/>
        <v>1000</v>
      </c>
      <c r="N635" s="4">
        <f t="shared" ref="N635:O635" si="821">MIN(IFERROR(FIND(" ",$C635,M635+1),1000))</f>
        <v>1000</v>
      </c>
      <c r="O635" s="4">
        <f t="shared" si="821"/>
        <v>1000</v>
      </c>
      <c r="P635" s="4">
        <f t="shared" si="754"/>
        <v>0</v>
      </c>
      <c r="Q635" s="4" t="str">
        <f t="shared" si="783"/>
        <v/>
      </c>
      <c r="R635" s="4" t="str">
        <f t="shared" si="799"/>
        <v/>
      </c>
      <c r="S635" s="4" t="str">
        <f t="shared" si="789"/>
        <v/>
      </c>
      <c r="T635" s="4" t="e">
        <f t="shared" si="755"/>
        <v>#VALUE!</v>
      </c>
      <c r="U635" s="4" t="e">
        <f t="shared" si="756"/>
        <v>#VALUE!</v>
      </c>
      <c r="V635" s="4" t="b">
        <f t="shared" si="747"/>
        <v>0</v>
      </c>
      <c r="W635" s="13" t="str">
        <f t="shared" si="748"/>
        <v>Да</v>
      </c>
      <c r="X635" s="4" t="e">
        <f>(IF(COUNTIFS($G$2:G635,"+",$W$2:W635,"Да")&gt;1,"&amp; ","")&amp;D635&amp;J635&amp;E635&amp;SUBSTITUTE(L635,"""",""))</f>
        <v>#VALUE!</v>
      </c>
      <c r="Y635" s="4" t="e">
        <f t="shared" si="786"/>
        <v>#VALUE!</v>
      </c>
    </row>
    <row r="636" spans="1:25" x14ac:dyDescent="0.3">
      <c r="A636" s="11"/>
      <c r="B636" s="5" t="str">
        <f t="shared" si="749"/>
        <v/>
      </c>
      <c r="C636" s="5" t="str">
        <f t="shared" si="750"/>
        <v/>
      </c>
      <c r="D636" s="4" t="s">
        <v>10</v>
      </c>
      <c r="E636" s="4" t="s">
        <v>11</v>
      </c>
      <c r="F636" s="4" t="str">
        <f t="shared" si="773"/>
        <v>!!!</v>
      </c>
      <c r="G636" s="4" t="str">
        <f t="shared" si="751"/>
        <v>+</v>
      </c>
      <c r="H636" s="4"/>
      <c r="I636" s="4" t="str">
        <f t="shared" si="774"/>
        <v>!!!</v>
      </c>
      <c r="J636" s="4" t="e">
        <f t="shared" si="775"/>
        <v>#VALUE!</v>
      </c>
      <c r="K636" s="4" t="e">
        <f t="shared" si="776"/>
        <v>#VALUE!</v>
      </c>
      <c r="L636" s="4" t="e">
        <f t="shared" si="777"/>
        <v>#VALUE!</v>
      </c>
      <c r="M636" s="4">
        <f t="shared" si="752"/>
        <v>1000</v>
      </c>
      <c r="N636" s="4">
        <f t="shared" ref="N636:O636" si="822">MIN(IFERROR(FIND(" ",$C636,M636+1),1000))</f>
        <v>1000</v>
      </c>
      <c r="O636" s="4">
        <f t="shared" si="822"/>
        <v>1000</v>
      </c>
      <c r="P636" s="4">
        <f t="shared" si="754"/>
        <v>0</v>
      </c>
      <c r="Q636" s="4" t="str">
        <f t="shared" si="783"/>
        <v/>
      </c>
      <c r="R636" s="4" t="str">
        <f t="shared" si="799"/>
        <v/>
      </c>
      <c r="S636" s="4" t="str">
        <f t="shared" si="789"/>
        <v/>
      </c>
      <c r="T636" s="4" t="e">
        <f t="shared" si="755"/>
        <v>#VALUE!</v>
      </c>
      <c r="U636" s="4" t="e">
        <f t="shared" si="756"/>
        <v>#VALUE!</v>
      </c>
      <c r="V636" s="4" t="b">
        <f t="shared" si="747"/>
        <v>0</v>
      </c>
      <c r="W636" s="13" t="str">
        <f t="shared" si="748"/>
        <v>Да</v>
      </c>
      <c r="X636" s="4" t="e">
        <f>(IF(COUNTIFS($G$2:G636,"+",$W$2:W636,"Да")&gt;1,"&amp; ","")&amp;D636&amp;J636&amp;E636&amp;SUBSTITUTE(L636,"""",""))</f>
        <v>#VALUE!</v>
      </c>
      <c r="Y636" s="4" t="e">
        <f t="shared" si="786"/>
        <v>#VALUE!</v>
      </c>
    </row>
    <row r="637" spans="1:25" x14ac:dyDescent="0.3">
      <c r="A637" s="11"/>
      <c r="B637" s="5" t="str">
        <f t="shared" si="749"/>
        <v/>
      </c>
      <c r="C637" s="5" t="str">
        <f t="shared" si="750"/>
        <v/>
      </c>
      <c r="D637" s="4" t="s">
        <v>10</v>
      </c>
      <c r="E637" s="4" t="s">
        <v>11</v>
      </c>
      <c r="F637" s="4" t="str">
        <f t="shared" si="773"/>
        <v>!!!</v>
      </c>
      <c r="G637" s="4" t="str">
        <f t="shared" si="751"/>
        <v>+</v>
      </c>
      <c r="H637" s="4"/>
      <c r="I637" s="4" t="str">
        <f t="shared" si="774"/>
        <v>!!!</v>
      </c>
      <c r="J637" s="4" t="e">
        <f t="shared" si="775"/>
        <v>#VALUE!</v>
      </c>
      <c r="K637" s="4" t="e">
        <f t="shared" si="776"/>
        <v>#VALUE!</v>
      </c>
      <c r="L637" s="4" t="e">
        <f t="shared" si="777"/>
        <v>#VALUE!</v>
      </c>
      <c r="M637" s="4">
        <f t="shared" si="752"/>
        <v>1000</v>
      </c>
      <c r="N637" s="4">
        <f t="shared" ref="N637:O637" si="823">MIN(IFERROR(FIND(" ",$C637,M637+1),1000))</f>
        <v>1000</v>
      </c>
      <c r="O637" s="4">
        <f t="shared" si="823"/>
        <v>1000</v>
      </c>
      <c r="P637" s="4">
        <f t="shared" si="754"/>
        <v>0</v>
      </c>
      <c r="Q637" s="4" t="str">
        <f t="shared" si="783"/>
        <v/>
      </c>
      <c r="R637" s="4" t="str">
        <f t="shared" si="799"/>
        <v/>
      </c>
      <c r="S637" s="4" t="str">
        <f t="shared" si="789"/>
        <v/>
      </c>
      <c r="T637" s="4" t="e">
        <f t="shared" si="755"/>
        <v>#VALUE!</v>
      </c>
      <c r="U637" s="4" t="e">
        <f t="shared" si="756"/>
        <v>#VALUE!</v>
      </c>
      <c r="V637" s="4" t="b">
        <f t="shared" si="747"/>
        <v>0</v>
      </c>
      <c r="W637" s="13" t="str">
        <f t="shared" si="748"/>
        <v>Да</v>
      </c>
      <c r="X637" s="4" t="e">
        <f>(IF(COUNTIFS($G$2:G637,"+",$W$2:W637,"Да")&gt;1,"&amp; ","")&amp;D637&amp;J637&amp;E637&amp;SUBSTITUTE(L637,"""",""))</f>
        <v>#VALUE!</v>
      </c>
      <c r="Y637" s="4" t="e">
        <f t="shared" si="786"/>
        <v>#VALUE!</v>
      </c>
    </row>
    <row r="638" spans="1:25" x14ac:dyDescent="0.3">
      <c r="A638" s="11"/>
      <c r="B638" s="5" t="str">
        <f t="shared" si="749"/>
        <v/>
      </c>
      <c r="C638" s="5" t="str">
        <f t="shared" si="750"/>
        <v/>
      </c>
      <c r="D638" s="4" t="s">
        <v>10</v>
      </c>
      <c r="E638" s="4" t="s">
        <v>11</v>
      </c>
      <c r="F638" s="4" t="str">
        <f t="shared" si="773"/>
        <v>!!!</v>
      </c>
      <c r="G638" s="4" t="str">
        <f t="shared" si="751"/>
        <v>+</v>
      </c>
      <c r="H638" s="4"/>
      <c r="I638" s="4" t="str">
        <f t="shared" si="774"/>
        <v>!!!</v>
      </c>
      <c r="J638" s="4" t="e">
        <f t="shared" si="775"/>
        <v>#VALUE!</v>
      </c>
      <c r="K638" s="4" t="e">
        <f t="shared" si="776"/>
        <v>#VALUE!</v>
      </c>
      <c r="L638" s="4" t="e">
        <f t="shared" si="777"/>
        <v>#VALUE!</v>
      </c>
      <c r="M638" s="4">
        <f t="shared" si="752"/>
        <v>1000</v>
      </c>
      <c r="N638" s="4">
        <f t="shared" ref="N638:O638" si="824">MIN(IFERROR(FIND(" ",$C638,M638+1),1000))</f>
        <v>1000</v>
      </c>
      <c r="O638" s="4">
        <f t="shared" si="824"/>
        <v>1000</v>
      </c>
      <c r="P638" s="4">
        <f t="shared" si="754"/>
        <v>0</v>
      </c>
      <c r="Q638" s="4" t="str">
        <f t="shared" si="783"/>
        <v/>
      </c>
      <c r="R638" s="4" t="str">
        <f t="shared" si="799"/>
        <v/>
      </c>
      <c r="S638" s="4" t="str">
        <f t="shared" si="789"/>
        <v/>
      </c>
      <c r="T638" s="4" t="e">
        <f t="shared" si="755"/>
        <v>#VALUE!</v>
      </c>
      <c r="U638" s="4" t="e">
        <f t="shared" si="756"/>
        <v>#VALUE!</v>
      </c>
      <c r="V638" s="4" t="b">
        <f t="shared" si="747"/>
        <v>0</v>
      </c>
      <c r="W638" s="13" t="str">
        <f t="shared" si="748"/>
        <v>Да</v>
      </c>
      <c r="X638" s="4" t="e">
        <f>(IF(COUNTIFS($G$2:G638,"+",$W$2:W638,"Да")&gt;1,"&amp; ","")&amp;D638&amp;J638&amp;E638&amp;SUBSTITUTE(L638,"""",""))</f>
        <v>#VALUE!</v>
      </c>
      <c r="Y638" s="4" t="e">
        <f t="shared" si="786"/>
        <v>#VALUE!</v>
      </c>
    </row>
    <row r="639" spans="1:25" x14ac:dyDescent="0.3">
      <c r="A639" s="11"/>
      <c r="B639" s="5" t="str">
        <f t="shared" si="749"/>
        <v/>
      </c>
      <c r="C639" s="5" t="str">
        <f t="shared" si="750"/>
        <v/>
      </c>
      <c r="D639" s="4" t="s">
        <v>10</v>
      </c>
      <c r="E639" s="4" t="s">
        <v>11</v>
      </c>
      <c r="F639" s="4" t="str">
        <f t="shared" si="773"/>
        <v>!!!</v>
      </c>
      <c r="G639" s="4" t="str">
        <f t="shared" si="751"/>
        <v>+</v>
      </c>
      <c r="H639" s="4"/>
      <c r="I639" s="4" t="str">
        <f t="shared" si="774"/>
        <v>!!!</v>
      </c>
      <c r="J639" s="4" t="e">
        <f t="shared" si="775"/>
        <v>#VALUE!</v>
      </c>
      <c r="K639" s="4" t="e">
        <f t="shared" si="776"/>
        <v>#VALUE!</v>
      </c>
      <c r="L639" s="4" t="e">
        <f t="shared" si="777"/>
        <v>#VALUE!</v>
      </c>
      <c r="M639" s="4">
        <f t="shared" si="752"/>
        <v>1000</v>
      </c>
      <c r="N639" s="4">
        <f t="shared" ref="N639:O639" si="825">MIN(IFERROR(FIND(" ",$C639,M639+1),1000))</f>
        <v>1000</v>
      </c>
      <c r="O639" s="4">
        <f t="shared" si="825"/>
        <v>1000</v>
      </c>
      <c r="P639" s="4">
        <f t="shared" si="754"/>
        <v>0</v>
      </c>
      <c r="Q639" s="4" t="str">
        <f t="shared" si="783"/>
        <v/>
      </c>
      <c r="R639" s="4" t="str">
        <f t="shared" si="799"/>
        <v/>
      </c>
      <c r="S639" s="4" t="str">
        <f t="shared" si="789"/>
        <v/>
      </c>
      <c r="T639" s="4" t="e">
        <f t="shared" si="755"/>
        <v>#VALUE!</v>
      </c>
      <c r="U639" s="4" t="e">
        <f t="shared" si="756"/>
        <v>#VALUE!</v>
      </c>
      <c r="V639" s="4" t="b">
        <f t="shared" si="747"/>
        <v>0</v>
      </c>
      <c r="W639" s="13" t="str">
        <f t="shared" si="748"/>
        <v>Да</v>
      </c>
      <c r="X639" s="4" t="e">
        <f>(IF(COUNTIFS($G$2:G639,"+",$W$2:W639,"Да")&gt;1,"&amp; ","")&amp;D639&amp;J639&amp;E639&amp;SUBSTITUTE(L639,"""",""))</f>
        <v>#VALUE!</v>
      </c>
      <c r="Y639" s="4" t="e">
        <f t="shared" si="786"/>
        <v>#VALUE!</v>
      </c>
    </row>
    <row r="640" spans="1:25" x14ac:dyDescent="0.3">
      <c r="A640" s="11"/>
      <c r="B640" s="5" t="str">
        <f t="shared" si="749"/>
        <v/>
      </c>
      <c r="C640" s="5" t="str">
        <f t="shared" si="750"/>
        <v/>
      </c>
      <c r="D640" s="4" t="s">
        <v>10</v>
      </c>
      <c r="E640" s="4" t="s">
        <v>11</v>
      </c>
      <c r="F640" s="4" t="str">
        <f t="shared" si="773"/>
        <v>!!!</v>
      </c>
      <c r="G640" s="4" t="str">
        <f t="shared" si="751"/>
        <v>+</v>
      </c>
      <c r="H640" s="4"/>
      <c r="I640" s="4" t="str">
        <f t="shared" si="774"/>
        <v>!!!</v>
      </c>
      <c r="J640" s="4" t="e">
        <f t="shared" si="775"/>
        <v>#VALUE!</v>
      </c>
      <c r="K640" s="4" t="e">
        <f t="shared" si="776"/>
        <v>#VALUE!</v>
      </c>
      <c r="L640" s="4" t="e">
        <f t="shared" si="777"/>
        <v>#VALUE!</v>
      </c>
      <c r="M640" s="4">
        <f t="shared" si="752"/>
        <v>1000</v>
      </c>
      <c r="N640" s="4">
        <f t="shared" ref="N640:O640" si="826">MIN(IFERROR(FIND(" ",$C640,M640+1),1000))</f>
        <v>1000</v>
      </c>
      <c r="O640" s="4">
        <f t="shared" si="826"/>
        <v>1000</v>
      </c>
      <c r="P640" s="4">
        <f t="shared" si="754"/>
        <v>0</v>
      </c>
      <c r="Q640" s="4" t="str">
        <f t="shared" si="783"/>
        <v/>
      </c>
      <c r="R640" s="4" t="str">
        <f t="shared" si="799"/>
        <v/>
      </c>
      <c r="S640" s="4" t="str">
        <f t="shared" si="789"/>
        <v/>
      </c>
      <c r="T640" s="4" t="e">
        <f t="shared" si="755"/>
        <v>#VALUE!</v>
      </c>
      <c r="U640" s="4" t="e">
        <f t="shared" si="756"/>
        <v>#VALUE!</v>
      </c>
      <c r="V640" s="4" t="b">
        <f t="shared" si="747"/>
        <v>0</v>
      </c>
      <c r="W640" s="13" t="str">
        <f t="shared" si="748"/>
        <v>Да</v>
      </c>
      <c r="X640" s="4" t="e">
        <f>(IF(COUNTIFS($G$2:G640,"+",$W$2:W640,"Да")&gt;1,"&amp; ","")&amp;D640&amp;J640&amp;E640&amp;SUBSTITUTE(L640,"""",""))</f>
        <v>#VALUE!</v>
      </c>
      <c r="Y640" s="4" t="e">
        <f t="shared" si="786"/>
        <v>#VALUE!</v>
      </c>
    </row>
    <row r="641" spans="1:25" x14ac:dyDescent="0.3">
      <c r="A641" s="11"/>
      <c r="B641" s="5" t="str">
        <f t="shared" si="749"/>
        <v/>
      </c>
      <c r="C641" s="5" t="str">
        <f t="shared" si="750"/>
        <v/>
      </c>
      <c r="D641" s="4" t="s">
        <v>10</v>
      </c>
      <c r="E641" s="4" t="s">
        <v>11</v>
      </c>
      <c r="F641" s="4" t="str">
        <f t="shared" si="773"/>
        <v>!!!</v>
      </c>
      <c r="G641" s="4" t="str">
        <f t="shared" si="751"/>
        <v>+</v>
      </c>
      <c r="H641" s="4"/>
      <c r="I641" s="4" t="str">
        <f t="shared" si="774"/>
        <v>!!!</v>
      </c>
      <c r="J641" s="4" t="e">
        <f t="shared" si="775"/>
        <v>#VALUE!</v>
      </c>
      <c r="K641" s="4" t="e">
        <f t="shared" si="776"/>
        <v>#VALUE!</v>
      </c>
      <c r="L641" s="4" t="e">
        <f t="shared" si="777"/>
        <v>#VALUE!</v>
      </c>
      <c r="M641" s="4">
        <f t="shared" si="752"/>
        <v>1000</v>
      </c>
      <c r="N641" s="4">
        <f t="shared" ref="N641:O641" si="827">MIN(IFERROR(FIND(" ",$C641,M641+1),1000))</f>
        <v>1000</v>
      </c>
      <c r="O641" s="4">
        <f t="shared" si="827"/>
        <v>1000</v>
      </c>
      <c r="P641" s="4">
        <f t="shared" si="754"/>
        <v>0</v>
      </c>
      <c r="Q641" s="4" t="str">
        <f t="shared" si="783"/>
        <v/>
      </c>
      <c r="R641" s="4" t="str">
        <f t="shared" si="799"/>
        <v/>
      </c>
      <c r="S641" s="4" t="str">
        <f t="shared" si="789"/>
        <v/>
      </c>
      <c r="T641" s="4" t="e">
        <f t="shared" si="755"/>
        <v>#VALUE!</v>
      </c>
      <c r="U641" s="4" t="e">
        <f t="shared" si="756"/>
        <v>#VALUE!</v>
      </c>
      <c r="V641" s="4" t="b">
        <f t="shared" si="747"/>
        <v>0</v>
      </c>
      <c r="W641" s="13" t="str">
        <f t="shared" si="748"/>
        <v>Да</v>
      </c>
      <c r="X641" s="4" t="e">
        <f>(IF(COUNTIFS($G$2:G641,"+",$W$2:W641,"Да")&gt;1,"&amp; ","")&amp;D641&amp;J641&amp;E641&amp;SUBSTITUTE(L641,"""",""))</f>
        <v>#VALUE!</v>
      </c>
      <c r="Y641" s="4" t="e">
        <f t="shared" si="786"/>
        <v>#VALUE!</v>
      </c>
    </row>
    <row r="642" spans="1:25" x14ac:dyDescent="0.3">
      <c r="A642" s="11"/>
      <c r="B642" s="5" t="str">
        <f t="shared" si="749"/>
        <v/>
      </c>
      <c r="C642" s="5" t="str">
        <f t="shared" si="750"/>
        <v/>
      </c>
      <c r="D642" s="4" t="s">
        <v>10</v>
      </c>
      <c r="E642" s="4" t="s">
        <v>11</v>
      </c>
      <c r="F642" s="4" t="str">
        <f t="shared" si="773"/>
        <v>!!!</v>
      </c>
      <c r="G642" s="4" t="str">
        <f t="shared" si="751"/>
        <v>+</v>
      </c>
      <c r="H642" s="4"/>
      <c r="I642" s="4" t="str">
        <f t="shared" si="774"/>
        <v>!!!</v>
      </c>
      <c r="J642" s="4" t="e">
        <f t="shared" si="775"/>
        <v>#VALUE!</v>
      </c>
      <c r="K642" s="4" t="e">
        <f t="shared" si="776"/>
        <v>#VALUE!</v>
      </c>
      <c r="L642" s="4" t="e">
        <f t="shared" si="777"/>
        <v>#VALUE!</v>
      </c>
      <c r="M642" s="4">
        <f t="shared" si="752"/>
        <v>1000</v>
      </c>
      <c r="N642" s="4">
        <f t="shared" ref="N642:O642" si="828">MIN(IFERROR(FIND(" ",$C642,M642+1),1000))</f>
        <v>1000</v>
      </c>
      <c r="O642" s="4">
        <f t="shared" si="828"/>
        <v>1000</v>
      </c>
      <c r="P642" s="4">
        <f t="shared" si="754"/>
        <v>0</v>
      </c>
      <c r="Q642" s="4" t="str">
        <f t="shared" si="783"/>
        <v/>
      </c>
      <c r="R642" s="4" t="str">
        <f t="shared" si="799"/>
        <v/>
      </c>
      <c r="S642" s="4" t="str">
        <f t="shared" si="789"/>
        <v/>
      </c>
      <c r="T642" s="4" t="e">
        <f t="shared" si="755"/>
        <v>#VALUE!</v>
      </c>
      <c r="U642" s="4" t="e">
        <f t="shared" si="756"/>
        <v>#VALUE!</v>
      </c>
      <c r="V642" s="4" t="b">
        <f t="shared" ref="V642:V705" si="829">OR(IFERROR(MATCH(U642,Q:Q,0),0)&lt;&gt;0,IFERROR(MATCH(U642,R:R,0),0)&lt;&gt;0)</f>
        <v>0</v>
      </c>
      <c r="W642" s="13" t="str">
        <f t="shared" ref="W642:W705" si="830">IF(A642="","Да",IF(OR(F642="!!!",NOT(V642)),"Нет","Да"))</f>
        <v>Да</v>
      </c>
      <c r="X642" s="4" t="e">
        <f>(IF(COUNTIFS($G$2:G642,"+",$W$2:W642,"Да")&gt;1,"&amp; ","")&amp;D642&amp;J642&amp;E642&amp;SUBSTITUTE(L642,"""",""))</f>
        <v>#VALUE!</v>
      </c>
      <c r="Y642" s="4" t="e">
        <f t="shared" si="786"/>
        <v>#VALUE!</v>
      </c>
    </row>
    <row r="643" spans="1:25" x14ac:dyDescent="0.3">
      <c r="A643" s="11"/>
      <c r="B643" s="5" t="str">
        <f t="shared" ref="B643:B706" si="831">TRIM(LEFT(A643,IFERROR(FIND("'",A643)-1,1000)))</f>
        <v/>
      </c>
      <c r="C643" s="5" t="str">
        <f t="shared" ref="C643:C706" si="832">SUBSTITUTE(SUBSTITUTE(SUBSTITUTE(SUBSTITUTE(TRIM(LEFT(A643,IFERROR(FIND("'",A643)-1,1000))),"&lt;&lt;","&lt;"),"--","-"),"&gt;&gt;","&gt;"),"&amp;","")</f>
        <v/>
      </c>
      <c r="D643" s="4" t="s">
        <v>10</v>
      </c>
      <c r="E643" s="4" t="s">
        <v>11</v>
      </c>
      <c r="F643" s="4" t="str">
        <f t="shared" si="773"/>
        <v>!!!</v>
      </c>
      <c r="G643" s="4" t="str">
        <f t="shared" ref="G643:G706" si="833">IF(AND($A$2="",$A$3="",$A$4="",$A$5=""),"+",IF(F643="!!!","X","+"))</f>
        <v>+</v>
      </c>
      <c r="H643" s="4"/>
      <c r="I643" s="4" t="str">
        <f t="shared" si="774"/>
        <v>!!!</v>
      </c>
      <c r="J643" s="4" t="e">
        <f t="shared" si="775"/>
        <v>#VALUE!</v>
      </c>
      <c r="K643" s="4" t="e">
        <f t="shared" si="776"/>
        <v>#VALUE!</v>
      </c>
      <c r="L643" s="4" t="e">
        <f t="shared" si="777"/>
        <v>#VALUE!</v>
      </c>
      <c r="M643" s="4">
        <f t="shared" ref="M643:M706" si="834">MIN(IFERROR(FIND(" ",$C643),1000))</f>
        <v>1000</v>
      </c>
      <c r="N643" s="4">
        <f t="shared" ref="N643:O643" si="835">MIN(IFERROR(FIND(" ",$C643,M643+1),1000))</f>
        <v>1000</v>
      </c>
      <c r="O643" s="4">
        <f t="shared" si="835"/>
        <v>1000</v>
      </c>
      <c r="P643" s="4">
        <f t="shared" ref="P643:P706" si="836">MIN(IFERROR(FIND(" ",C643,O643+1),0),IFERROR(FIND("&lt;",C643,O643+1),0),IFERROR(FIND(":",C643,O643+1),0))</f>
        <v>0</v>
      </c>
      <c r="Q643" s="4" t="str">
        <f t="shared" si="783"/>
        <v/>
      </c>
      <c r="R643" s="4" t="str">
        <f t="shared" si="799"/>
        <v/>
      </c>
      <c r="S643" s="4" t="str">
        <f t="shared" si="789"/>
        <v/>
      </c>
      <c r="T643" s="4" t="e">
        <f t="shared" ref="T643:T706" si="837">FIND(" ",C643,FIND("as",C643))+1</f>
        <v>#VALUE!</v>
      </c>
      <c r="U643" s="4" t="e">
        <f t="shared" ref="U643:U706" si="838">MID(C643,T643,MIN(FIND(" ",C643,T643),FIND("&lt;",C643,T643))-T643)</f>
        <v>#VALUE!</v>
      </c>
      <c r="V643" s="4" t="b">
        <f t="shared" si="829"/>
        <v>0</v>
      </c>
      <c r="W643" s="13" t="str">
        <f t="shared" si="830"/>
        <v>Да</v>
      </c>
      <c r="X643" s="4" t="e">
        <f>(IF(COUNTIFS($G$2:G643,"+",$W$2:W643,"Да")&gt;1,"&amp; ","")&amp;D643&amp;J643&amp;E643&amp;SUBSTITUTE(L643,"""",""))</f>
        <v>#VALUE!</v>
      </c>
      <c r="Y643" s="4" t="e">
        <f t="shared" si="786"/>
        <v>#VALUE!</v>
      </c>
    </row>
    <row r="644" spans="1:25" x14ac:dyDescent="0.3">
      <c r="A644" s="11"/>
      <c r="B644" s="5" t="str">
        <f t="shared" si="831"/>
        <v/>
      </c>
      <c r="C644" s="5" t="str">
        <f t="shared" si="832"/>
        <v/>
      </c>
      <c r="D644" s="4" t="s">
        <v>10</v>
      </c>
      <c r="E644" s="4" t="s">
        <v>11</v>
      </c>
      <c r="F644" s="4" t="str">
        <f t="shared" si="773"/>
        <v>!!!</v>
      </c>
      <c r="G644" s="4" t="str">
        <f t="shared" si="833"/>
        <v>+</v>
      </c>
      <c r="H644" s="4"/>
      <c r="I644" s="4" t="str">
        <f t="shared" si="774"/>
        <v>!!!</v>
      </c>
      <c r="J644" s="4" t="e">
        <f t="shared" si="775"/>
        <v>#VALUE!</v>
      </c>
      <c r="K644" s="4" t="e">
        <f t="shared" si="776"/>
        <v>#VALUE!</v>
      </c>
      <c r="L644" s="4" t="e">
        <f t="shared" si="777"/>
        <v>#VALUE!</v>
      </c>
      <c r="M644" s="4">
        <f t="shared" si="834"/>
        <v>1000</v>
      </c>
      <c r="N644" s="4">
        <f t="shared" ref="N644:O644" si="839">MIN(IFERROR(FIND(" ",$C644,M644+1),1000))</f>
        <v>1000</v>
      </c>
      <c r="O644" s="4">
        <f t="shared" si="839"/>
        <v>1000</v>
      </c>
      <c r="P644" s="4">
        <f t="shared" si="836"/>
        <v>0</v>
      </c>
      <c r="Q644" s="4" t="str">
        <f t="shared" si="783"/>
        <v/>
      </c>
      <c r="R644" s="4" t="str">
        <f t="shared" si="799"/>
        <v/>
      </c>
      <c r="S644" s="4" t="str">
        <f t="shared" si="789"/>
        <v/>
      </c>
      <c r="T644" s="4" t="e">
        <f t="shared" si="837"/>
        <v>#VALUE!</v>
      </c>
      <c r="U644" s="4" t="e">
        <f t="shared" si="838"/>
        <v>#VALUE!</v>
      </c>
      <c r="V644" s="4" t="b">
        <f t="shared" si="829"/>
        <v>0</v>
      </c>
      <c r="W644" s="13" t="str">
        <f t="shared" si="830"/>
        <v>Да</v>
      </c>
      <c r="X644" s="4" t="e">
        <f>(IF(COUNTIFS($G$2:G644,"+",$W$2:W644,"Да")&gt;1,"&amp; ","")&amp;D644&amp;J644&amp;E644&amp;SUBSTITUTE(L644,"""",""))</f>
        <v>#VALUE!</v>
      </c>
      <c r="Y644" s="4" t="e">
        <f t="shared" si="786"/>
        <v>#VALUE!</v>
      </c>
    </row>
    <row r="645" spans="1:25" x14ac:dyDescent="0.3">
      <c r="A645" s="11"/>
      <c r="B645" s="5" t="str">
        <f t="shared" si="831"/>
        <v/>
      </c>
      <c r="C645" s="5" t="str">
        <f t="shared" si="832"/>
        <v/>
      </c>
      <c r="D645" s="4" t="s">
        <v>10</v>
      </c>
      <c r="E645" s="4" t="s">
        <v>11</v>
      </c>
      <c r="F645" s="4" t="str">
        <f t="shared" si="773"/>
        <v>!!!</v>
      </c>
      <c r="G645" s="4" t="str">
        <f t="shared" si="833"/>
        <v>+</v>
      </c>
      <c r="H645" s="4"/>
      <c r="I645" s="4" t="str">
        <f t="shared" si="774"/>
        <v>!!!</v>
      </c>
      <c r="J645" s="4" t="e">
        <f t="shared" si="775"/>
        <v>#VALUE!</v>
      </c>
      <c r="K645" s="4" t="e">
        <f t="shared" si="776"/>
        <v>#VALUE!</v>
      </c>
      <c r="L645" s="4" t="e">
        <f t="shared" si="777"/>
        <v>#VALUE!</v>
      </c>
      <c r="M645" s="4">
        <f t="shared" si="834"/>
        <v>1000</v>
      </c>
      <c r="N645" s="4">
        <f t="shared" ref="N645:O645" si="840">MIN(IFERROR(FIND(" ",$C645,M645+1),1000))</f>
        <v>1000</v>
      </c>
      <c r="O645" s="4">
        <f t="shared" si="840"/>
        <v>1000</v>
      </c>
      <c r="P645" s="4">
        <f t="shared" si="836"/>
        <v>0</v>
      </c>
      <c r="Q645" s="4" t="str">
        <f t="shared" si="783"/>
        <v/>
      </c>
      <c r="R645" s="4" t="str">
        <f t="shared" si="799"/>
        <v/>
      </c>
      <c r="S645" s="4" t="str">
        <f t="shared" si="789"/>
        <v/>
      </c>
      <c r="T645" s="4" t="e">
        <f t="shared" si="837"/>
        <v>#VALUE!</v>
      </c>
      <c r="U645" s="4" t="e">
        <f t="shared" si="838"/>
        <v>#VALUE!</v>
      </c>
      <c r="V645" s="4" t="b">
        <f t="shared" si="829"/>
        <v>0</v>
      </c>
      <c r="W645" s="13" t="str">
        <f t="shared" si="830"/>
        <v>Да</v>
      </c>
      <c r="X645" s="4" t="e">
        <f>(IF(COUNTIFS($G$2:G645,"+",$W$2:W645,"Да")&gt;1,"&amp; ","")&amp;D645&amp;J645&amp;E645&amp;SUBSTITUTE(L645,"""",""))</f>
        <v>#VALUE!</v>
      </c>
      <c r="Y645" s="4" t="e">
        <f t="shared" si="786"/>
        <v>#VALUE!</v>
      </c>
    </row>
    <row r="646" spans="1:25" x14ac:dyDescent="0.3">
      <c r="A646" s="11"/>
      <c r="B646" s="5" t="str">
        <f t="shared" si="831"/>
        <v/>
      </c>
      <c r="C646" s="5" t="str">
        <f t="shared" si="832"/>
        <v/>
      </c>
      <c r="D646" s="4" t="s">
        <v>10</v>
      </c>
      <c r="E646" s="4" t="s">
        <v>11</v>
      </c>
      <c r="F646" s="4" t="str">
        <f t="shared" si="773"/>
        <v>!!!</v>
      </c>
      <c r="G646" s="4" t="str">
        <f t="shared" si="833"/>
        <v>+</v>
      </c>
      <c r="H646" s="4"/>
      <c r="I646" s="4" t="str">
        <f t="shared" si="774"/>
        <v>!!!</v>
      </c>
      <c r="J646" s="4" t="e">
        <f t="shared" si="775"/>
        <v>#VALUE!</v>
      </c>
      <c r="K646" s="4" t="e">
        <f t="shared" si="776"/>
        <v>#VALUE!</v>
      </c>
      <c r="L646" s="4" t="e">
        <f t="shared" si="777"/>
        <v>#VALUE!</v>
      </c>
      <c r="M646" s="4">
        <f t="shared" si="834"/>
        <v>1000</v>
      </c>
      <c r="N646" s="4">
        <f t="shared" ref="N646:O646" si="841">MIN(IFERROR(FIND(" ",$C646,M646+1),1000))</f>
        <v>1000</v>
      </c>
      <c r="O646" s="4">
        <f t="shared" si="841"/>
        <v>1000</v>
      </c>
      <c r="P646" s="4">
        <f t="shared" si="836"/>
        <v>0</v>
      </c>
      <c r="Q646" s="4" t="str">
        <f t="shared" si="783"/>
        <v/>
      </c>
      <c r="R646" s="4" t="str">
        <f t="shared" si="799"/>
        <v/>
      </c>
      <c r="S646" s="4" t="str">
        <f t="shared" si="789"/>
        <v/>
      </c>
      <c r="T646" s="4" t="e">
        <f t="shared" si="837"/>
        <v>#VALUE!</v>
      </c>
      <c r="U646" s="4" t="e">
        <f t="shared" si="838"/>
        <v>#VALUE!</v>
      </c>
      <c r="V646" s="4" t="b">
        <f t="shared" si="829"/>
        <v>0</v>
      </c>
      <c r="W646" s="13" t="str">
        <f t="shared" si="830"/>
        <v>Да</v>
      </c>
      <c r="X646" s="4" t="e">
        <f>(IF(COUNTIFS($G$2:G646,"+",$W$2:W646,"Да")&gt;1,"&amp; ","")&amp;D646&amp;J646&amp;E646&amp;SUBSTITUTE(L646,"""",""))</f>
        <v>#VALUE!</v>
      </c>
      <c r="Y646" s="4" t="e">
        <f t="shared" si="786"/>
        <v>#VALUE!</v>
      </c>
    </row>
    <row r="647" spans="1:25" x14ac:dyDescent="0.3">
      <c r="A647" s="11"/>
      <c r="B647" s="5" t="str">
        <f t="shared" si="831"/>
        <v/>
      </c>
      <c r="C647" s="5" t="str">
        <f t="shared" si="832"/>
        <v/>
      </c>
      <c r="D647" s="4" t="s">
        <v>10</v>
      </c>
      <c r="E647" s="4" t="s">
        <v>11</v>
      </c>
      <c r="F647" s="4" t="str">
        <f t="shared" si="773"/>
        <v>!!!</v>
      </c>
      <c r="G647" s="4" t="str">
        <f t="shared" si="833"/>
        <v>+</v>
      </c>
      <c r="H647" s="4"/>
      <c r="I647" s="4" t="str">
        <f t="shared" si="774"/>
        <v>!!!</v>
      </c>
      <c r="J647" s="4" t="e">
        <f t="shared" si="775"/>
        <v>#VALUE!</v>
      </c>
      <c r="K647" s="4" t="e">
        <f t="shared" si="776"/>
        <v>#VALUE!</v>
      </c>
      <c r="L647" s="4" t="e">
        <f t="shared" si="777"/>
        <v>#VALUE!</v>
      </c>
      <c r="M647" s="4">
        <f t="shared" si="834"/>
        <v>1000</v>
      </c>
      <c r="N647" s="4">
        <f t="shared" ref="N647:O647" si="842">MIN(IFERROR(FIND(" ",$C647,M647+1),1000))</f>
        <v>1000</v>
      </c>
      <c r="O647" s="4">
        <f t="shared" si="842"/>
        <v>1000</v>
      </c>
      <c r="P647" s="4">
        <f t="shared" si="836"/>
        <v>0</v>
      </c>
      <c r="Q647" s="4" t="str">
        <f t="shared" si="783"/>
        <v/>
      </c>
      <c r="R647" s="4" t="str">
        <f t="shared" si="799"/>
        <v/>
      </c>
      <c r="S647" s="4" t="str">
        <f t="shared" si="789"/>
        <v/>
      </c>
      <c r="T647" s="4" t="e">
        <f t="shared" si="837"/>
        <v>#VALUE!</v>
      </c>
      <c r="U647" s="4" t="e">
        <f t="shared" si="838"/>
        <v>#VALUE!</v>
      </c>
      <c r="V647" s="4" t="b">
        <f t="shared" si="829"/>
        <v>0</v>
      </c>
      <c r="W647" s="13" t="str">
        <f t="shared" si="830"/>
        <v>Да</v>
      </c>
      <c r="X647" s="4" t="e">
        <f>(IF(COUNTIFS($G$2:G647,"+",$W$2:W647,"Да")&gt;1,"&amp; ","")&amp;D647&amp;J647&amp;E647&amp;SUBSTITUTE(L647,"""",""))</f>
        <v>#VALUE!</v>
      </c>
      <c r="Y647" s="4" t="e">
        <f t="shared" si="786"/>
        <v>#VALUE!</v>
      </c>
    </row>
    <row r="648" spans="1:25" x14ac:dyDescent="0.3">
      <c r="A648" s="11"/>
      <c r="B648" s="5" t="str">
        <f t="shared" si="831"/>
        <v/>
      </c>
      <c r="C648" s="5" t="str">
        <f t="shared" si="832"/>
        <v/>
      </c>
      <c r="D648" s="4" t="s">
        <v>10</v>
      </c>
      <c r="E648" s="4" t="s">
        <v>11</v>
      </c>
      <c r="F648" s="4" t="str">
        <f t="shared" si="773"/>
        <v>!!!</v>
      </c>
      <c r="G648" s="4" t="str">
        <f t="shared" si="833"/>
        <v>+</v>
      </c>
      <c r="H648" s="4"/>
      <c r="I648" s="4" t="str">
        <f t="shared" si="774"/>
        <v>!!!</v>
      </c>
      <c r="J648" s="4" t="e">
        <f t="shared" si="775"/>
        <v>#VALUE!</v>
      </c>
      <c r="K648" s="4" t="e">
        <f t="shared" si="776"/>
        <v>#VALUE!</v>
      </c>
      <c r="L648" s="4" t="e">
        <f t="shared" si="777"/>
        <v>#VALUE!</v>
      </c>
      <c r="M648" s="4">
        <f t="shared" si="834"/>
        <v>1000</v>
      </c>
      <c r="N648" s="4">
        <f t="shared" ref="N648:O648" si="843">MIN(IFERROR(FIND(" ",$C648,M648+1),1000))</f>
        <v>1000</v>
      </c>
      <c r="O648" s="4">
        <f t="shared" si="843"/>
        <v>1000</v>
      </c>
      <c r="P648" s="4">
        <f t="shared" si="836"/>
        <v>0</v>
      </c>
      <c r="Q648" s="4" t="str">
        <f t="shared" si="783"/>
        <v/>
      </c>
      <c r="R648" s="4" t="str">
        <f t="shared" si="799"/>
        <v/>
      </c>
      <c r="S648" s="4" t="str">
        <f t="shared" si="789"/>
        <v/>
      </c>
      <c r="T648" s="4" t="e">
        <f t="shared" si="837"/>
        <v>#VALUE!</v>
      </c>
      <c r="U648" s="4" t="e">
        <f t="shared" si="838"/>
        <v>#VALUE!</v>
      </c>
      <c r="V648" s="4" t="b">
        <f t="shared" si="829"/>
        <v>0</v>
      </c>
      <c r="W648" s="13" t="str">
        <f t="shared" si="830"/>
        <v>Да</v>
      </c>
      <c r="X648" s="4" t="e">
        <f>(IF(COUNTIFS($G$2:G648,"+",$W$2:W648,"Да")&gt;1,"&amp; ","")&amp;D648&amp;J648&amp;E648&amp;SUBSTITUTE(L648,"""",""))</f>
        <v>#VALUE!</v>
      </c>
      <c r="Y648" s="4" t="e">
        <f t="shared" si="786"/>
        <v>#VALUE!</v>
      </c>
    </row>
    <row r="649" spans="1:25" x14ac:dyDescent="0.3">
      <c r="A649" s="11"/>
      <c r="B649" s="5" t="str">
        <f t="shared" si="831"/>
        <v/>
      </c>
      <c r="C649" s="5" t="str">
        <f t="shared" si="832"/>
        <v/>
      </c>
      <c r="D649" s="4" t="s">
        <v>10</v>
      </c>
      <c r="E649" s="4" t="s">
        <v>11</v>
      </c>
      <c r="F649" s="4" t="str">
        <f t="shared" si="773"/>
        <v>!!!</v>
      </c>
      <c r="G649" s="4" t="str">
        <f t="shared" si="833"/>
        <v>+</v>
      </c>
      <c r="H649" s="4"/>
      <c r="I649" s="4" t="str">
        <f t="shared" si="774"/>
        <v>!!!</v>
      </c>
      <c r="J649" s="4" t="e">
        <f t="shared" si="775"/>
        <v>#VALUE!</v>
      </c>
      <c r="K649" s="4" t="e">
        <f t="shared" si="776"/>
        <v>#VALUE!</v>
      </c>
      <c r="L649" s="4" t="e">
        <f t="shared" si="777"/>
        <v>#VALUE!</v>
      </c>
      <c r="M649" s="4">
        <f t="shared" si="834"/>
        <v>1000</v>
      </c>
      <c r="N649" s="4">
        <f t="shared" ref="N649:O649" si="844">MIN(IFERROR(FIND(" ",$C649,M649+1),1000))</f>
        <v>1000</v>
      </c>
      <c r="O649" s="4">
        <f t="shared" si="844"/>
        <v>1000</v>
      </c>
      <c r="P649" s="4">
        <f t="shared" si="836"/>
        <v>0</v>
      </c>
      <c r="Q649" s="4" t="str">
        <f t="shared" si="783"/>
        <v/>
      </c>
      <c r="R649" s="4" t="str">
        <f t="shared" si="799"/>
        <v/>
      </c>
      <c r="S649" s="4" t="str">
        <f t="shared" si="789"/>
        <v/>
      </c>
      <c r="T649" s="4" t="e">
        <f t="shared" si="837"/>
        <v>#VALUE!</v>
      </c>
      <c r="U649" s="4" t="e">
        <f t="shared" si="838"/>
        <v>#VALUE!</v>
      </c>
      <c r="V649" s="4" t="b">
        <f t="shared" si="829"/>
        <v>0</v>
      </c>
      <c r="W649" s="13" t="str">
        <f t="shared" si="830"/>
        <v>Да</v>
      </c>
      <c r="X649" s="4" t="e">
        <f>(IF(COUNTIFS($G$2:G649,"+",$W$2:W649,"Да")&gt;1,"&amp; ","")&amp;D649&amp;J649&amp;E649&amp;SUBSTITUTE(L649,"""",""))</f>
        <v>#VALUE!</v>
      </c>
      <c r="Y649" s="4" t="e">
        <f t="shared" si="786"/>
        <v>#VALUE!</v>
      </c>
    </row>
    <row r="650" spans="1:25" x14ac:dyDescent="0.3">
      <c r="A650" s="11"/>
      <c r="B650" s="5" t="str">
        <f t="shared" si="831"/>
        <v/>
      </c>
      <c r="C650" s="5" t="str">
        <f t="shared" si="832"/>
        <v/>
      </c>
      <c r="D650" s="4" t="s">
        <v>10</v>
      </c>
      <c r="E650" s="4" t="s">
        <v>11</v>
      </c>
      <c r="F650" s="4" t="str">
        <f t="shared" si="773"/>
        <v>!!!</v>
      </c>
      <c r="G650" s="4" t="str">
        <f t="shared" si="833"/>
        <v>+</v>
      </c>
      <c r="H650" s="4"/>
      <c r="I650" s="4" t="str">
        <f t="shared" si="774"/>
        <v>!!!</v>
      </c>
      <c r="J650" s="4" t="e">
        <f t="shared" si="775"/>
        <v>#VALUE!</v>
      </c>
      <c r="K650" s="4" t="e">
        <f t="shared" si="776"/>
        <v>#VALUE!</v>
      </c>
      <c r="L650" s="4" t="e">
        <f t="shared" si="777"/>
        <v>#VALUE!</v>
      </c>
      <c r="M650" s="4">
        <f t="shared" si="834"/>
        <v>1000</v>
      </c>
      <c r="N650" s="4">
        <f t="shared" ref="N650:O650" si="845">MIN(IFERROR(FIND(" ",$C650,M650+1),1000))</f>
        <v>1000</v>
      </c>
      <c r="O650" s="4">
        <f t="shared" si="845"/>
        <v>1000</v>
      </c>
      <c r="P650" s="4">
        <f t="shared" si="836"/>
        <v>0</v>
      </c>
      <c r="Q650" s="4" t="str">
        <f t="shared" si="783"/>
        <v/>
      </c>
      <c r="R650" s="4" t="str">
        <f t="shared" si="799"/>
        <v/>
      </c>
      <c r="S650" s="4" t="str">
        <f t="shared" si="789"/>
        <v/>
      </c>
      <c r="T650" s="4" t="e">
        <f t="shared" si="837"/>
        <v>#VALUE!</v>
      </c>
      <c r="U650" s="4" t="e">
        <f t="shared" si="838"/>
        <v>#VALUE!</v>
      </c>
      <c r="V650" s="4" t="b">
        <f t="shared" si="829"/>
        <v>0</v>
      </c>
      <c r="W650" s="13" t="str">
        <f t="shared" si="830"/>
        <v>Да</v>
      </c>
      <c r="X650" s="4" t="e">
        <f>(IF(COUNTIFS($G$2:G650,"+",$W$2:W650,"Да")&gt;1,"&amp; ","")&amp;D650&amp;J650&amp;E650&amp;SUBSTITUTE(L650,"""",""))</f>
        <v>#VALUE!</v>
      </c>
      <c r="Y650" s="4" t="e">
        <f t="shared" si="786"/>
        <v>#VALUE!</v>
      </c>
    </row>
    <row r="651" spans="1:25" x14ac:dyDescent="0.3">
      <c r="A651" s="11"/>
      <c r="B651" s="5" t="str">
        <f t="shared" si="831"/>
        <v/>
      </c>
      <c r="C651" s="5" t="str">
        <f t="shared" si="832"/>
        <v/>
      </c>
      <c r="D651" s="4" t="s">
        <v>10</v>
      </c>
      <c r="E651" s="4" t="s">
        <v>11</v>
      </c>
      <c r="F651" s="4" t="str">
        <f t="shared" si="773"/>
        <v>!!!</v>
      </c>
      <c r="G651" s="4" t="str">
        <f t="shared" si="833"/>
        <v>+</v>
      </c>
      <c r="H651" s="4"/>
      <c r="I651" s="4" t="str">
        <f t="shared" si="774"/>
        <v>!!!</v>
      </c>
      <c r="J651" s="4" t="e">
        <f t="shared" si="775"/>
        <v>#VALUE!</v>
      </c>
      <c r="K651" s="4" t="e">
        <f t="shared" si="776"/>
        <v>#VALUE!</v>
      </c>
      <c r="L651" s="4" t="e">
        <f t="shared" si="777"/>
        <v>#VALUE!</v>
      </c>
      <c r="M651" s="4">
        <f t="shared" si="834"/>
        <v>1000</v>
      </c>
      <c r="N651" s="4">
        <f t="shared" ref="N651:O651" si="846">MIN(IFERROR(FIND(" ",$C651,M651+1),1000))</f>
        <v>1000</v>
      </c>
      <c r="O651" s="4">
        <f t="shared" si="846"/>
        <v>1000</v>
      </c>
      <c r="P651" s="4">
        <f t="shared" si="836"/>
        <v>0</v>
      </c>
      <c r="Q651" s="4" t="str">
        <f t="shared" si="783"/>
        <v/>
      </c>
      <c r="R651" s="4" t="str">
        <f t="shared" si="799"/>
        <v/>
      </c>
      <c r="S651" s="4" t="str">
        <f t="shared" si="789"/>
        <v/>
      </c>
      <c r="T651" s="4" t="e">
        <f t="shared" si="837"/>
        <v>#VALUE!</v>
      </c>
      <c r="U651" s="4" t="e">
        <f t="shared" si="838"/>
        <v>#VALUE!</v>
      </c>
      <c r="V651" s="4" t="b">
        <f t="shared" si="829"/>
        <v>0</v>
      </c>
      <c r="W651" s="13" t="str">
        <f t="shared" si="830"/>
        <v>Да</v>
      </c>
      <c r="X651" s="4" t="e">
        <f>(IF(COUNTIFS($G$2:G651,"+",$W$2:W651,"Да")&gt;1,"&amp; ","")&amp;D651&amp;J651&amp;E651&amp;SUBSTITUTE(L651,"""",""))</f>
        <v>#VALUE!</v>
      </c>
      <c r="Y651" s="4" t="e">
        <f t="shared" si="786"/>
        <v>#VALUE!</v>
      </c>
    </row>
    <row r="652" spans="1:25" x14ac:dyDescent="0.3">
      <c r="A652" s="11"/>
      <c r="B652" s="5" t="str">
        <f t="shared" si="831"/>
        <v/>
      </c>
      <c r="C652" s="5" t="str">
        <f t="shared" si="832"/>
        <v/>
      </c>
      <c r="D652" s="4" t="s">
        <v>10</v>
      </c>
      <c r="E652" s="4" t="s">
        <v>11</v>
      </c>
      <c r="F652" s="4" t="str">
        <f t="shared" si="773"/>
        <v>!!!</v>
      </c>
      <c r="G652" s="4" t="str">
        <f t="shared" si="833"/>
        <v>+</v>
      </c>
      <c r="H652" s="4"/>
      <c r="I652" s="4" t="str">
        <f t="shared" si="774"/>
        <v>!!!</v>
      </c>
      <c r="J652" s="4" t="e">
        <f t="shared" si="775"/>
        <v>#VALUE!</v>
      </c>
      <c r="K652" s="4" t="e">
        <f t="shared" si="776"/>
        <v>#VALUE!</v>
      </c>
      <c r="L652" s="4" t="e">
        <f t="shared" si="777"/>
        <v>#VALUE!</v>
      </c>
      <c r="M652" s="4">
        <f t="shared" si="834"/>
        <v>1000</v>
      </c>
      <c r="N652" s="4">
        <f t="shared" ref="N652:O652" si="847">MIN(IFERROR(FIND(" ",$C652,M652+1),1000))</f>
        <v>1000</v>
      </c>
      <c r="O652" s="4">
        <f t="shared" si="847"/>
        <v>1000</v>
      </c>
      <c r="P652" s="4">
        <f t="shared" si="836"/>
        <v>0</v>
      </c>
      <c r="Q652" s="4" t="str">
        <f t="shared" si="783"/>
        <v/>
      </c>
      <c r="R652" s="4" t="str">
        <f t="shared" si="799"/>
        <v/>
      </c>
      <c r="S652" s="4" t="str">
        <f t="shared" si="789"/>
        <v/>
      </c>
      <c r="T652" s="4" t="e">
        <f t="shared" si="837"/>
        <v>#VALUE!</v>
      </c>
      <c r="U652" s="4" t="e">
        <f t="shared" si="838"/>
        <v>#VALUE!</v>
      </c>
      <c r="V652" s="4" t="b">
        <f t="shared" si="829"/>
        <v>0</v>
      </c>
      <c r="W652" s="13" t="str">
        <f t="shared" si="830"/>
        <v>Да</v>
      </c>
      <c r="X652" s="4" t="e">
        <f>(IF(COUNTIFS($G$2:G652,"+",$W$2:W652,"Да")&gt;1,"&amp; ","")&amp;D652&amp;J652&amp;E652&amp;SUBSTITUTE(L652,"""",""))</f>
        <v>#VALUE!</v>
      </c>
      <c r="Y652" s="4" t="e">
        <f t="shared" si="786"/>
        <v>#VALUE!</v>
      </c>
    </row>
    <row r="653" spans="1:25" x14ac:dyDescent="0.3">
      <c r="A653" s="11"/>
      <c r="B653" s="5" t="str">
        <f t="shared" si="831"/>
        <v/>
      </c>
      <c r="C653" s="5" t="str">
        <f t="shared" si="832"/>
        <v/>
      </c>
      <c r="D653" s="4" t="s">
        <v>10</v>
      </c>
      <c r="E653" s="4" t="s">
        <v>11</v>
      </c>
      <c r="F653" s="4" t="str">
        <f t="shared" si="773"/>
        <v>!!!</v>
      </c>
      <c r="G653" s="4" t="str">
        <f t="shared" si="833"/>
        <v>+</v>
      </c>
      <c r="H653" s="4"/>
      <c r="I653" s="4" t="str">
        <f t="shared" si="774"/>
        <v>!!!</v>
      </c>
      <c r="J653" s="4" t="e">
        <f t="shared" si="775"/>
        <v>#VALUE!</v>
      </c>
      <c r="K653" s="4" t="e">
        <f t="shared" si="776"/>
        <v>#VALUE!</v>
      </c>
      <c r="L653" s="4" t="e">
        <f t="shared" si="777"/>
        <v>#VALUE!</v>
      </c>
      <c r="M653" s="4">
        <f t="shared" si="834"/>
        <v>1000</v>
      </c>
      <c r="N653" s="4">
        <f t="shared" ref="N653:O653" si="848">MIN(IFERROR(FIND(" ",$C653,M653+1),1000))</f>
        <v>1000</v>
      </c>
      <c r="O653" s="4">
        <f t="shared" si="848"/>
        <v>1000</v>
      </c>
      <c r="P653" s="4">
        <f t="shared" si="836"/>
        <v>0</v>
      </c>
      <c r="Q653" s="4" t="str">
        <f t="shared" si="783"/>
        <v/>
      </c>
      <c r="R653" s="4" t="str">
        <f t="shared" si="799"/>
        <v/>
      </c>
      <c r="S653" s="4" t="str">
        <f t="shared" si="789"/>
        <v/>
      </c>
      <c r="T653" s="4" t="e">
        <f t="shared" si="837"/>
        <v>#VALUE!</v>
      </c>
      <c r="U653" s="4" t="e">
        <f t="shared" si="838"/>
        <v>#VALUE!</v>
      </c>
      <c r="V653" s="4" t="b">
        <f t="shared" si="829"/>
        <v>0</v>
      </c>
      <c r="W653" s="13" t="str">
        <f t="shared" si="830"/>
        <v>Да</v>
      </c>
      <c r="X653" s="4" t="e">
        <f>(IF(COUNTIFS($G$2:G653,"+",$W$2:W653,"Да")&gt;1,"&amp; ","")&amp;D653&amp;J653&amp;E653&amp;SUBSTITUTE(L653,"""",""))</f>
        <v>#VALUE!</v>
      </c>
      <c r="Y653" s="4" t="e">
        <f t="shared" si="786"/>
        <v>#VALUE!</v>
      </c>
    </row>
    <row r="654" spans="1:25" x14ac:dyDescent="0.3">
      <c r="A654" s="11"/>
      <c r="B654" s="5" t="str">
        <f t="shared" si="831"/>
        <v/>
      </c>
      <c r="C654" s="5" t="str">
        <f t="shared" si="832"/>
        <v/>
      </c>
      <c r="D654" s="4" t="s">
        <v>10</v>
      </c>
      <c r="E654" s="4" t="s">
        <v>11</v>
      </c>
      <c r="F654" s="4" t="str">
        <f t="shared" si="773"/>
        <v>!!!</v>
      </c>
      <c r="G654" s="4" t="str">
        <f t="shared" si="833"/>
        <v>+</v>
      </c>
      <c r="H654" s="4"/>
      <c r="I654" s="4" t="str">
        <f t="shared" si="774"/>
        <v>!!!</v>
      </c>
      <c r="J654" s="4" t="e">
        <f t="shared" si="775"/>
        <v>#VALUE!</v>
      </c>
      <c r="K654" s="4" t="e">
        <f t="shared" si="776"/>
        <v>#VALUE!</v>
      </c>
      <c r="L654" s="4" t="e">
        <f t="shared" si="777"/>
        <v>#VALUE!</v>
      </c>
      <c r="M654" s="4">
        <f t="shared" si="834"/>
        <v>1000</v>
      </c>
      <c r="N654" s="4">
        <f t="shared" ref="N654:O654" si="849">MIN(IFERROR(FIND(" ",$C654,M654+1),1000))</f>
        <v>1000</v>
      </c>
      <c r="O654" s="4">
        <f t="shared" si="849"/>
        <v>1000</v>
      </c>
      <c r="P654" s="4">
        <f t="shared" si="836"/>
        <v>0</v>
      </c>
      <c r="Q654" s="4" t="str">
        <f t="shared" si="783"/>
        <v/>
      </c>
      <c r="R654" s="4" t="str">
        <f t="shared" si="799"/>
        <v/>
      </c>
      <c r="S654" s="4" t="str">
        <f t="shared" si="789"/>
        <v/>
      </c>
      <c r="T654" s="4" t="e">
        <f t="shared" si="837"/>
        <v>#VALUE!</v>
      </c>
      <c r="U654" s="4" t="e">
        <f t="shared" si="838"/>
        <v>#VALUE!</v>
      </c>
      <c r="V654" s="4" t="b">
        <f t="shared" si="829"/>
        <v>0</v>
      </c>
      <c r="W654" s="13" t="str">
        <f t="shared" si="830"/>
        <v>Да</v>
      </c>
      <c r="X654" s="4" t="e">
        <f>(IF(COUNTIFS($G$2:G654,"+",$W$2:W654,"Да")&gt;1,"&amp; ","")&amp;D654&amp;J654&amp;E654&amp;SUBSTITUTE(L654,"""",""))</f>
        <v>#VALUE!</v>
      </c>
      <c r="Y654" s="4" t="e">
        <f t="shared" si="786"/>
        <v>#VALUE!</v>
      </c>
    </row>
    <row r="655" spans="1:25" x14ac:dyDescent="0.3">
      <c r="A655" s="11"/>
      <c r="B655" s="5" t="str">
        <f t="shared" si="831"/>
        <v/>
      </c>
      <c r="C655" s="5" t="str">
        <f t="shared" si="832"/>
        <v/>
      </c>
      <c r="D655" s="4" t="s">
        <v>10</v>
      </c>
      <c r="E655" s="4" t="s">
        <v>11</v>
      </c>
      <c r="F655" s="4" t="str">
        <f t="shared" si="773"/>
        <v>!!!</v>
      </c>
      <c r="G655" s="4" t="str">
        <f t="shared" si="833"/>
        <v>+</v>
      </c>
      <c r="H655" s="4"/>
      <c r="I655" s="4" t="str">
        <f t="shared" si="774"/>
        <v>!!!</v>
      </c>
      <c r="J655" s="4" t="e">
        <f t="shared" si="775"/>
        <v>#VALUE!</v>
      </c>
      <c r="K655" s="4" t="e">
        <f t="shared" si="776"/>
        <v>#VALUE!</v>
      </c>
      <c r="L655" s="4" t="e">
        <f t="shared" si="777"/>
        <v>#VALUE!</v>
      </c>
      <c r="M655" s="4">
        <f t="shared" si="834"/>
        <v>1000</v>
      </c>
      <c r="N655" s="4">
        <f t="shared" ref="N655:O655" si="850">MIN(IFERROR(FIND(" ",$C655,M655+1),1000))</f>
        <v>1000</v>
      </c>
      <c r="O655" s="4">
        <f t="shared" si="850"/>
        <v>1000</v>
      </c>
      <c r="P655" s="4">
        <f t="shared" si="836"/>
        <v>0</v>
      </c>
      <c r="Q655" s="4" t="str">
        <f t="shared" si="783"/>
        <v/>
      </c>
      <c r="R655" s="4" t="str">
        <f t="shared" si="799"/>
        <v/>
      </c>
      <c r="S655" s="4" t="str">
        <f t="shared" si="789"/>
        <v/>
      </c>
      <c r="T655" s="4" t="e">
        <f t="shared" si="837"/>
        <v>#VALUE!</v>
      </c>
      <c r="U655" s="4" t="e">
        <f t="shared" si="838"/>
        <v>#VALUE!</v>
      </c>
      <c r="V655" s="4" t="b">
        <f t="shared" si="829"/>
        <v>0</v>
      </c>
      <c r="W655" s="13" t="str">
        <f t="shared" si="830"/>
        <v>Да</v>
      </c>
      <c r="X655" s="4" t="e">
        <f>(IF(COUNTIFS($G$2:G655,"+",$W$2:W655,"Да")&gt;1,"&amp; ","")&amp;D655&amp;J655&amp;E655&amp;SUBSTITUTE(L655,"""",""))</f>
        <v>#VALUE!</v>
      </c>
      <c r="Y655" s="4" t="e">
        <f t="shared" si="786"/>
        <v>#VALUE!</v>
      </c>
    </row>
    <row r="656" spans="1:25" x14ac:dyDescent="0.3">
      <c r="A656" s="11"/>
      <c r="B656" s="5" t="str">
        <f t="shared" si="831"/>
        <v/>
      </c>
      <c r="C656" s="5" t="str">
        <f t="shared" si="832"/>
        <v/>
      </c>
      <c r="D656" s="4" t="s">
        <v>10</v>
      </c>
      <c r="E656" s="4" t="s">
        <v>11</v>
      </c>
      <c r="F656" s="4" t="str">
        <f t="shared" si="773"/>
        <v>!!!</v>
      </c>
      <c r="G656" s="4" t="str">
        <f t="shared" si="833"/>
        <v>+</v>
      </c>
      <c r="H656" s="4"/>
      <c r="I656" s="4" t="str">
        <f t="shared" si="774"/>
        <v>!!!</v>
      </c>
      <c r="J656" s="4" t="e">
        <f t="shared" si="775"/>
        <v>#VALUE!</v>
      </c>
      <c r="K656" s="4" t="e">
        <f t="shared" si="776"/>
        <v>#VALUE!</v>
      </c>
      <c r="L656" s="4" t="e">
        <f t="shared" si="777"/>
        <v>#VALUE!</v>
      </c>
      <c r="M656" s="4">
        <f t="shared" si="834"/>
        <v>1000</v>
      </c>
      <c r="N656" s="4">
        <f t="shared" ref="N656:O656" si="851">MIN(IFERROR(FIND(" ",$C656,M656+1),1000))</f>
        <v>1000</v>
      </c>
      <c r="O656" s="4">
        <f t="shared" si="851"/>
        <v>1000</v>
      </c>
      <c r="P656" s="4">
        <f t="shared" si="836"/>
        <v>0</v>
      </c>
      <c r="Q656" s="4" t="str">
        <f t="shared" si="783"/>
        <v/>
      </c>
      <c r="R656" s="4" t="str">
        <f t="shared" si="799"/>
        <v/>
      </c>
      <c r="S656" s="4" t="str">
        <f t="shared" si="789"/>
        <v/>
      </c>
      <c r="T656" s="4" t="e">
        <f t="shared" si="837"/>
        <v>#VALUE!</v>
      </c>
      <c r="U656" s="4" t="e">
        <f t="shared" si="838"/>
        <v>#VALUE!</v>
      </c>
      <c r="V656" s="4" t="b">
        <f t="shared" si="829"/>
        <v>0</v>
      </c>
      <c r="W656" s="13" t="str">
        <f t="shared" si="830"/>
        <v>Да</v>
      </c>
      <c r="X656" s="4" t="e">
        <f>(IF(COUNTIFS($G$2:G656,"+",$W$2:W656,"Да")&gt;1,"&amp; ","")&amp;D656&amp;J656&amp;E656&amp;SUBSTITUTE(L656,"""",""))</f>
        <v>#VALUE!</v>
      </c>
      <c r="Y656" s="4" t="e">
        <f t="shared" si="786"/>
        <v>#VALUE!</v>
      </c>
    </row>
    <row r="657" spans="1:25" x14ac:dyDescent="0.3">
      <c r="A657" s="11"/>
      <c r="B657" s="5" t="str">
        <f t="shared" si="831"/>
        <v/>
      </c>
      <c r="C657" s="5" t="str">
        <f t="shared" si="832"/>
        <v/>
      </c>
      <c r="D657" s="4" t="s">
        <v>10</v>
      </c>
      <c r="E657" s="4" t="s">
        <v>11</v>
      </c>
      <c r="F657" s="4" t="str">
        <f t="shared" si="773"/>
        <v>!!!</v>
      </c>
      <c r="G657" s="4" t="str">
        <f t="shared" si="833"/>
        <v>+</v>
      </c>
      <c r="H657" s="4"/>
      <c r="I657" s="4" t="str">
        <f t="shared" si="774"/>
        <v>!!!</v>
      </c>
      <c r="J657" s="4" t="e">
        <f t="shared" si="775"/>
        <v>#VALUE!</v>
      </c>
      <c r="K657" s="4" t="e">
        <f t="shared" si="776"/>
        <v>#VALUE!</v>
      </c>
      <c r="L657" s="4" t="e">
        <f t="shared" si="777"/>
        <v>#VALUE!</v>
      </c>
      <c r="M657" s="4">
        <f t="shared" si="834"/>
        <v>1000</v>
      </c>
      <c r="N657" s="4">
        <f t="shared" ref="N657:O657" si="852">MIN(IFERROR(FIND(" ",$C657,M657+1),1000))</f>
        <v>1000</v>
      </c>
      <c r="O657" s="4">
        <f t="shared" si="852"/>
        <v>1000</v>
      </c>
      <c r="P657" s="4">
        <f t="shared" si="836"/>
        <v>0</v>
      </c>
      <c r="Q657" s="4" t="str">
        <f t="shared" si="783"/>
        <v/>
      </c>
      <c r="R657" s="4" t="str">
        <f t="shared" si="799"/>
        <v/>
      </c>
      <c r="S657" s="4" t="str">
        <f t="shared" si="789"/>
        <v/>
      </c>
      <c r="T657" s="4" t="e">
        <f t="shared" si="837"/>
        <v>#VALUE!</v>
      </c>
      <c r="U657" s="4" t="e">
        <f t="shared" si="838"/>
        <v>#VALUE!</v>
      </c>
      <c r="V657" s="4" t="b">
        <f t="shared" si="829"/>
        <v>0</v>
      </c>
      <c r="W657" s="13" t="str">
        <f t="shared" si="830"/>
        <v>Да</v>
      </c>
      <c r="X657" s="4" t="e">
        <f>(IF(COUNTIFS($G$2:G657,"+",$W$2:W657,"Да")&gt;1,"&amp; ","")&amp;D657&amp;J657&amp;E657&amp;SUBSTITUTE(L657,"""",""))</f>
        <v>#VALUE!</v>
      </c>
      <c r="Y657" s="4" t="e">
        <f t="shared" si="786"/>
        <v>#VALUE!</v>
      </c>
    </row>
    <row r="658" spans="1:25" x14ac:dyDescent="0.3">
      <c r="A658" s="11"/>
      <c r="B658" s="5" t="str">
        <f t="shared" si="831"/>
        <v/>
      </c>
      <c r="C658" s="5" t="str">
        <f t="shared" si="832"/>
        <v/>
      </c>
      <c r="D658" s="4" t="s">
        <v>10</v>
      </c>
      <c r="E658" s="4" t="s">
        <v>11</v>
      </c>
      <c r="F658" s="4" t="str">
        <f t="shared" si="773"/>
        <v>!!!</v>
      </c>
      <c r="G658" s="4" t="str">
        <f t="shared" si="833"/>
        <v>+</v>
      </c>
      <c r="H658" s="4"/>
      <c r="I658" s="4" t="str">
        <f t="shared" si="774"/>
        <v>!!!</v>
      </c>
      <c r="J658" s="4" t="e">
        <f t="shared" si="775"/>
        <v>#VALUE!</v>
      </c>
      <c r="K658" s="4" t="e">
        <f t="shared" si="776"/>
        <v>#VALUE!</v>
      </c>
      <c r="L658" s="4" t="e">
        <f t="shared" si="777"/>
        <v>#VALUE!</v>
      </c>
      <c r="M658" s="4">
        <f t="shared" si="834"/>
        <v>1000</v>
      </c>
      <c r="N658" s="4">
        <f t="shared" ref="N658:O658" si="853">MIN(IFERROR(FIND(" ",$C658,M658+1),1000))</f>
        <v>1000</v>
      </c>
      <c r="O658" s="4">
        <f t="shared" si="853"/>
        <v>1000</v>
      </c>
      <c r="P658" s="4">
        <f t="shared" si="836"/>
        <v>0</v>
      </c>
      <c r="Q658" s="4" t="str">
        <f t="shared" si="783"/>
        <v/>
      </c>
      <c r="R658" s="4" t="str">
        <f t="shared" si="799"/>
        <v/>
      </c>
      <c r="S658" s="4" t="str">
        <f t="shared" si="789"/>
        <v/>
      </c>
      <c r="T658" s="4" t="e">
        <f t="shared" si="837"/>
        <v>#VALUE!</v>
      </c>
      <c r="U658" s="4" t="e">
        <f t="shared" si="838"/>
        <v>#VALUE!</v>
      </c>
      <c r="V658" s="4" t="b">
        <f t="shared" si="829"/>
        <v>0</v>
      </c>
      <c r="W658" s="13" t="str">
        <f t="shared" si="830"/>
        <v>Да</v>
      </c>
      <c r="X658" s="4" t="e">
        <f>(IF(COUNTIFS($G$2:G658,"+",$W$2:W658,"Да")&gt;1,"&amp; ","")&amp;D658&amp;J658&amp;E658&amp;SUBSTITUTE(L658,"""",""))</f>
        <v>#VALUE!</v>
      </c>
      <c r="Y658" s="4" t="e">
        <f t="shared" si="786"/>
        <v>#VALUE!</v>
      </c>
    </row>
    <row r="659" spans="1:25" x14ac:dyDescent="0.3">
      <c r="A659" s="11"/>
      <c r="B659" s="5" t="str">
        <f t="shared" si="831"/>
        <v/>
      </c>
      <c r="C659" s="5" t="str">
        <f t="shared" si="832"/>
        <v/>
      </c>
      <c r="D659" s="4" t="s">
        <v>10</v>
      </c>
      <c r="E659" s="4" t="s">
        <v>11</v>
      </c>
      <c r="F659" s="4" t="str">
        <f t="shared" si="773"/>
        <v>!!!</v>
      </c>
      <c r="G659" s="4" t="str">
        <f t="shared" si="833"/>
        <v>+</v>
      </c>
      <c r="H659" s="4"/>
      <c r="I659" s="4" t="str">
        <f t="shared" si="774"/>
        <v>!!!</v>
      </c>
      <c r="J659" s="4" t="e">
        <f t="shared" si="775"/>
        <v>#VALUE!</v>
      </c>
      <c r="K659" s="4" t="e">
        <f t="shared" si="776"/>
        <v>#VALUE!</v>
      </c>
      <c r="L659" s="4" t="e">
        <f t="shared" si="777"/>
        <v>#VALUE!</v>
      </c>
      <c r="M659" s="4">
        <f t="shared" si="834"/>
        <v>1000</v>
      </c>
      <c r="N659" s="4">
        <f t="shared" ref="N659:O659" si="854">MIN(IFERROR(FIND(" ",$C659,M659+1),1000))</f>
        <v>1000</v>
      </c>
      <c r="O659" s="4">
        <f t="shared" si="854"/>
        <v>1000</v>
      </c>
      <c r="P659" s="4">
        <f t="shared" si="836"/>
        <v>0</v>
      </c>
      <c r="Q659" s="4" t="str">
        <f t="shared" si="783"/>
        <v/>
      </c>
      <c r="R659" s="4" t="str">
        <f t="shared" si="799"/>
        <v/>
      </c>
      <c r="S659" s="4" t="str">
        <f t="shared" si="789"/>
        <v/>
      </c>
      <c r="T659" s="4" t="e">
        <f t="shared" si="837"/>
        <v>#VALUE!</v>
      </c>
      <c r="U659" s="4" t="e">
        <f t="shared" si="838"/>
        <v>#VALUE!</v>
      </c>
      <c r="V659" s="4" t="b">
        <f t="shared" si="829"/>
        <v>0</v>
      </c>
      <c r="W659" s="13" t="str">
        <f t="shared" si="830"/>
        <v>Да</v>
      </c>
      <c r="X659" s="4" t="e">
        <f>(IF(COUNTIFS($G$2:G659,"+",$W$2:W659,"Да")&gt;1,"&amp; ","")&amp;D659&amp;J659&amp;E659&amp;SUBSTITUTE(L659,"""",""))</f>
        <v>#VALUE!</v>
      </c>
      <c r="Y659" s="4" t="e">
        <f t="shared" si="786"/>
        <v>#VALUE!</v>
      </c>
    </row>
    <row r="660" spans="1:25" x14ac:dyDescent="0.3">
      <c r="A660" s="11"/>
      <c r="B660" s="5" t="str">
        <f t="shared" si="831"/>
        <v/>
      </c>
      <c r="C660" s="5" t="str">
        <f t="shared" si="832"/>
        <v/>
      </c>
      <c r="D660" s="4" t="s">
        <v>10</v>
      </c>
      <c r="E660" s="4" t="s">
        <v>11</v>
      </c>
      <c r="F660" s="4" t="str">
        <f t="shared" ref="F660:F723" si="855">IFERROR(SEARCH(" as ",B660),"!!!")</f>
        <v>!!!</v>
      </c>
      <c r="G660" s="4" t="str">
        <f t="shared" si="833"/>
        <v>+</v>
      </c>
      <c r="H660" s="4"/>
      <c r="I660" s="4" t="str">
        <f t="shared" ref="I660:I723" si="856">IFERROR(SEARCH(" ",B660),"!!!")</f>
        <v>!!!</v>
      </c>
      <c r="J660" s="4" t="e">
        <f t="shared" ref="J660:J723" si="857">RIGHT(B660,LEN(B660)-F660-3)</f>
        <v>#VALUE!</v>
      </c>
      <c r="K660" s="4" t="e">
        <f t="shared" ref="K660:K723" si="858">MID(B660,I660+1,F660-I660)</f>
        <v>#VALUE!</v>
      </c>
      <c r="L660" s="4" t="e">
        <f t="shared" ref="L660:L723" si="859">MID(B660,I660+1,F660-I660)</f>
        <v>#VALUE!</v>
      </c>
      <c r="M660" s="4">
        <f t="shared" si="834"/>
        <v>1000</v>
      </c>
      <c r="N660" s="4">
        <f t="shared" ref="N660:O660" si="860">MIN(IFERROR(FIND(" ",$C660,M660+1),1000))</f>
        <v>1000</v>
      </c>
      <c r="O660" s="4">
        <f t="shared" si="860"/>
        <v>1000</v>
      </c>
      <c r="P660" s="4">
        <f t="shared" si="836"/>
        <v>0</v>
      </c>
      <c r="Q660" s="4" t="str">
        <f t="shared" si="783"/>
        <v/>
      </c>
      <c r="R660" s="4" t="str">
        <f t="shared" si="799"/>
        <v/>
      </c>
      <c r="S660" s="4" t="str">
        <f t="shared" si="789"/>
        <v/>
      </c>
      <c r="T660" s="4" t="e">
        <f t="shared" si="837"/>
        <v>#VALUE!</v>
      </c>
      <c r="U660" s="4" t="e">
        <f t="shared" si="838"/>
        <v>#VALUE!</v>
      </c>
      <c r="V660" s="4" t="b">
        <f t="shared" si="829"/>
        <v>0</v>
      </c>
      <c r="W660" s="13" t="str">
        <f t="shared" si="830"/>
        <v>Да</v>
      </c>
      <c r="X660" s="4" t="e">
        <f>(IF(COUNTIFS($G$2:G660,"+",$W$2:W660,"Да")&gt;1,"&amp; ","")&amp;D660&amp;J660&amp;E660&amp;SUBSTITUTE(L660,"""",""))</f>
        <v>#VALUE!</v>
      </c>
      <c r="Y660" s="4" t="e">
        <f t="shared" si="786"/>
        <v>#VALUE!</v>
      </c>
    </row>
    <row r="661" spans="1:25" x14ac:dyDescent="0.3">
      <c r="A661" s="11"/>
      <c r="B661" s="5" t="str">
        <f t="shared" si="831"/>
        <v/>
      </c>
      <c r="C661" s="5" t="str">
        <f t="shared" si="832"/>
        <v/>
      </c>
      <c r="D661" s="4" t="s">
        <v>10</v>
      </c>
      <c r="E661" s="4" t="s">
        <v>11</v>
      </c>
      <c r="F661" s="4" t="str">
        <f t="shared" si="855"/>
        <v>!!!</v>
      </c>
      <c r="G661" s="4" t="str">
        <f t="shared" si="833"/>
        <v>+</v>
      </c>
      <c r="H661" s="4"/>
      <c r="I661" s="4" t="str">
        <f t="shared" si="856"/>
        <v>!!!</v>
      </c>
      <c r="J661" s="4" t="e">
        <f t="shared" si="857"/>
        <v>#VALUE!</v>
      </c>
      <c r="K661" s="4" t="e">
        <f t="shared" si="858"/>
        <v>#VALUE!</v>
      </c>
      <c r="L661" s="4" t="e">
        <f t="shared" si="859"/>
        <v>#VALUE!</v>
      </c>
      <c r="M661" s="4">
        <f t="shared" si="834"/>
        <v>1000</v>
      </c>
      <c r="N661" s="4">
        <f t="shared" ref="N661:O661" si="861">MIN(IFERROR(FIND(" ",$C661,M661+1),1000))</f>
        <v>1000</v>
      </c>
      <c r="O661" s="4">
        <f t="shared" si="861"/>
        <v>1000</v>
      </c>
      <c r="P661" s="4">
        <f t="shared" si="836"/>
        <v>0</v>
      </c>
      <c r="Q661" s="4" t="str">
        <f t="shared" si="783"/>
        <v/>
      </c>
      <c r="R661" s="4" t="str">
        <f t="shared" si="799"/>
        <v/>
      </c>
      <c r="S661" s="4" t="str">
        <f t="shared" si="789"/>
        <v/>
      </c>
      <c r="T661" s="4" t="e">
        <f t="shared" si="837"/>
        <v>#VALUE!</v>
      </c>
      <c r="U661" s="4" t="e">
        <f t="shared" si="838"/>
        <v>#VALUE!</v>
      </c>
      <c r="V661" s="4" t="b">
        <f t="shared" si="829"/>
        <v>0</v>
      </c>
      <c r="W661" s="13" t="str">
        <f t="shared" si="830"/>
        <v>Да</v>
      </c>
      <c r="X661" s="4" t="e">
        <f>(IF(COUNTIFS($G$2:G661,"+",$W$2:W661,"Да")&gt;1,"&amp; ","")&amp;D661&amp;J661&amp;E661&amp;SUBSTITUTE(L661,"""",""))</f>
        <v>#VALUE!</v>
      </c>
      <c r="Y661" s="4" t="e">
        <f t="shared" si="786"/>
        <v>#VALUE!</v>
      </c>
    </row>
    <row r="662" spans="1:25" x14ac:dyDescent="0.3">
      <c r="A662" s="11"/>
      <c r="B662" s="5" t="str">
        <f t="shared" si="831"/>
        <v/>
      </c>
      <c r="C662" s="5" t="str">
        <f t="shared" si="832"/>
        <v/>
      </c>
      <c r="D662" s="4" t="s">
        <v>10</v>
      </c>
      <c r="E662" s="4" t="s">
        <v>11</v>
      </c>
      <c r="F662" s="4" t="str">
        <f t="shared" si="855"/>
        <v>!!!</v>
      </c>
      <c r="G662" s="4" t="str">
        <f t="shared" si="833"/>
        <v>+</v>
      </c>
      <c r="H662" s="4"/>
      <c r="I662" s="4" t="str">
        <f t="shared" si="856"/>
        <v>!!!</v>
      </c>
      <c r="J662" s="4" t="e">
        <f t="shared" si="857"/>
        <v>#VALUE!</v>
      </c>
      <c r="K662" s="4" t="e">
        <f t="shared" si="858"/>
        <v>#VALUE!</v>
      </c>
      <c r="L662" s="4" t="e">
        <f t="shared" si="859"/>
        <v>#VALUE!</v>
      </c>
      <c r="M662" s="4">
        <f t="shared" si="834"/>
        <v>1000</v>
      </c>
      <c r="N662" s="4">
        <f t="shared" ref="N662:O662" si="862">MIN(IFERROR(FIND(" ",$C662,M662+1),1000))</f>
        <v>1000</v>
      </c>
      <c r="O662" s="4">
        <f t="shared" si="862"/>
        <v>1000</v>
      </c>
      <c r="P662" s="4">
        <f t="shared" si="836"/>
        <v>0</v>
      </c>
      <c r="Q662" s="4" t="str">
        <f t="shared" si="783"/>
        <v/>
      </c>
      <c r="R662" s="4" t="str">
        <f t="shared" si="799"/>
        <v/>
      </c>
      <c r="S662" s="4" t="str">
        <f t="shared" si="789"/>
        <v/>
      </c>
      <c r="T662" s="4" t="e">
        <f t="shared" si="837"/>
        <v>#VALUE!</v>
      </c>
      <c r="U662" s="4" t="e">
        <f t="shared" si="838"/>
        <v>#VALUE!</v>
      </c>
      <c r="V662" s="4" t="b">
        <f t="shared" si="829"/>
        <v>0</v>
      </c>
      <c r="W662" s="13" t="str">
        <f t="shared" si="830"/>
        <v>Да</v>
      </c>
      <c r="X662" s="4" t="e">
        <f>(IF(COUNTIFS($G$2:G662,"+",$W$2:W662,"Да")&gt;1,"&amp; ","")&amp;D662&amp;J662&amp;E662&amp;SUBSTITUTE(L662,"""",""))</f>
        <v>#VALUE!</v>
      </c>
      <c r="Y662" s="4" t="e">
        <f t="shared" si="786"/>
        <v>#VALUE!</v>
      </c>
    </row>
    <row r="663" spans="1:25" x14ac:dyDescent="0.3">
      <c r="A663" s="11"/>
      <c r="B663" s="5" t="str">
        <f t="shared" si="831"/>
        <v/>
      </c>
      <c r="C663" s="5" t="str">
        <f t="shared" si="832"/>
        <v/>
      </c>
      <c r="D663" s="4" t="s">
        <v>10</v>
      </c>
      <c r="E663" s="4" t="s">
        <v>11</v>
      </c>
      <c r="F663" s="4" t="str">
        <f t="shared" si="855"/>
        <v>!!!</v>
      </c>
      <c r="G663" s="4" t="str">
        <f t="shared" si="833"/>
        <v>+</v>
      </c>
      <c r="H663" s="4"/>
      <c r="I663" s="4" t="str">
        <f t="shared" si="856"/>
        <v>!!!</v>
      </c>
      <c r="J663" s="4" t="e">
        <f t="shared" si="857"/>
        <v>#VALUE!</v>
      </c>
      <c r="K663" s="4" t="e">
        <f t="shared" si="858"/>
        <v>#VALUE!</v>
      </c>
      <c r="L663" s="4" t="e">
        <f t="shared" si="859"/>
        <v>#VALUE!</v>
      </c>
      <c r="M663" s="4">
        <f t="shared" si="834"/>
        <v>1000</v>
      </c>
      <c r="N663" s="4">
        <f t="shared" ref="N663:O663" si="863">MIN(IFERROR(FIND(" ",$C663,M663+1),1000))</f>
        <v>1000</v>
      </c>
      <c r="O663" s="4">
        <f t="shared" si="863"/>
        <v>1000</v>
      </c>
      <c r="P663" s="4">
        <f t="shared" si="836"/>
        <v>0</v>
      </c>
      <c r="Q663" s="4" t="str">
        <f t="shared" si="783"/>
        <v/>
      </c>
      <c r="R663" s="4" t="str">
        <f t="shared" si="799"/>
        <v/>
      </c>
      <c r="S663" s="4" t="str">
        <f t="shared" si="789"/>
        <v/>
      </c>
      <c r="T663" s="4" t="e">
        <f t="shared" si="837"/>
        <v>#VALUE!</v>
      </c>
      <c r="U663" s="4" t="e">
        <f t="shared" si="838"/>
        <v>#VALUE!</v>
      </c>
      <c r="V663" s="4" t="b">
        <f t="shared" si="829"/>
        <v>0</v>
      </c>
      <c r="W663" s="13" t="str">
        <f t="shared" si="830"/>
        <v>Да</v>
      </c>
      <c r="X663" s="4" t="e">
        <f>(IF(COUNTIFS($G$2:G663,"+",$W$2:W663,"Да")&gt;1,"&amp; ","")&amp;D663&amp;J663&amp;E663&amp;SUBSTITUTE(L663,"""",""))</f>
        <v>#VALUE!</v>
      </c>
      <c r="Y663" s="4" t="e">
        <f t="shared" si="786"/>
        <v>#VALUE!</v>
      </c>
    </row>
    <row r="664" spans="1:25" x14ac:dyDescent="0.3">
      <c r="A664" s="11"/>
      <c r="B664" s="5" t="str">
        <f t="shared" si="831"/>
        <v/>
      </c>
      <c r="C664" s="5" t="str">
        <f t="shared" si="832"/>
        <v/>
      </c>
      <c r="D664" s="4" t="s">
        <v>10</v>
      </c>
      <c r="E664" s="4" t="s">
        <v>11</v>
      </c>
      <c r="F664" s="4" t="str">
        <f t="shared" si="855"/>
        <v>!!!</v>
      </c>
      <c r="G664" s="4" t="str">
        <f t="shared" si="833"/>
        <v>+</v>
      </c>
      <c r="H664" s="4"/>
      <c r="I664" s="4" t="str">
        <f t="shared" si="856"/>
        <v>!!!</v>
      </c>
      <c r="J664" s="4" t="e">
        <f t="shared" si="857"/>
        <v>#VALUE!</v>
      </c>
      <c r="K664" s="4" t="e">
        <f t="shared" si="858"/>
        <v>#VALUE!</v>
      </c>
      <c r="L664" s="4" t="e">
        <f t="shared" si="859"/>
        <v>#VALUE!</v>
      </c>
      <c r="M664" s="4">
        <f t="shared" si="834"/>
        <v>1000</v>
      </c>
      <c r="N664" s="4">
        <f t="shared" ref="N664:O664" si="864">MIN(IFERROR(FIND(" ",$C664,M664+1),1000))</f>
        <v>1000</v>
      </c>
      <c r="O664" s="4">
        <f t="shared" si="864"/>
        <v>1000</v>
      </c>
      <c r="P664" s="4">
        <f t="shared" si="836"/>
        <v>0</v>
      </c>
      <c r="Q664" s="4" t="str">
        <f t="shared" ref="Q664:Q727" si="865">LEFT(C664,M664-1)</f>
        <v/>
      </c>
      <c r="R664" s="4" t="str">
        <f t="shared" si="799"/>
        <v/>
      </c>
      <c r="S664" s="4" t="str">
        <f t="shared" si="789"/>
        <v/>
      </c>
      <c r="T664" s="4" t="e">
        <f t="shared" si="837"/>
        <v>#VALUE!</v>
      </c>
      <c r="U664" s="4" t="e">
        <f t="shared" si="838"/>
        <v>#VALUE!</v>
      </c>
      <c r="V664" s="4" t="b">
        <f t="shared" si="829"/>
        <v>0</v>
      </c>
      <c r="W664" s="13" t="str">
        <f t="shared" si="830"/>
        <v>Да</v>
      </c>
      <c r="X664" s="4" t="e">
        <f>(IF(COUNTIFS($G$2:G664,"+",$W$2:W664,"Да")&gt;1,"&amp; ","")&amp;D664&amp;J664&amp;E664&amp;SUBSTITUTE(L664,"""",""))</f>
        <v>#VALUE!</v>
      </c>
      <c r="Y664" s="4" t="e">
        <f t="shared" si="786"/>
        <v>#VALUE!</v>
      </c>
    </row>
    <row r="665" spans="1:25" x14ac:dyDescent="0.3">
      <c r="A665" s="11"/>
      <c r="B665" s="5" t="str">
        <f t="shared" si="831"/>
        <v/>
      </c>
      <c r="C665" s="5" t="str">
        <f t="shared" si="832"/>
        <v/>
      </c>
      <c r="D665" s="4" t="s">
        <v>10</v>
      </c>
      <c r="E665" s="4" t="s">
        <v>11</v>
      </c>
      <c r="F665" s="4" t="str">
        <f t="shared" si="855"/>
        <v>!!!</v>
      </c>
      <c r="G665" s="4" t="str">
        <f t="shared" si="833"/>
        <v>+</v>
      </c>
      <c r="H665" s="4"/>
      <c r="I665" s="4" t="str">
        <f t="shared" si="856"/>
        <v>!!!</v>
      </c>
      <c r="J665" s="4" t="e">
        <f t="shared" si="857"/>
        <v>#VALUE!</v>
      </c>
      <c r="K665" s="4" t="e">
        <f t="shared" si="858"/>
        <v>#VALUE!</v>
      </c>
      <c r="L665" s="4" t="e">
        <f t="shared" si="859"/>
        <v>#VALUE!</v>
      </c>
      <c r="M665" s="4">
        <f t="shared" si="834"/>
        <v>1000</v>
      </c>
      <c r="N665" s="4">
        <f t="shared" ref="N665:O665" si="866">MIN(IFERROR(FIND(" ",$C665,M665+1),1000))</f>
        <v>1000</v>
      </c>
      <c r="O665" s="4">
        <f t="shared" si="866"/>
        <v>1000</v>
      </c>
      <c r="P665" s="4">
        <f t="shared" si="836"/>
        <v>0</v>
      </c>
      <c r="Q665" s="4" t="str">
        <f t="shared" si="865"/>
        <v/>
      </c>
      <c r="R665" s="4" t="str">
        <f t="shared" si="799"/>
        <v/>
      </c>
      <c r="S665" s="4" t="str">
        <f t="shared" si="789"/>
        <v/>
      </c>
      <c r="T665" s="4" t="e">
        <f t="shared" si="837"/>
        <v>#VALUE!</v>
      </c>
      <c r="U665" s="4" t="e">
        <f t="shared" si="838"/>
        <v>#VALUE!</v>
      </c>
      <c r="V665" s="4" t="b">
        <f t="shared" si="829"/>
        <v>0</v>
      </c>
      <c r="W665" s="13" t="str">
        <f t="shared" si="830"/>
        <v>Да</v>
      </c>
      <c r="X665" s="4" t="e">
        <f>(IF(COUNTIFS($G$2:G665,"+",$W$2:W665,"Да")&gt;1,"&amp; ","")&amp;D665&amp;J665&amp;E665&amp;SUBSTITUTE(L665,"""",""))</f>
        <v>#VALUE!</v>
      </c>
      <c r="Y665" s="4" t="e">
        <f t="shared" si="786"/>
        <v>#VALUE!</v>
      </c>
    </row>
    <row r="666" spans="1:25" x14ac:dyDescent="0.3">
      <c r="A666" s="11"/>
      <c r="B666" s="5" t="str">
        <f t="shared" si="831"/>
        <v/>
      </c>
      <c r="C666" s="5" t="str">
        <f t="shared" si="832"/>
        <v/>
      </c>
      <c r="D666" s="4" t="s">
        <v>10</v>
      </c>
      <c r="E666" s="4" t="s">
        <v>11</v>
      </c>
      <c r="F666" s="4" t="str">
        <f t="shared" si="855"/>
        <v>!!!</v>
      </c>
      <c r="G666" s="4" t="str">
        <f t="shared" si="833"/>
        <v>+</v>
      </c>
      <c r="H666" s="4"/>
      <c r="I666" s="4" t="str">
        <f t="shared" si="856"/>
        <v>!!!</v>
      </c>
      <c r="J666" s="4" t="e">
        <f t="shared" si="857"/>
        <v>#VALUE!</v>
      </c>
      <c r="K666" s="4" t="e">
        <f t="shared" si="858"/>
        <v>#VALUE!</v>
      </c>
      <c r="L666" s="4" t="e">
        <f t="shared" si="859"/>
        <v>#VALUE!</v>
      </c>
      <c r="M666" s="4">
        <f t="shared" si="834"/>
        <v>1000</v>
      </c>
      <c r="N666" s="4">
        <f t="shared" ref="N666:O666" si="867">MIN(IFERROR(FIND(" ",$C666,M666+1),1000))</f>
        <v>1000</v>
      </c>
      <c r="O666" s="4">
        <f t="shared" si="867"/>
        <v>1000</v>
      </c>
      <c r="P666" s="4">
        <f t="shared" si="836"/>
        <v>0</v>
      </c>
      <c r="Q666" s="4" t="str">
        <f t="shared" si="865"/>
        <v/>
      </c>
      <c r="R666" s="4" t="str">
        <f t="shared" si="799"/>
        <v/>
      </c>
      <c r="S666" s="4" t="str">
        <f t="shared" si="789"/>
        <v/>
      </c>
      <c r="T666" s="4" t="e">
        <f t="shared" si="837"/>
        <v>#VALUE!</v>
      </c>
      <c r="U666" s="4" t="e">
        <f t="shared" si="838"/>
        <v>#VALUE!</v>
      </c>
      <c r="V666" s="4" t="b">
        <f t="shared" si="829"/>
        <v>0</v>
      </c>
      <c r="W666" s="13" t="str">
        <f t="shared" si="830"/>
        <v>Да</v>
      </c>
      <c r="X666" s="4" t="e">
        <f>(IF(COUNTIFS($G$2:G666,"+",$W$2:W666,"Да")&gt;1,"&amp; ","")&amp;D666&amp;J666&amp;E666&amp;SUBSTITUTE(L666,"""",""))</f>
        <v>#VALUE!</v>
      </c>
      <c r="Y666" s="4" t="e">
        <f t="shared" ref="Y666:Y729" si="868">IF(S666="",X666,LEFT(X666,FIND(":",X666))&amp;" "&amp;S666)</f>
        <v>#VALUE!</v>
      </c>
    </row>
    <row r="667" spans="1:25" x14ac:dyDescent="0.3">
      <c r="A667" s="11"/>
      <c r="B667" s="5" t="str">
        <f t="shared" si="831"/>
        <v/>
      </c>
      <c r="C667" s="5" t="str">
        <f t="shared" si="832"/>
        <v/>
      </c>
      <c r="D667" s="4" t="s">
        <v>10</v>
      </c>
      <c r="E667" s="4" t="s">
        <v>11</v>
      </c>
      <c r="F667" s="4" t="str">
        <f t="shared" si="855"/>
        <v>!!!</v>
      </c>
      <c r="G667" s="4" t="str">
        <f t="shared" si="833"/>
        <v>+</v>
      </c>
      <c r="H667" s="4"/>
      <c r="I667" s="4" t="str">
        <f t="shared" si="856"/>
        <v>!!!</v>
      </c>
      <c r="J667" s="4" t="e">
        <f t="shared" si="857"/>
        <v>#VALUE!</v>
      </c>
      <c r="K667" s="4" t="e">
        <f t="shared" si="858"/>
        <v>#VALUE!</v>
      </c>
      <c r="L667" s="4" t="e">
        <f t="shared" si="859"/>
        <v>#VALUE!</v>
      </c>
      <c r="M667" s="4">
        <f t="shared" si="834"/>
        <v>1000</v>
      </c>
      <c r="N667" s="4">
        <f t="shared" ref="N667:O667" si="869">MIN(IFERROR(FIND(" ",$C667,M667+1),1000))</f>
        <v>1000</v>
      </c>
      <c r="O667" s="4">
        <f t="shared" si="869"/>
        <v>1000</v>
      </c>
      <c r="P667" s="4">
        <f t="shared" si="836"/>
        <v>0</v>
      </c>
      <c r="Q667" s="4" t="str">
        <f t="shared" si="865"/>
        <v/>
      </c>
      <c r="R667" s="4" t="str">
        <f t="shared" si="799"/>
        <v/>
      </c>
      <c r="S667" s="4" t="str">
        <f t="shared" si="789"/>
        <v/>
      </c>
      <c r="T667" s="4" t="e">
        <f t="shared" si="837"/>
        <v>#VALUE!</v>
      </c>
      <c r="U667" s="4" t="e">
        <f t="shared" si="838"/>
        <v>#VALUE!</v>
      </c>
      <c r="V667" s="4" t="b">
        <f t="shared" si="829"/>
        <v>0</v>
      </c>
      <c r="W667" s="13" t="str">
        <f t="shared" si="830"/>
        <v>Да</v>
      </c>
      <c r="X667" s="4" t="e">
        <f>(IF(COUNTIFS($G$2:G667,"+",$W$2:W667,"Да")&gt;1,"&amp; ","")&amp;D667&amp;J667&amp;E667&amp;SUBSTITUTE(L667,"""",""))</f>
        <v>#VALUE!</v>
      </c>
      <c r="Y667" s="4" t="e">
        <f t="shared" si="868"/>
        <v>#VALUE!</v>
      </c>
    </row>
    <row r="668" spans="1:25" x14ac:dyDescent="0.3">
      <c r="A668" s="11"/>
      <c r="B668" s="5" t="str">
        <f t="shared" si="831"/>
        <v/>
      </c>
      <c r="C668" s="5" t="str">
        <f t="shared" si="832"/>
        <v/>
      </c>
      <c r="D668" s="4" t="s">
        <v>10</v>
      </c>
      <c r="E668" s="4" t="s">
        <v>11</v>
      </c>
      <c r="F668" s="4" t="str">
        <f t="shared" si="855"/>
        <v>!!!</v>
      </c>
      <c r="G668" s="4" t="str">
        <f t="shared" si="833"/>
        <v>+</v>
      </c>
      <c r="H668" s="4"/>
      <c r="I668" s="4" t="str">
        <f t="shared" si="856"/>
        <v>!!!</v>
      </c>
      <c r="J668" s="4" t="e">
        <f t="shared" si="857"/>
        <v>#VALUE!</v>
      </c>
      <c r="K668" s="4" t="e">
        <f t="shared" si="858"/>
        <v>#VALUE!</v>
      </c>
      <c r="L668" s="4" t="e">
        <f t="shared" si="859"/>
        <v>#VALUE!</v>
      </c>
      <c r="M668" s="4">
        <f t="shared" si="834"/>
        <v>1000</v>
      </c>
      <c r="N668" s="4">
        <f t="shared" ref="N668:O668" si="870">MIN(IFERROR(FIND(" ",$C668,M668+1),1000))</f>
        <v>1000</v>
      </c>
      <c r="O668" s="4">
        <f t="shared" si="870"/>
        <v>1000</v>
      </c>
      <c r="P668" s="4">
        <f t="shared" si="836"/>
        <v>0</v>
      </c>
      <c r="Q668" s="4" t="str">
        <f t="shared" si="865"/>
        <v/>
      </c>
      <c r="R668" s="4" t="str">
        <f t="shared" si="799"/>
        <v/>
      </c>
      <c r="S668" s="4" t="str">
        <f t="shared" ref="S668:S731" si="871">IFERROR(IF(LEFT(A667,1)="'",SUBSTITUTE(A667,"'",""),""),"")</f>
        <v/>
      </c>
      <c r="T668" s="4" t="e">
        <f t="shared" si="837"/>
        <v>#VALUE!</v>
      </c>
      <c r="U668" s="4" t="e">
        <f t="shared" si="838"/>
        <v>#VALUE!</v>
      </c>
      <c r="V668" s="4" t="b">
        <f t="shared" si="829"/>
        <v>0</v>
      </c>
      <c r="W668" s="13" t="str">
        <f t="shared" si="830"/>
        <v>Да</v>
      </c>
      <c r="X668" s="4" t="e">
        <f>(IF(COUNTIFS($G$2:G668,"+",$W$2:W668,"Да")&gt;1,"&amp; ","")&amp;D668&amp;J668&amp;E668&amp;SUBSTITUTE(L668,"""",""))</f>
        <v>#VALUE!</v>
      </c>
      <c r="Y668" s="4" t="e">
        <f t="shared" si="868"/>
        <v>#VALUE!</v>
      </c>
    </row>
    <row r="669" spans="1:25" x14ac:dyDescent="0.3">
      <c r="A669" s="11"/>
      <c r="B669" s="5" t="str">
        <f t="shared" si="831"/>
        <v/>
      </c>
      <c r="C669" s="5" t="str">
        <f t="shared" si="832"/>
        <v/>
      </c>
      <c r="D669" s="4" t="s">
        <v>10</v>
      </c>
      <c r="E669" s="4" t="s">
        <v>11</v>
      </c>
      <c r="F669" s="4" t="str">
        <f t="shared" si="855"/>
        <v>!!!</v>
      </c>
      <c r="G669" s="4" t="str">
        <f t="shared" si="833"/>
        <v>+</v>
      </c>
      <c r="H669" s="4"/>
      <c r="I669" s="4" t="str">
        <f t="shared" si="856"/>
        <v>!!!</v>
      </c>
      <c r="J669" s="4" t="e">
        <f t="shared" si="857"/>
        <v>#VALUE!</v>
      </c>
      <c r="K669" s="4" t="e">
        <f t="shared" si="858"/>
        <v>#VALUE!</v>
      </c>
      <c r="L669" s="4" t="e">
        <f t="shared" si="859"/>
        <v>#VALUE!</v>
      </c>
      <c r="M669" s="4">
        <f t="shared" si="834"/>
        <v>1000</v>
      </c>
      <c r="N669" s="4">
        <f t="shared" ref="N669:O669" si="872">MIN(IFERROR(FIND(" ",$C669,M669+1),1000))</f>
        <v>1000</v>
      </c>
      <c r="O669" s="4">
        <f t="shared" si="872"/>
        <v>1000</v>
      </c>
      <c r="P669" s="4">
        <f t="shared" si="836"/>
        <v>0</v>
      </c>
      <c r="Q669" s="4" t="str">
        <f t="shared" si="865"/>
        <v/>
      </c>
      <c r="R669" s="4" t="str">
        <f t="shared" si="799"/>
        <v/>
      </c>
      <c r="S669" s="4" t="str">
        <f t="shared" si="871"/>
        <v/>
      </c>
      <c r="T669" s="4" t="e">
        <f t="shared" si="837"/>
        <v>#VALUE!</v>
      </c>
      <c r="U669" s="4" t="e">
        <f t="shared" si="838"/>
        <v>#VALUE!</v>
      </c>
      <c r="V669" s="4" t="b">
        <f t="shared" si="829"/>
        <v>0</v>
      </c>
      <c r="W669" s="13" t="str">
        <f t="shared" si="830"/>
        <v>Да</v>
      </c>
      <c r="X669" s="4" t="e">
        <f>(IF(COUNTIFS($G$2:G669,"+",$W$2:W669,"Да")&gt;1,"&amp; ","")&amp;D669&amp;J669&amp;E669&amp;SUBSTITUTE(L669,"""",""))</f>
        <v>#VALUE!</v>
      </c>
      <c r="Y669" s="4" t="e">
        <f t="shared" si="868"/>
        <v>#VALUE!</v>
      </c>
    </row>
    <row r="670" spans="1:25" x14ac:dyDescent="0.3">
      <c r="A670" s="11"/>
      <c r="B670" s="5" t="str">
        <f t="shared" si="831"/>
        <v/>
      </c>
      <c r="C670" s="5" t="str">
        <f t="shared" si="832"/>
        <v/>
      </c>
      <c r="D670" s="4" t="s">
        <v>10</v>
      </c>
      <c r="E670" s="4" t="s">
        <v>11</v>
      </c>
      <c r="F670" s="4" t="str">
        <f t="shared" si="855"/>
        <v>!!!</v>
      </c>
      <c r="G670" s="4" t="str">
        <f t="shared" si="833"/>
        <v>+</v>
      </c>
      <c r="H670" s="4"/>
      <c r="I670" s="4" t="str">
        <f t="shared" si="856"/>
        <v>!!!</v>
      </c>
      <c r="J670" s="4" t="e">
        <f t="shared" si="857"/>
        <v>#VALUE!</v>
      </c>
      <c r="K670" s="4" t="e">
        <f t="shared" si="858"/>
        <v>#VALUE!</v>
      </c>
      <c r="L670" s="4" t="e">
        <f t="shared" si="859"/>
        <v>#VALUE!</v>
      </c>
      <c r="M670" s="4">
        <f t="shared" si="834"/>
        <v>1000</v>
      </c>
      <c r="N670" s="4">
        <f t="shared" ref="N670:O670" si="873">MIN(IFERROR(FIND(" ",$C670,M670+1),1000))</f>
        <v>1000</v>
      </c>
      <c r="O670" s="4">
        <f t="shared" si="873"/>
        <v>1000</v>
      </c>
      <c r="P670" s="4">
        <f t="shared" si="836"/>
        <v>0</v>
      </c>
      <c r="Q670" s="4" t="str">
        <f t="shared" si="865"/>
        <v/>
      </c>
      <c r="R670" s="4" t="str">
        <f t="shared" si="799"/>
        <v/>
      </c>
      <c r="S670" s="4" t="str">
        <f t="shared" si="871"/>
        <v/>
      </c>
      <c r="T670" s="4" t="e">
        <f t="shared" si="837"/>
        <v>#VALUE!</v>
      </c>
      <c r="U670" s="4" t="e">
        <f t="shared" si="838"/>
        <v>#VALUE!</v>
      </c>
      <c r="V670" s="4" t="b">
        <f t="shared" si="829"/>
        <v>0</v>
      </c>
      <c r="W670" s="13" t="str">
        <f t="shared" si="830"/>
        <v>Да</v>
      </c>
      <c r="X670" s="4" t="e">
        <f>(IF(COUNTIFS($G$2:G670,"+",$W$2:W670,"Да")&gt;1,"&amp; ","")&amp;D670&amp;J670&amp;E670&amp;SUBSTITUTE(L670,"""",""))</f>
        <v>#VALUE!</v>
      </c>
      <c r="Y670" s="4" t="e">
        <f t="shared" si="868"/>
        <v>#VALUE!</v>
      </c>
    </row>
    <row r="671" spans="1:25" x14ac:dyDescent="0.3">
      <c r="A671" s="11"/>
      <c r="B671" s="5" t="str">
        <f t="shared" si="831"/>
        <v/>
      </c>
      <c r="C671" s="5" t="str">
        <f t="shared" si="832"/>
        <v/>
      </c>
      <c r="D671" s="4" t="s">
        <v>10</v>
      </c>
      <c r="E671" s="4" t="s">
        <v>11</v>
      </c>
      <c r="F671" s="4" t="str">
        <f t="shared" si="855"/>
        <v>!!!</v>
      </c>
      <c r="G671" s="4" t="str">
        <f t="shared" si="833"/>
        <v>+</v>
      </c>
      <c r="H671" s="4"/>
      <c r="I671" s="4" t="str">
        <f t="shared" si="856"/>
        <v>!!!</v>
      </c>
      <c r="J671" s="4" t="e">
        <f t="shared" si="857"/>
        <v>#VALUE!</v>
      </c>
      <c r="K671" s="4" t="e">
        <f t="shared" si="858"/>
        <v>#VALUE!</v>
      </c>
      <c r="L671" s="4" t="e">
        <f t="shared" si="859"/>
        <v>#VALUE!</v>
      </c>
      <c r="M671" s="4">
        <f t="shared" si="834"/>
        <v>1000</v>
      </c>
      <c r="N671" s="4">
        <f t="shared" ref="N671:O671" si="874">MIN(IFERROR(FIND(" ",$C671,M671+1),1000))</f>
        <v>1000</v>
      </c>
      <c r="O671" s="4">
        <f t="shared" si="874"/>
        <v>1000</v>
      </c>
      <c r="P671" s="4">
        <f t="shared" si="836"/>
        <v>0</v>
      </c>
      <c r="Q671" s="4" t="str">
        <f t="shared" si="865"/>
        <v/>
      </c>
      <c r="R671" s="4" t="str">
        <f t="shared" si="799"/>
        <v/>
      </c>
      <c r="S671" s="4" t="str">
        <f t="shared" si="871"/>
        <v/>
      </c>
      <c r="T671" s="4" t="e">
        <f t="shared" si="837"/>
        <v>#VALUE!</v>
      </c>
      <c r="U671" s="4" t="e">
        <f t="shared" si="838"/>
        <v>#VALUE!</v>
      </c>
      <c r="V671" s="4" t="b">
        <f t="shared" si="829"/>
        <v>0</v>
      </c>
      <c r="W671" s="13" t="str">
        <f t="shared" si="830"/>
        <v>Да</v>
      </c>
      <c r="X671" s="4" t="e">
        <f>(IF(COUNTIFS($G$2:G671,"+",$W$2:W671,"Да")&gt;1,"&amp; ","")&amp;D671&amp;J671&amp;E671&amp;SUBSTITUTE(L671,"""",""))</f>
        <v>#VALUE!</v>
      </c>
      <c r="Y671" s="4" t="e">
        <f t="shared" si="868"/>
        <v>#VALUE!</v>
      </c>
    </row>
    <row r="672" spans="1:25" x14ac:dyDescent="0.3">
      <c r="A672" s="11"/>
      <c r="B672" s="5" t="str">
        <f t="shared" si="831"/>
        <v/>
      </c>
      <c r="C672" s="5" t="str">
        <f t="shared" si="832"/>
        <v/>
      </c>
      <c r="D672" s="4" t="s">
        <v>10</v>
      </c>
      <c r="E672" s="4" t="s">
        <v>11</v>
      </c>
      <c r="F672" s="4" t="str">
        <f t="shared" si="855"/>
        <v>!!!</v>
      </c>
      <c r="G672" s="4" t="str">
        <f t="shared" si="833"/>
        <v>+</v>
      </c>
      <c r="H672" s="4"/>
      <c r="I672" s="4" t="str">
        <f t="shared" si="856"/>
        <v>!!!</v>
      </c>
      <c r="J672" s="4" t="e">
        <f t="shared" si="857"/>
        <v>#VALUE!</v>
      </c>
      <c r="K672" s="4" t="e">
        <f t="shared" si="858"/>
        <v>#VALUE!</v>
      </c>
      <c r="L672" s="4" t="e">
        <f t="shared" si="859"/>
        <v>#VALUE!</v>
      </c>
      <c r="M672" s="4">
        <f t="shared" si="834"/>
        <v>1000</v>
      </c>
      <c r="N672" s="4">
        <f t="shared" ref="N672:O672" si="875">MIN(IFERROR(FIND(" ",$C672,M672+1),1000))</f>
        <v>1000</v>
      </c>
      <c r="O672" s="4">
        <f t="shared" si="875"/>
        <v>1000</v>
      </c>
      <c r="P672" s="4">
        <f t="shared" si="836"/>
        <v>0</v>
      </c>
      <c r="Q672" s="4" t="str">
        <f t="shared" si="865"/>
        <v/>
      </c>
      <c r="R672" s="4" t="str">
        <f t="shared" si="799"/>
        <v/>
      </c>
      <c r="S672" s="4" t="str">
        <f t="shared" si="871"/>
        <v/>
      </c>
      <c r="T672" s="4" t="e">
        <f t="shared" si="837"/>
        <v>#VALUE!</v>
      </c>
      <c r="U672" s="4" t="e">
        <f t="shared" si="838"/>
        <v>#VALUE!</v>
      </c>
      <c r="V672" s="4" t="b">
        <f t="shared" si="829"/>
        <v>0</v>
      </c>
      <c r="W672" s="13" t="str">
        <f t="shared" si="830"/>
        <v>Да</v>
      </c>
      <c r="X672" s="4" t="e">
        <f>(IF(COUNTIFS($G$2:G672,"+",$W$2:W672,"Да")&gt;1,"&amp; ","")&amp;D672&amp;J672&amp;E672&amp;SUBSTITUTE(L672,"""",""))</f>
        <v>#VALUE!</v>
      </c>
      <c r="Y672" s="4" t="e">
        <f t="shared" si="868"/>
        <v>#VALUE!</v>
      </c>
    </row>
    <row r="673" spans="1:25" x14ac:dyDescent="0.3">
      <c r="A673" s="11"/>
      <c r="B673" s="5" t="str">
        <f t="shared" si="831"/>
        <v/>
      </c>
      <c r="C673" s="5" t="str">
        <f t="shared" si="832"/>
        <v/>
      </c>
      <c r="D673" s="4" t="s">
        <v>10</v>
      </c>
      <c r="E673" s="4" t="s">
        <v>11</v>
      </c>
      <c r="F673" s="4" t="str">
        <f t="shared" si="855"/>
        <v>!!!</v>
      </c>
      <c r="G673" s="4" t="str">
        <f t="shared" si="833"/>
        <v>+</v>
      </c>
      <c r="H673" s="4"/>
      <c r="I673" s="4" t="str">
        <f t="shared" si="856"/>
        <v>!!!</v>
      </c>
      <c r="J673" s="4" t="e">
        <f t="shared" si="857"/>
        <v>#VALUE!</v>
      </c>
      <c r="K673" s="4" t="e">
        <f t="shared" si="858"/>
        <v>#VALUE!</v>
      </c>
      <c r="L673" s="4" t="e">
        <f t="shared" si="859"/>
        <v>#VALUE!</v>
      </c>
      <c r="M673" s="4">
        <f t="shared" si="834"/>
        <v>1000</v>
      </c>
      <c r="N673" s="4">
        <f t="shared" ref="N673:O673" si="876">MIN(IFERROR(FIND(" ",$C673,M673+1),1000))</f>
        <v>1000</v>
      </c>
      <c r="O673" s="4">
        <f t="shared" si="876"/>
        <v>1000</v>
      </c>
      <c r="P673" s="4">
        <f t="shared" si="836"/>
        <v>0</v>
      </c>
      <c r="Q673" s="4" t="str">
        <f t="shared" si="865"/>
        <v/>
      </c>
      <c r="R673" s="4" t="str">
        <f t="shared" si="799"/>
        <v/>
      </c>
      <c r="S673" s="4" t="str">
        <f t="shared" si="871"/>
        <v/>
      </c>
      <c r="T673" s="4" t="e">
        <f t="shared" si="837"/>
        <v>#VALUE!</v>
      </c>
      <c r="U673" s="4" t="e">
        <f t="shared" si="838"/>
        <v>#VALUE!</v>
      </c>
      <c r="V673" s="4" t="b">
        <f t="shared" si="829"/>
        <v>0</v>
      </c>
      <c r="W673" s="13" t="str">
        <f t="shared" si="830"/>
        <v>Да</v>
      </c>
      <c r="X673" s="4" t="e">
        <f>(IF(COUNTIFS($G$2:G673,"+",$W$2:W673,"Да")&gt;1,"&amp; ","")&amp;D673&amp;J673&amp;E673&amp;SUBSTITUTE(L673,"""",""))</f>
        <v>#VALUE!</v>
      </c>
      <c r="Y673" s="4" t="e">
        <f t="shared" si="868"/>
        <v>#VALUE!</v>
      </c>
    </row>
    <row r="674" spans="1:25" x14ac:dyDescent="0.3">
      <c r="A674" s="11"/>
      <c r="B674" s="5" t="str">
        <f t="shared" si="831"/>
        <v/>
      </c>
      <c r="C674" s="5" t="str">
        <f t="shared" si="832"/>
        <v/>
      </c>
      <c r="D674" s="4" t="s">
        <v>10</v>
      </c>
      <c r="E674" s="4" t="s">
        <v>11</v>
      </c>
      <c r="F674" s="4" t="str">
        <f t="shared" si="855"/>
        <v>!!!</v>
      </c>
      <c r="G674" s="4" t="str">
        <f t="shared" si="833"/>
        <v>+</v>
      </c>
      <c r="H674" s="4"/>
      <c r="I674" s="4" t="str">
        <f t="shared" si="856"/>
        <v>!!!</v>
      </c>
      <c r="J674" s="4" t="e">
        <f t="shared" si="857"/>
        <v>#VALUE!</v>
      </c>
      <c r="K674" s="4" t="e">
        <f t="shared" si="858"/>
        <v>#VALUE!</v>
      </c>
      <c r="L674" s="4" t="e">
        <f t="shared" si="859"/>
        <v>#VALUE!</v>
      </c>
      <c r="M674" s="4">
        <f t="shared" si="834"/>
        <v>1000</v>
      </c>
      <c r="N674" s="4">
        <f t="shared" ref="N674:O674" si="877">MIN(IFERROR(FIND(" ",$C674,M674+1),1000))</f>
        <v>1000</v>
      </c>
      <c r="O674" s="4">
        <f t="shared" si="877"/>
        <v>1000</v>
      </c>
      <c r="P674" s="4">
        <f t="shared" si="836"/>
        <v>0</v>
      </c>
      <c r="Q674" s="4" t="str">
        <f t="shared" si="865"/>
        <v/>
      </c>
      <c r="R674" s="4" t="str">
        <f t="shared" si="799"/>
        <v/>
      </c>
      <c r="S674" s="4" t="str">
        <f t="shared" si="871"/>
        <v/>
      </c>
      <c r="T674" s="4" t="e">
        <f t="shared" si="837"/>
        <v>#VALUE!</v>
      </c>
      <c r="U674" s="4" t="e">
        <f t="shared" si="838"/>
        <v>#VALUE!</v>
      </c>
      <c r="V674" s="4" t="b">
        <f t="shared" si="829"/>
        <v>0</v>
      </c>
      <c r="W674" s="13" t="str">
        <f t="shared" si="830"/>
        <v>Да</v>
      </c>
      <c r="X674" s="4" t="e">
        <f>(IF(COUNTIFS($G$2:G674,"+",$W$2:W674,"Да")&gt;1,"&amp; ","")&amp;D674&amp;J674&amp;E674&amp;SUBSTITUTE(L674,"""",""))</f>
        <v>#VALUE!</v>
      </c>
      <c r="Y674" s="4" t="e">
        <f t="shared" si="868"/>
        <v>#VALUE!</v>
      </c>
    </row>
    <row r="675" spans="1:25" x14ac:dyDescent="0.3">
      <c r="A675" s="11"/>
      <c r="B675" s="5" t="str">
        <f t="shared" si="831"/>
        <v/>
      </c>
      <c r="C675" s="5" t="str">
        <f t="shared" si="832"/>
        <v/>
      </c>
      <c r="D675" s="4" t="s">
        <v>10</v>
      </c>
      <c r="E675" s="4" t="s">
        <v>11</v>
      </c>
      <c r="F675" s="4" t="str">
        <f t="shared" si="855"/>
        <v>!!!</v>
      </c>
      <c r="G675" s="4" t="str">
        <f t="shared" si="833"/>
        <v>+</v>
      </c>
      <c r="H675" s="4"/>
      <c r="I675" s="4" t="str">
        <f t="shared" si="856"/>
        <v>!!!</v>
      </c>
      <c r="J675" s="4" t="e">
        <f t="shared" si="857"/>
        <v>#VALUE!</v>
      </c>
      <c r="K675" s="4" t="e">
        <f t="shared" si="858"/>
        <v>#VALUE!</v>
      </c>
      <c r="L675" s="4" t="e">
        <f t="shared" si="859"/>
        <v>#VALUE!</v>
      </c>
      <c r="M675" s="4">
        <f t="shared" si="834"/>
        <v>1000</v>
      </c>
      <c r="N675" s="4">
        <f t="shared" ref="N675:O675" si="878">MIN(IFERROR(FIND(" ",$C675,M675+1),1000))</f>
        <v>1000</v>
      </c>
      <c r="O675" s="4">
        <f t="shared" si="878"/>
        <v>1000</v>
      </c>
      <c r="P675" s="4">
        <f t="shared" si="836"/>
        <v>0</v>
      </c>
      <c r="Q675" s="4" t="str">
        <f t="shared" si="865"/>
        <v/>
      </c>
      <c r="R675" s="4" t="str">
        <f t="shared" si="799"/>
        <v/>
      </c>
      <c r="S675" s="4" t="str">
        <f t="shared" si="871"/>
        <v/>
      </c>
      <c r="T675" s="4" t="e">
        <f t="shared" si="837"/>
        <v>#VALUE!</v>
      </c>
      <c r="U675" s="4" t="e">
        <f t="shared" si="838"/>
        <v>#VALUE!</v>
      </c>
      <c r="V675" s="4" t="b">
        <f t="shared" si="829"/>
        <v>0</v>
      </c>
      <c r="W675" s="13" t="str">
        <f t="shared" si="830"/>
        <v>Да</v>
      </c>
      <c r="X675" s="4" t="e">
        <f>(IF(COUNTIFS($G$2:G675,"+",$W$2:W675,"Да")&gt;1,"&amp; ","")&amp;D675&amp;J675&amp;E675&amp;SUBSTITUTE(L675,"""",""))</f>
        <v>#VALUE!</v>
      </c>
      <c r="Y675" s="4" t="e">
        <f t="shared" si="868"/>
        <v>#VALUE!</v>
      </c>
    </row>
    <row r="676" spans="1:25" x14ac:dyDescent="0.3">
      <c r="A676" s="11"/>
      <c r="B676" s="5" t="str">
        <f t="shared" si="831"/>
        <v/>
      </c>
      <c r="C676" s="5" t="str">
        <f t="shared" si="832"/>
        <v/>
      </c>
      <c r="D676" s="4" t="s">
        <v>10</v>
      </c>
      <c r="E676" s="4" t="s">
        <v>11</v>
      </c>
      <c r="F676" s="4" t="str">
        <f t="shared" si="855"/>
        <v>!!!</v>
      </c>
      <c r="G676" s="4" t="str">
        <f t="shared" si="833"/>
        <v>+</v>
      </c>
      <c r="H676" s="4"/>
      <c r="I676" s="4" t="str">
        <f t="shared" si="856"/>
        <v>!!!</v>
      </c>
      <c r="J676" s="4" t="e">
        <f t="shared" si="857"/>
        <v>#VALUE!</v>
      </c>
      <c r="K676" s="4" t="e">
        <f t="shared" si="858"/>
        <v>#VALUE!</v>
      </c>
      <c r="L676" s="4" t="e">
        <f t="shared" si="859"/>
        <v>#VALUE!</v>
      </c>
      <c r="M676" s="4">
        <f t="shared" si="834"/>
        <v>1000</v>
      </c>
      <c r="N676" s="4">
        <f t="shared" ref="N676:O676" si="879">MIN(IFERROR(FIND(" ",$C676,M676+1),1000))</f>
        <v>1000</v>
      </c>
      <c r="O676" s="4">
        <f t="shared" si="879"/>
        <v>1000</v>
      </c>
      <c r="P676" s="4">
        <f t="shared" si="836"/>
        <v>0</v>
      </c>
      <c r="Q676" s="4" t="str">
        <f t="shared" si="865"/>
        <v/>
      </c>
      <c r="R676" s="4" t="str">
        <f t="shared" si="799"/>
        <v/>
      </c>
      <c r="S676" s="4" t="str">
        <f t="shared" si="871"/>
        <v/>
      </c>
      <c r="T676" s="4" t="e">
        <f t="shared" si="837"/>
        <v>#VALUE!</v>
      </c>
      <c r="U676" s="4" t="e">
        <f t="shared" si="838"/>
        <v>#VALUE!</v>
      </c>
      <c r="V676" s="4" t="b">
        <f t="shared" si="829"/>
        <v>0</v>
      </c>
      <c r="W676" s="13" t="str">
        <f t="shared" si="830"/>
        <v>Да</v>
      </c>
      <c r="X676" s="4" t="e">
        <f>(IF(COUNTIFS($G$2:G676,"+",$W$2:W676,"Да")&gt;1,"&amp; ","")&amp;D676&amp;J676&amp;E676&amp;SUBSTITUTE(L676,"""",""))</f>
        <v>#VALUE!</v>
      </c>
      <c r="Y676" s="4" t="e">
        <f t="shared" si="868"/>
        <v>#VALUE!</v>
      </c>
    </row>
    <row r="677" spans="1:25" x14ac:dyDescent="0.3">
      <c r="A677" s="11"/>
      <c r="B677" s="5" t="str">
        <f t="shared" si="831"/>
        <v/>
      </c>
      <c r="C677" s="5" t="str">
        <f t="shared" si="832"/>
        <v/>
      </c>
      <c r="D677" s="4" t="s">
        <v>10</v>
      </c>
      <c r="E677" s="4" t="s">
        <v>11</v>
      </c>
      <c r="F677" s="4" t="str">
        <f t="shared" si="855"/>
        <v>!!!</v>
      </c>
      <c r="G677" s="4" t="str">
        <f t="shared" si="833"/>
        <v>+</v>
      </c>
      <c r="H677" s="4"/>
      <c r="I677" s="4" t="str">
        <f t="shared" si="856"/>
        <v>!!!</v>
      </c>
      <c r="J677" s="4" t="e">
        <f t="shared" si="857"/>
        <v>#VALUE!</v>
      </c>
      <c r="K677" s="4" t="e">
        <f t="shared" si="858"/>
        <v>#VALUE!</v>
      </c>
      <c r="L677" s="4" t="e">
        <f t="shared" si="859"/>
        <v>#VALUE!</v>
      </c>
      <c r="M677" s="4">
        <f t="shared" si="834"/>
        <v>1000</v>
      </c>
      <c r="N677" s="4">
        <f t="shared" ref="N677:O677" si="880">MIN(IFERROR(FIND(" ",$C677,M677+1),1000))</f>
        <v>1000</v>
      </c>
      <c r="O677" s="4">
        <f t="shared" si="880"/>
        <v>1000</v>
      </c>
      <c r="P677" s="4">
        <f t="shared" si="836"/>
        <v>0</v>
      </c>
      <c r="Q677" s="4" t="str">
        <f t="shared" si="865"/>
        <v/>
      </c>
      <c r="R677" s="4" t="str">
        <f t="shared" ref="R677:R740" si="881">IFERROR(MID(C677,N677+1,O677-N677-1),"")</f>
        <v/>
      </c>
      <c r="S677" s="4" t="str">
        <f t="shared" si="871"/>
        <v/>
      </c>
      <c r="T677" s="4" t="e">
        <f t="shared" si="837"/>
        <v>#VALUE!</v>
      </c>
      <c r="U677" s="4" t="e">
        <f t="shared" si="838"/>
        <v>#VALUE!</v>
      </c>
      <c r="V677" s="4" t="b">
        <f t="shared" si="829"/>
        <v>0</v>
      </c>
      <c r="W677" s="13" t="str">
        <f t="shared" si="830"/>
        <v>Да</v>
      </c>
      <c r="X677" s="4" t="e">
        <f>(IF(COUNTIFS($G$2:G677,"+",$W$2:W677,"Да")&gt;1,"&amp; ","")&amp;D677&amp;J677&amp;E677&amp;SUBSTITUTE(L677,"""",""))</f>
        <v>#VALUE!</v>
      </c>
      <c r="Y677" s="4" t="e">
        <f t="shared" si="868"/>
        <v>#VALUE!</v>
      </c>
    </row>
    <row r="678" spans="1:25" x14ac:dyDescent="0.3">
      <c r="A678" s="11"/>
      <c r="B678" s="5" t="str">
        <f t="shared" si="831"/>
        <v/>
      </c>
      <c r="C678" s="5" t="str">
        <f t="shared" si="832"/>
        <v/>
      </c>
      <c r="D678" s="4" t="s">
        <v>10</v>
      </c>
      <c r="E678" s="4" t="s">
        <v>11</v>
      </c>
      <c r="F678" s="4" t="str">
        <f t="shared" si="855"/>
        <v>!!!</v>
      </c>
      <c r="G678" s="4" t="str">
        <f t="shared" si="833"/>
        <v>+</v>
      </c>
      <c r="H678" s="4"/>
      <c r="I678" s="4" t="str">
        <f t="shared" si="856"/>
        <v>!!!</v>
      </c>
      <c r="J678" s="4" t="e">
        <f t="shared" si="857"/>
        <v>#VALUE!</v>
      </c>
      <c r="K678" s="4" t="e">
        <f t="shared" si="858"/>
        <v>#VALUE!</v>
      </c>
      <c r="L678" s="4" t="e">
        <f t="shared" si="859"/>
        <v>#VALUE!</v>
      </c>
      <c r="M678" s="4">
        <f t="shared" si="834"/>
        <v>1000</v>
      </c>
      <c r="N678" s="4">
        <f t="shared" ref="N678:O678" si="882">MIN(IFERROR(FIND(" ",$C678,M678+1),1000))</f>
        <v>1000</v>
      </c>
      <c r="O678" s="4">
        <f t="shared" si="882"/>
        <v>1000</v>
      </c>
      <c r="P678" s="4">
        <f t="shared" si="836"/>
        <v>0</v>
      </c>
      <c r="Q678" s="4" t="str">
        <f t="shared" si="865"/>
        <v/>
      </c>
      <c r="R678" s="4" t="str">
        <f t="shared" si="881"/>
        <v/>
      </c>
      <c r="S678" s="4" t="str">
        <f t="shared" si="871"/>
        <v/>
      </c>
      <c r="T678" s="4" t="e">
        <f t="shared" si="837"/>
        <v>#VALUE!</v>
      </c>
      <c r="U678" s="4" t="e">
        <f t="shared" si="838"/>
        <v>#VALUE!</v>
      </c>
      <c r="V678" s="4" t="b">
        <f t="shared" si="829"/>
        <v>0</v>
      </c>
      <c r="W678" s="13" t="str">
        <f t="shared" si="830"/>
        <v>Да</v>
      </c>
      <c r="X678" s="4" t="e">
        <f>(IF(COUNTIFS($G$2:G678,"+",$W$2:W678,"Да")&gt;1,"&amp; ","")&amp;D678&amp;J678&amp;E678&amp;SUBSTITUTE(L678,"""",""))</f>
        <v>#VALUE!</v>
      </c>
      <c r="Y678" s="4" t="e">
        <f t="shared" si="868"/>
        <v>#VALUE!</v>
      </c>
    </row>
    <row r="679" spans="1:25" x14ac:dyDescent="0.3">
      <c r="A679" s="11"/>
      <c r="B679" s="5" t="str">
        <f t="shared" si="831"/>
        <v/>
      </c>
      <c r="C679" s="5" t="str">
        <f t="shared" si="832"/>
        <v/>
      </c>
      <c r="D679" s="4" t="s">
        <v>10</v>
      </c>
      <c r="E679" s="4" t="s">
        <v>11</v>
      </c>
      <c r="F679" s="4" t="str">
        <f t="shared" si="855"/>
        <v>!!!</v>
      </c>
      <c r="G679" s="4" t="str">
        <f t="shared" si="833"/>
        <v>+</v>
      </c>
      <c r="H679" s="4"/>
      <c r="I679" s="4" t="str">
        <f t="shared" si="856"/>
        <v>!!!</v>
      </c>
      <c r="J679" s="4" t="e">
        <f t="shared" si="857"/>
        <v>#VALUE!</v>
      </c>
      <c r="K679" s="4" t="e">
        <f t="shared" si="858"/>
        <v>#VALUE!</v>
      </c>
      <c r="L679" s="4" t="e">
        <f t="shared" si="859"/>
        <v>#VALUE!</v>
      </c>
      <c r="M679" s="4">
        <f t="shared" si="834"/>
        <v>1000</v>
      </c>
      <c r="N679" s="4">
        <f t="shared" ref="N679:O679" si="883">MIN(IFERROR(FIND(" ",$C679,M679+1),1000))</f>
        <v>1000</v>
      </c>
      <c r="O679" s="4">
        <f t="shared" si="883"/>
        <v>1000</v>
      </c>
      <c r="P679" s="4">
        <f t="shared" si="836"/>
        <v>0</v>
      </c>
      <c r="Q679" s="4" t="str">
        <f t="shared" si="865"/>
        <v/>
      </c>
      <c r="R679" s="4" t="str">
        <f t="shared" si="881"/>
        <v/>
      </c>
      <c r="S679" s="4" t="str">
        <f t="shared" si="871"/>
        <v/>
      </c>
      <c r="T679" s="4" t="e">
        <f t="shared" si="837"/>
        <v>#VALUE!</v>
      </c>
      <c r="U679" s="4" t="e">
        <f t="shared" si="838"/>
        <v>#VALUE!</v>
      </c>
      <c r="V679" s="4" t="b">
        <f t="shared" si="829"/>
        <v>0</v>
      </c>
      <c r="W679" s="13" t="str">
        <f t="shared" si="830"/>
        <v>Да</v>
      </c>
      <c r="X679" s="4" t="e">
        <f>(IF(COUNTIFS($G$2:G679,"+",$W$2:W679,"Да")&gt;1,"&amp; ","")&amp;D679&amp;J679&amp;E679&amp;SUBSTITUTE(L679,"""",""))</f>
        <v>#VALUE!</v>
      </c>
      <c r="Y679" s="4" t="e">
        <f t="shared" si="868"/>
        <v>#VALUE!</v>
      </c>
    </row>
    <row r="680" spans="1:25" x14ac:dyDescent="0.3">
      <c r="A680" s="11"/>
      <c r="B680" s="5" t="str">
        <f t="shared" si="831"/>
        <v/>
      </c>
      <c r="C680" s="5" t="str">
        <f t="shared" si="832"/>
        <v/>
      </c>
      <c r="D680" s="4" t="s">
        <v>10</v>
      </c>
      <c r="E680" s="4" t="s">
        <v>11</v>
      </c>
      <c r="F680" s="4" t="str">
        <f t="shared" si="855"/>
        <v>!!!</v>
      </c>
      <c r="G680" s="4" t="str">
        <f t="shared" si="833"/>
        <v>+</v>
      </c>
      <c r="H680" s="4"/>
      <c r="I680" s="4" t="str">
        <f t="shared" si="856"/>
        <v>!!!</v>
      </c>
      <c r="J680" s="4" t="e">
        <f t="shared" si="857"/>
        <v>#VALUE!</v>
      </c>
      <c r="K680" s="4" t="e">
        <f t="shared" si="858"/>
        <v>#VALUE!</v>
      </c>
      <c r="L680" s="4" t="e">
        <f t="shared" si="859"/>
        <v>#VALUE!</v>
      </c>
      <c r="M680" s="4">
        <f t="shared" si="834"/>
        <v>1000</v>
      </c>
      <c r="N680" s="4">
        <f t="shared" ref="N680:O680" si="884">MIN(IFERROR(FIND(" ",$C680,M680+1),1000))</f>
        <v>1000</v>
      </c>
      <c r="O680" s="4">
        <f t="shared" si="884"/>
        <v>1000</v>
      </c>
      <c r="P680" s="4">
        <f t="shared" si="836"/>
        <v>0</v>
      </c>
      <c r="Q680" s="4" t="str">
        <f t="shared" si="865"/>
        <v/>
      </c>
      <c r="R680" s="4" t="str">
        <f t="shared" si="881"/>
        <v/>
      </c>
      <c r="S680" s="4" t="str">
        <f t="shared" si="871"/>
        <v/>
      </c>
      <c r="T680" s="4" t="e">
        <f t="shared" si="837"/>
        <v>#VALUE!</v>
      </c>
      <c r="U680" s="4" t="e">
        <f t="shared" si="838"/>
        <v>#VALUE!</v>
      </c>
      <c r="V680" s="4" t="b">
        <f t="shared" si="829"/>
        <v>0</v>
      </c>
      <c r="W680" s="13" t="str">
        <f t="shared" si="830"/>
        <v>Да</v>
      </c>
      <c r="X680" s="4" t="e">
        <f>(IF(COUNTIFS($G$2:G680,"+",$W$2:W680,"Да")&gt;1,"&amp; ","")&amp;D680&amp;J680&amp;E680&amp;SUBSTITUTE(L680,"""",""))</f>
        <v>#VALUE!</v>
      </c>
      <c r="Y680" s="4" t="e">
        <f t="shared" si="868"/>
        <v>#VALUE!</v>
      </c>
    </row>
    <row r="681" spans="1:25" x14ac:dyDescent="0.3">
      <c r="A681" s="11"/>
      <c r="B681" s="5" t="str">
        <f t="shared" si="831"/>
        <v/>
      </c>
      <c r="C681" s="5" t="str">
        <f t="shared" si="832"/>
        <v/>
      </c>
      <c r="D681" s="4" t="s">
        <v>10</v>
      </c>
      <c r="E681" s="4" t="s">
        <v>11</v>
      </c>
      <c r="F681" s="4" t="str">
        <f t="shared" si="855"/>
        <v>!!!</v>
      </c>
      <c r="G681" s="4" t="str">
        <f t="shared" si="833"/>
        <v>+</v>
      </c>
      <c r="H681" s="4"/>
      <c r="I681" s="4" t="str">
        <f t="shared" si="856"/>
        <v>!!!</v>
      </c>
      <c r="J681" s="4" t="e">
        <f t="shared" si="857"/>
        <v>#VALUE!</v>
      </c>
      <c r="K681" s="4" t="e">
        <f t="shared" si="858"/>
        <v>#VALUE!</v>
      </c>
      <c r="L681" s="4" t="e">
        <f t="shared" si="859"/>
        <v>#VALUE!</v>
      </c>
      <c r="M681" s="4">
        <f t="shared" si="834"/>
        <v>1000</v>
      </c>
      <c r="N681" s="4">
        <f t="shared" ref="N681:O681" si="885">MIN(IFERROR(FIND(" ",$C681,M681+1),1000))</f>
        <v>1000</v>
      </c>
      <c r="O681" s="4">
        <f t="shared" si="885"/>
        <v>1000</v>
      </c>
      <c r="P681" s="4">
        <f t="shared" si="836"/>
        <v>0</v>
      </c>
      <c r="Q681" s="4" t="str">
        <f t="shared" si="865"/>
        <v/>
      </c>
      <c r="R681" s="4" t="str">
        <f t="shared" si="881"/>
        <v/>
      </c>
      <c r="S681" s="4" t="str">
        <f t="shared" si="871"/>
        <v/>
      </c>
      <c r="T681" s="4" t="e">
        <f t="shared" si="837"/>
        <v>#VALUE!</v>
      </c>
      <c r="U681" s="4" t="e">
        <f t="shared" si="838"/>
        <v>#VALUE!</v>
      </c>
      <c r="V681" s="4" t="b">
        <f t="shared" si="829"/>
        <v>0</v>
      </c>
      <c r="W681" s="13" t="str">
        <f t="shared" si="830"/>
        <v>Да</v>
      </c>
      <c r="X681" s="4" t="e">
        <f>(IF(COUNTIFS($G$2:G681,"+",$W$2:W681,"Да")&gt;1,"&amp; ","")&amp;D681&amp;J681&amp;E681&amp;SUBSTITUTE(L681,"""",""))</f>
        <v>#VALUE!</v>
      </c>
      <c r="Y681" s="4" t="e">
        <f t="shared" si="868"/>
        <v>#VALUE!</v>
      </c>
    </row>
    <row r="682" spans="1:25" x14ac:dyDescent="0.3">
      <c r="A682" s="11"/>
      <c r="B682" s="5" t="str">
        <f t="shared" si="831"/>
        <v/>
      </c>
      <c r="C682" s="5" t="str">
        <f t="shared" si="832"/>
        <v/>
      </c>
      <c r="D682" s="4" t="s">
        <v>10</v>
      </c>
      <c r="E682" s="4" t="s">
        <v>11</v>
      </c>
      <c r="F682" s="4" t="str">
        <f t="shared" si="855"/>
        <v>!!!</v>
      </c>
      <c r="G682" s="4" t="str">
        <f t="shared" si="833"/>
        <v>+</v>
      </c>
      <c r="H682" s="4"/>
      <c r="I682" s="4" t="str">
        <f t="shared" si="856"/>
        <v>!!!</v>
      </c>
      <c r="J682" s="4" t="e">
        <f t="shared" si="857"/>
        <v>#VALUE!</v>
      </c>
      <c r="K682" s="4" t="e">
        <f t="shared" si="858"/>
        <v>#VALUE!</v>
      </c>
      <c r="L682" s="4" t="e">
        <f t="shared" si="859"/>
        <v>#VALUE!</v>
      </c>
      <c r="M682" s="4">
        <f t="shared" si="834"/>
        <v>1000</v>
      </c>
      <c r="N682" s="4">
        <f t="shared" ref="N682:O682" si="886">MIN(IFERROR(FIND(" ",$C682,M682+1),1000))</f>
        <v>1000</v>
      </c>
      <c r="O682" s="4">
        <f t="shared" si="886"/>
        <v>1000</v>
      </c>
      <c r="P682" s="4">
        <f t="shared" si="836"/>
        <v>0</v>
      </c>
      <c r="Q682" s="4" t="str">
        <f t="shared" si="865"/>
        <v/>
      </c>
      <c r="R682" s="4" t="str">
        <f t="shared" si="881"/>
        <v/>
      </c>
      <c r="S682" s="4" t="str">
        <f t="shared" si="871"/>
        <v/>
      </c>
      <c r="T682" s="4" t="e">
        <f t="shared" si="837"/>
        <v>#VALUE!</v>
      </c>
      <c r="U682" s="4" t="e">
        <f t="shared" si="838"/>
        <v>#VALUE!</v>
      </c>
      <c r="V682" s="4" t="b">
        <f t="shared" si="829"/>
        <v>0</v>
      </c>
      <c r="W682" s="13" t="str">
        <f t="shared" si="830"/>
        <v>Да</v>
      </c>
      <c r="X682" s="4" t="e">
        <f>(IF(COUNTIFS($G$2:G682,"+",$W$2:W682,"Да")&gt;1,"&amp; ","")&amp;D682&amp;J682&amp;E682&amp;SUBSTITUTE(L682,"""",""))</f>
        <v>#VALUE!</v>
      </c>
      <c r="Y682" s="4" t="e">
        <f t="shared" si="868"/>
        <v>#VALUE!</v>
      </c>
    </row>
    <row r="683" spans="1:25" x14ac:dyDescent="0.3">
      <c r="A683" s="11"/>
      <c r="B683" s="5" t="str">
        <f t="shared" si="831"/>
        <v/>
      </c>
      <c r="C683" s="5" t="str">
        <f t="shared" si="832"/>
        <v/>
      </c>
      <c r="D683" s="4" t="s">
        <v>10</v>
      </c>
      <c r="E683" s="4" t="s">
        <v>11</v>
      </c>
      <c r="F683" s="4" t="str">
        <f t="shared" si="855"/>
        <v>!!!</v>
      </c>
      <c r="G683" s="4" t="str">
        <f t="shared" si="833"/>
        <v>+</v>
      </c>
      <c r="H683" s="4"/>
      <c r="I683" s="4" t="str">
        <f t="shared" si="856"/>
        <v>!!!</v>
      </c>
      <c r="J683" s="4" t="e">
        <f t="shared" si="857"/>
        <v>#VALUE!</v>
      </c>
      <c r="K683" s="4" t="e">
        <f t="shared" si="858"/>
        <v>#VALUE!</v>
      </c>
      <c r="L683" s="4" t="e">
        <f t="shared" si="859"/>
        <v>#VALUE!</v>
      </c>
      <c r="M683" s="4">
        <f t="shared" si="834"/>
        <v>1000</v>
      </c>
      <c r="N683" s="4">
        <f t="shared" ref="N683:O683" si="887">MIN(IFERROR(FIND(" ",$C683,M683+1),1000))</f>
        <v>1000</v>
      </c>
      <c r="O683" s="4">
        <f t="shared" si="887"/>
        <v>1000</v>
      </c>
      <c r="P683" s="4">
        <f t="shared" si="836"/>
        <v>0</v>
      </c>
      <c r="Q683" s="4" t="str">
        <f t="shared" si="865"/>
        <v/>
      </c>
      <c r="R683" s="4" t="str">
        <f t="shared" si="881"/>
        <v/>
      </c>
      <c r="S683" s="4" t="str">
        <f t="shared" si="871"/>
        <v/>
      </c>
      <c r="T683" s="4" t="e">
        <f t="shared" si="837"/>
        <v>#VALUE!</v>
      </c>
      <c r="U683" s="4" t="e">
        <f t="shared" si="838"/>
        <v>#VALUE!</v>
      </c>
      <c r="V683" s="4" t="b">
        <f t="shared" si="829"/>
        <v>0</v>
      </c>
      <c r="W683" s="13" t="str">
        <f t="shared" si="830"/>
        <v>Да</v>
      </c>
      <c r="X683" s="4" t="e">
        <f>(IF(COUNTIFS($G$2:G683,"+",$W$2:W683,"Да")&gt;1,"&amp; ","")&amp;D683&amp;J683&amp;E683&amp;SUBSTITUTE(L683,"""",""))</f>
        <v>#VALUE!</v>
      </c>
      <c r="Y683" s="4" t="e">
        <f t="shared" si="868"/>
        <v>#VALUE!</v>
      </c>
    </row>
    <row r="684" spans="1:25" x14ac:dyDescent="0.3">
      <c r="A684" s="11"/>
      <c r="B684" s="5" t="str">
        <f t="shared" si="831"/>
        <v/>
      </c>
      <c r="C684" s="5" t="str">
        <f t="shared" si="832"/>
        <v/>
      </c>
      <c r="D684" s="4" t="s">
        <v>10</v>
      </c>
      <c r="E684" s="4" t="s">
        <v>11</v>
      </c>
      <c r="F684" s="4" t="str">
        <f t="shared" si="855"/>
        <v>!!!</v>
      </c>
      <c r="G684" s="4" t="str">
        <f t="shared" si="833"/>
        <v>+</v>
      </c>
      <c r="H684" s="4"/>
      <c r="I684" s="4" t="str">
        <f t="shared" si="856"/>
        <v>!!!</v>
      </c>
      <c r="J684" s="4" t="e">
        <f t="shared" si="857"/>
        <v>#VALUE!</v>
      </c>
      <c r="K684" s="4" t="e">
        <f t="shared" si="858"/>
        <v>#VALUE!</v>
      </c>
      <c r="L684" s="4" t="e">
        <f t="shared" si="859"/>
        <v>#VALUE!</v>
      </c>
      <c r="M684" s="4">
        <f t="shared" si="834"/>
        <v>1000</v>
      </c>
      <c r="N684" s="4">
        <f t="shared" ref="N684:O684" si="888">MIN(IFERROR(FIND(" ",$C684,M684+1),1000))</f>
        <v>1000</v>
      </c>
      <c r="O684" s="4">
        <f t="shared" si="888"/>
        <v>1000</v>
      </c>
      <c r="P684" s="4">
        <f t="shared" si="836"/>
        <v>0</v>
      </c>
      <c r="Q684" s="4" t="str">
        <f t="shared" si="865"/>
        <v/>
      </c>
      <c r="R684" s="4" t="str">
        <f t="shared" si="881"/>
        <v/>
      </c>
      <c r="S684" s="4" t="str">
        <f t="shared" si="871"/>
        <v/>
      </c>
      <c r="T684" s="4" t="e">
        <f t="shared" si="837"/>
        <v>#VALUE!</v>
      </c>
      <c r="U684" s="4" t="e">
        <f t="shared" si="838"/>
        <v>#VALUE!</v>
      </c>
      <c r="V684" s="4" t="b">
        <f t="shared" si="829"/>
        <v>0</v>
      </c>
      <c r="W684" s="13" t="str">
        <f t="shared" si="830"/>
        <v>Да</v>
      </c>
      <c r="X684" s="4" t="e">
        <f>(IF(COUNTIFS($G$2:G684,"+",$W$2:W684,"Да")&gt;1,"&amp; ","")&amp;D684&amp;J684&amp;E684&amp;SUBSTITUTE(L684,"""",""))</f>
        <v>#VALUE!</v>
      </c>
      <c r="Y684" s="4" t="e">
        <f t="shared" si="868"/>
        <v>#VALUE!</v>
      </c>
    </row>
    <row r="685" spans="1:25" x14ac:dyDescent="0.3">
      <c r="A685" s="11"/>
      <c r="B685" s="5" t="str">
        <f t="shared" si="831"/>
        <v/>
      </c>
      <c r="C685" s="5" t="str">
        <f t="shared" si="832"/>
        <v/>
      </c>
      <c r="D685" s="4" t="s">
        <v>10</v>
      </c>
      <c r="E685" s="4" t="s">
        <v>11</v>
      </c>
      <c r="F685" s="4" t="str">
        <f t="shared" si="855"/>
        <v>!!!</v>
      </c>
      <c r="G685" s="4" t="str">
        <f t="shared" si="833"/>
        <v>+</v>
      </c>
      <c r="H685" s="4"/>
      <c r="I685" s="4" t="str">
        <f t="shared" si="856"/>
        <v>!!!</v>
      </c>
      <c r="J685" s="4" t="e">
        <f t="shared" si="857"/>
        <v>#VALUE!</v>
      </c>
      <c r="K685" s="4" t="e">
        <f t="shared" si="858"/>
        <v>#VALUE!</v>
      </c>
      <c r="L685" s="4" t="e">
        <f t="shared" si="859"/>
        <v>#VALUE!</v>
      </c>
      <c r="M685" s="4">
        <f t="shared" si="834"/>
        <v>1000</v>
      </c>
      <c r="N685" s="4">
        <f t="shared" ref="N685:O685" si="889">MIN(IFERROR(FIND(" ",$C685,M685+1),1000))</f>
        <v>1000</v>
      </c>
      <c r="O685" s="4">
        <f t="shared" si="889"/>
        <v>1000</v>
      </c>
      <c r="P685" s="4">
        <f t="shared" si="836"/>
        <v>0</v>
      </c>
      <c r="Q685" s="4" t="str">
        <f t="shared" si="865"/>
        <v/>
      </c>
      <c r="R685" s="4" t="str">
        <f t="shared" si="881"/>
        <v/>
      </c>
      <c r="S685" s="4" t="str">
        <f t="shared" si="871"/>
        <v/>
      </c>
      <c r="T685" s="4" t="e">
        <f t="shared" si="837"/>
        <v>#VALUE!</v>
      </c>
      <c r="U685" s="4" t="e">
        <f t="shared" si="838"/>
        <v>#VALUE!</v>
      </c>
      <c r="V685" s="4" t="b">
        <f t="shared" si="829"/>
        <v>0</v>
      </c>
      <c r="W685" s="13" t="str">
        <f t="shared" si="830"/>
        <v>Да</v>
      </c>
      <c r="X685" s="4" t="e">
        <f>(IF(COUNTIFS($G$2:G685,"+",$W$2:W685,"Да")&gt;1,"&amp; ","")&amp;D685&amp;J685&amp;E685&amp;SUBSTITUTE(L685,"""",""))</f>
        <v>#VALUE!</v>
      </c>
      <c r="Y685" s="4" t="e">
        <f t="shared" si="868"/>
        <v>#VALUE!</v>
      </c>
    </row>
    <row r="686" spans="1:25" x14ac:dyDescent="0.3">
      <c r="A686" s="11"/>
      <c r="B686" s="5" t="str">
        <f t="shared" si="831"/>
        <v/>
      </c>
      <c r="C686" s="5" t="str">
        <f t="shared" si="832"/>
        <v/>
      </c>
      <c r="D686" s="4" t="s">
        <v>10</v>
      </c>
      <c r="E686" s="4" t="s">
        <v>11</v>
      </c>
      <c r="F686" s="4" t="str">
        <f t="shared" si="855"/>
        <v>!!!</v>
      </c>
      <c r="G686" s="4" t="str">
        <f t="shared" si="833"/>
        <v>+</v>
      </c>
      <c r="H686" s="4"/>
      <c r="I686" s="4" t="str">
        <f t="shared" si="856"/>
        <v>!!!</v>
      </c>
      <c r="J686" s="4" t="e">
        <f t="shared" si="857"/>
        <v>#VALUE!</v>
      </c>
      <c r="K686" s="4" t="e">
        <f t="shared" si="858"/>
        <v>#VALUE!</v>
      </c>
      <c r="L686" s="4" t="e">
        <f t="shared" si="859"/>
        <v>#VALUE!</v>
      </c>
      <c r="M686" s="4">
        <f t="shared" si="834"/>
        <v>1000</v>
      </c>
      <c r="N686" s="4">
        <f t="shared" ref="N686:O686" si="890">MIN(IFERROR(FIND(" ",$C686,M686+1),1000))</f>
        <v>1000</v>
      </c>
      <c r="O686" s="4">
        <f t="shared" si="890"/>
        <v>1000</v>
      </c>
      <c r="P686" s="4">
        <f t="shared" si="836"/>
        <v>0</v>
      </c>
      <c r="Q686" s="4" t="str">
        <f t="shared" si="865"/>
        <v/>
      </c>
      <c r="R686" s="4" t="str">
        <f t="shared" si="881"/>
        <v/>
      </c>
      <c r="S686" s="4" t="str">
        <f t="shared" si="871"/>
        <v/>
      </c>
      <c r="T686" s="4" t="e">
        <f t="shared" si="837"/>
        <v>#VALUE!</v>
      </c>
      <c r="U686" s="4" t="e">
        <f t="shared" si="838"/>
        <v>#VALUE!</v>
      </c>
      <c r="V686" s="4" t="b">
        <f t="shared" si="829"/>
        <v>0</v>
      </c>
      <c r="W686" s="13" t="str">
        <f t="shared" si="830"/>
        <v>Да</v>
      </c>
      <c r="X686" s="4" t="e">
        <f>(IF(COUNTIFS($G$2:G686,"+",$W$2:W686,"Да")&gt;1,"&amp; ","")&amp;D686&amp;J686&amp;E686&amp;SUBSTITUTE(L686,"""",""))</f>
        <v>#VALUE!</v>
      </c>
      <c r="Y686" s="4" t="e">
        <f t="shared" si="868"/>
        <v>#VALUE!</v>
      </c>
    </row>
    <row r="687" spans="1:25" x14ac:dyDescent="0.3">
      <c r="A687" s="11"/>
      <c r="B687" s="5" t="str">
        <f t="shared" si="831"/>
        <v/>
      </c>
      <c r="C687" s="5" t="str">
        <f t="shared" si="832"/>
        <v/>
      </c>
      <c r="D687" s="4" t="s">
        <v>10</v>
      </c>
      <c r="E687" s="4" t="s">
        <v>11</v>
      </c>
      <c r="F687" s="4" t="str">
        <f t="shared" si="855"/>
        <v>!!!</v>
      </c>
      <c r="G687" s="4" t="str">
        <f t="shared" si="833"/>
        <v>+</v>
      </c>
      <c r="H687" s="4"/>
      <c r="I687" s="4" t="str">
        <f t="shared" si="856"/>
        <v>!!!</v>
      </c>
      <c r="J687" s="4" t="e">
        <f t="shared" si="857"/>
        <v>#VALUE!</v>
      </c>
      <c r="K687" s="4" t="e">
        <f t="shared" si="858"/>
        <v>#VALUE!</v>
      </c>
      <c r="L687" s="4" t="e">
        <f t="shared" si="859"/>
        <v>#VALUE!</v>
      </c>
      <c r="M687" s="4">
        <f t="shared" si="834"/>
        <v>1000</v>
      </c>
      <c r="N687" s="4">
        <f t="shared" ref="N687:O687" si="891">MIN(IFERROR(FIND(" ",$C687,M687+1),1000))</f>
        <v>1000</v>
      </c>
      <c r="O687" s="4">
        <f t="shared" si="891"/>
        <v>1000</v>
      </c>
      <c r="P687" s="4">
        <f t="shared" si="836"/>
        <v>0</v>
      </c>
      <c r="Q687" s="4" t="str">
        <f t="shared" si="865"/>
        <v/>
      </c>
      <c r="R687" s="4" t="str">
        <f t="shared" si="881"/>
        <v/>
      </c>
      <c r="S687" s="4" t="str">
        <f t="shared" si="871"/>
        <v/>
      </c>
      <c r="T687" s="4" t="e">
        <f t="shared" si="837"/>
        <v>#VALUE!</v>
      </c>
      <c r="U687" s="4" t="e">
        <f t="shared" si="838"/>
        <v>#VALUE!</v>
      </c>
      <c r="V687" s="4" t="b">
        <f t="shared" si="829"/>
        <v>0</v>
      </c>
      <c r="W687" s="13" t="str">
        <f t="shared" si="830"/>
        <v>Да</v>
      </c>
      <c r="X687" s="4" t="e">
        <f>(IF(COUNTIFS($G$2:G687,"+",$W$2:W687,"Да")&gt;1,"&amp; ","")&amp;D687&amp;J687&amp;E687&amp;SUBSTITUTE(L687,"""",""))</f>
        <v>#VALUE!</v>
      </c>
      <c r="Y687" s="4" t="e">
        <f t="shared" si="868"/>
        <v>#VALUE!</v>
      </c>
    </row>
    <row r="688" spans="1:25" x14ac:dyDescent="0.3">
      <c r="A688" s="11"/>
      <c r="B688" s="5" t="str">
        <f t="shared" si="831"/>
        <v/>
      </c>
      <c r="C688" s="5" t="str">
        <f t="shared" si="832"/>
        <v/>
      </c>
      <c r="D688" s="4" t="s">
        <v>10</v>
      </c>
      <c r="E688" s="4" t="s">
        <v>11</v>
      </c>
      <c r="F688" s="4" t="str">
        <f t="shared" si="855"/>
        <v>!!!</v>
      </c>
      <c r="G688" s="4" t="str">
        <f t="shared" si="833"/>
        <v>+</v>
      </c>
      <c r="H688" s="4"/>
      <c r="I688" s="4" t="str">
        <f t="shared" si="856"/>
        <v>!!!</v>
      </c>
      <c r="J688" s="4" t="e">
        <f t="shared" si="857"/>
        <v>#VALUE!</v>
      </c>
      <c r="K688" s="4" t="e">
        <f t="shared" si="858"/>
        <v>#VALUE!</v>
      </c>
      <c r="L688" s="4" t="e">
        <f t="shared" si="859"/>
        <v>#VALUE!</v>
      </c>
      <c r="M688" s="4">
        <f t="shared" si="834"/>
        <v>1000</v>
      </c>
      <c r="N688" s="4">
        <f t="shared" ref="N688:O688" si="892">MIN(IFERROR(FIND(" ",$C688,M688+1),1000))</f>
        <v>1000</v>
      </c>
      <c r="O688" s="4">
        <f t="shared" si="892"/>
        <v>1000</v>
      </c>
      <c r="P688" s="4">
        <f t="shared" si="836"/>
        <v>0</v>
      </c>
      <c r="Q688" s="4" t="str">
        <f t="shared" si="865"/>
        <v/>
      </c>
      <c r="R688" s="4" t="str">
        <f t="shared" si="881"/>
        <v/>
      </c>
      <c r="S688" s="4" t="str">
        <f t="shared" si="871"/>
        <v/>
      </c>
      <c r="T688" s="4" t="e">
        <f t="shared" si="837"/>
        <v>#VALUE!</v>
      </c>
      <c r="U688" s="4" t="e">
        <f t="shared" si="838"/>
        <v>#VALUE!</v>
      </c>
      <c r="V688" s="4" t="b">
        <f t="shared" si="829"/>
        <v>0</v>
      </c>
      <c r="W688" s="13" t="str">
        <f t="shared" si="830"/>
        <v>Да</v>
      </c>
      <c r="X688" s="4" t="e">
        <f>(IF(COUNTIFS($G$2:G688,"+",$W$2:W688,"Да")&gt;1,"&amp; ","")&amp;D688&amp;J688&amp;E688&amp;SUBSTITUTE(L688,"""",""))</f>
        <v>#VALUE!</v>
      </c>
      <c r="Y688" s="4" t="e">
        <f t="shared" si="868"/>
        <v>#VALUE!</v>
      </c>
    </row>
    <row r="689" spans="1:25" x14ac:dyDescent="0.3">
      <c r="A689" s="11"/>
      <c r="B689" s="5" t="str">
        <f t="shared" si="831"/>
        <v/>
      </c>
      <c r="C689" s="5" t="str">
        <f t="shared" si="832"/>
        <v/>
      </c>
      <c r="D689" s="4" t="s">
        <v>10</v>
      </c>
      <c r="E689" s="4" t="s">
        <v>11</v>
      </c>
      <c r="F689" s="4" t="str">
        <f t="shared" si="855"/>
        <v>!!!</v>
      </c>
      <c r="G689" s="4" t="str">
        <f t="shared" si="833"/>
        <v>+</v>
      </c>
      <c r="H689" s="4"/>
      <c r="I689" s="4" t="str">
        <f t="shared" si="856"/>
        <v>!!!</v>
      </c>
      <c r="J689" s="4" t="e">
        <f t="shared" si="857"/>
        <v>#VALUE!</v>
      </c>
      <c r="K689" s="4" t="e">
        <f t="shared" si="858"/>
        <v>#VALUE!</v>
      </c>
      <c r="L689" s="4" t="e">
        <f t="shared" si="859"/>
        <v>#VALUE!</v>
      </c>
      <c r="M689" s="4">
        <f t="shared" si="834"/>
        <v>1000</v>
      </c>
      <c r="N689" s="4">
        <f t="shared" ref="N689:O689" si="893">MIN(IFERROR(FIND(" ",$C689,M689+1),1000))</f>
        <v>1000</v>
      </c>
      <c r="O689" s="4">
        <f t="shared" si="893"/>
        <v>1000</v>
      </c>
      <c r="P689" s="4">
        <f t="shared" si="836"/>
        <v>0</v>
      </c>
      <c r="Q689" s="4" t="str">
        <f t="shared" si="865"/>
        <v/>
      </c>
      <c r="R689" s="4" t="str">
        <f t="shared" si="881"/>
        <v/>
      </c>
      <c r="S689" s="4" t="str">
        <f t="shared" si="871"/>
        <v/>
      </c>
      <c r="T689" s="4" t="e">
        <f t="shared" si="837"/>
        <v>#VALUE!</v>
      </c>
      <c r="U689" s="4" t="e">
        <f t="shared" si="838"/>
        <v>#VALUE!</v>
      </c>
      <c r="V689" s="4" t="b">
        <f t="shared" si="829"/>
        <v>0</v>
      </c>
      <c r="W689" s="13" t="str">
        <f t="shared" si="830"/>
        <v>Да</v>
      </c>
      <c r="X689" s="4" t="e">
        <f>(IF(COUNTIFS($G$2:G689,"+",$W$2:W689,"Да")&gt;1,"&amp; ","")&amp;D689&amp;J689&amp;E689&amp;SUBSTITUTE(L689,"""",""))</f>
        <v>#VALUE!</v>
      </c>
      <c r="Y689" s="4" t="e">
        <f t="shared" si="868"/>
        <v>#VALUE!</v>
      </c>
    </row>
    <row r="690" spans="1:25" x14ac:dyDescent="0.3">
      <c r="A690" s="11"/>
      <c r="B690" s="5" t="str">
        <f t="shared" si="831"/>
        <v/>
      </c>
      <c r="C690" s="5" t="str">
        <f t="shared" si="832"/>
        <v/>
      </c>
      <c r="D690" s="4" t="s">
        <v>10</v>
      </c>
      <c r="E690" s="4" t="s">
        <v>11</v>
      </c>
      <c r="F690" s="4" t="str">
        <f t="shared" si="855"/>
        <v>!!!</v>
      </c>
      <c r="G690" s="4" t="str">
        <f t="shared" si="833"/>
        <v>+</v>
      </c>
      <c r="H690" s="4"/>
      <c r="I690" s="4" t="str">
        <f t="shared" si="856"/>
        <v>!!!</v>
      </c>
      <c r="J690" s="4" t="e">
        <f t="shared" si="857"/>
        <v>#VALUE!</v>
      </c>
      <c r="K690" s="4" t="e">
        <f t="shared" si="858"/>
        <v>#VALUE!</v>
      </c>
      <c r="L690" s="4" t="e">
        <f t="shared" si="859"/>
        <v>#VALUE!</v>
      </c>
      <c r="M690" s="4">
        <f t="shared" si="834"/>
        <v>1000</v>
      </c>
      <c r="N690" s="4">
        <f t="shared" ref="N690:O690" si="894">MIN(IFERROR(FIND(" ",$C690,M690+1),1000))</f>
        <v>1000</v>
      </c>
      <c r="O690" s="4">
        <f t="shared" si="894"/>
        <v>1000</v>
      </c>
      <c r="P690" s="4">
        <f t="shared" si="836"/>
        <v>0</v>
      </c>
      <c r="Q690" s="4" t="str">
        <f t="shared" si="865"/>
        <v/>
      </c>
      <c r="R690" s="4" t="str">
        <f t="shared" si="881"/>
        <v/>
      </c>
      <c r="S690" s="4" t="str">
        <f t="shared" si="871"/>
        <v/>
      </c>
      <c r="T690" s="4" t="e">
        <f t="shared" si="837"/>
        <v>#VALUE!</v>
      </c>
      <c r="U690" s="4" t="e">
        <f t="shared" si="838"/>
        <v>#VALUE!</v>
      </c>
      <c r="V690" s="4" t="b">
        <f t="shared" si="829"/>
        <v>0</v>
      </c>
      <c r="W690" s="13" t="str">
        <f t="shared" si="830"/>
        <v>Да</v>
      </c>
      <c r="X690" s="4" t="e">
        <f>(IF(COUNTIFS($G$2:G690,"+",$W$2:W690,"Да")&gt;1,"&amp; ","")&amp;D690&amp;J690&amp;E690&amp;SUBSTITUTE(L690,"""",""))</f>
        <v>#VALUE!</v>
      </c>
      <c r="Y690" s="4" t="e">
        <f t="shared" si="868"/>
        <v>#VALUE!</v>
      </c>
    </row>
    <row r="691" spans="1:25" x14ac:dyDescent="0.3">
      <c r="A691" s="11"/>
      <c r="B691" s="5" t="str">
        <f t="shared" si="831"/>
        <v/>
      </c>
      <c r="C691" s="5" t="str">
        <f t="shared" si="832"/>
        <v/>
      </c>
      <c r="D691" s="4" t="s">
        <v>10</v>
      </c>
      <c r="E691" s="4" t="s">
        <v>11</v>
      </c>
      <c r="F691" s="4" t="str">
        <f t="shared" si="855"/>
        <v>!!!</v>
      </c>
      <c r="G691" s="4" t="str">
        <f t="shared" si="833"/>
        <v>+</v>
      </c>
      <c r="H691" s="4"/>
      <c r="I691" s="4" t="str">
        <f t="shared" si="856"/>
        <v>!!!</v>
      </c>
      <c r="J691" s="4" t="e">
        <f t="shared" si="857"/>
        <v>#VALUE!</v>
      </c>
      <c r="K691" s="4" t="e">
        <f t="shared" si="858"/>
        <v>#VALUE!</v>
      </c>
      <c r="L691" s="4" t="e">
        <f t="shared" si="859"/>
        <v>#VALUE!</v>
      </c>
      <c r="M691" s="4">
        <f t="shared" si="834"/>
        <v>1000</v>
      </c>
      <c r="N691" s="4">
        <f t="shared" ref="N691:O691" si="895">MIN(IFERROR(FIND(" ",$C691,M691+1),1000))</f>
        <v>1000</v>
      </c>
      <c r="O691" s="4">
        <f t="shared" si="895"/>
        <v>1000</v>
      </c>
      <c r="P691" s="4">
        <f t="shared" si="836"/>
        <v>0</v>
      </c>
      <c r="Q691" s="4" t="str">
        <f t="shared" si="865"/>
        <v/>
      </c>
      <c r="R691" s="4" t="str">
        <f t="shared" si="881"/>
        <v/>
      </c>
      <c r="S691" s="4" t="str">
        <f t="shared" si="871"/>
        <v/>
      </c>
      <c r="T691" s="4" t="e">
        <f t="shared" si="837"/>
        <v>#VALUE!</v>
      </c>
      <c r="U691" s="4" t="e">
        <f t="shared" si="838"/>
        <v>#VALUE!</v>
      </c>
      <c r="V691" s="4" t="b">
        <f t="shared" si="829"/>
        <v>0</v>
      </c>
      <c r="W691" s="13" t="str">
        <f t="shared" si="830"/>
        <v>Да</v>
      </c>
      <c r="X691" s="4" t="e">
        <f>(IF(COUNTIFS($G$2:G691,"+",$W$2:W691,"Да")&gt;1,"&amp; ","")&amp;D691&amp;J691&amp;E691&amp;SUBSTITUTE(L691,"""",""))</f>
        <v>#VALUE!</v>
      </c>
      <c r="Y691" s="4" t="e">
        <f t="shared" si="868"/>
        <v>#VALUE!</v>
      </c>
    </row>
    <row r="692" spans="1:25" x14ac:dyDescent="0.3">
      <c r="A692" s="11"/>
      <c r="B692" s="5" t="str">
        <f t="shared" si="831"/>
        <v/>
      </c>
      <c r="C692" s="5" t="str">
        <f t="shared" si="832"/>
        <v/>
      </c>
      <c r="D692" s="4" t="s">
        <v>10</v>
      </c>
      <c r="E692" s="4" t="s">
        <v>11</v>
      </c>
      <c r="F692" s="4" t="str">
        <f t="shared" si="855"/>
        <v>!!!</v>
      </c>
      <c r="G692" s="4" t="str">
        <f t="shared" si="833"/>
        <v>+</v>
      </c>
      <c r="H692" s="4"/>
      <c r="I692" s="4" t="str">
        <f t="shared" si="856"/>
        <v>!!!</v>
      </c>
      <c r="J692" s="4" t="e">
        <f t="shared" si="857"/>
        <v>#VALUE!</v>
      </c>
      <c r="K692" s="4" t="e">
        <f t="shared" si="858"/>
        <v>#VALUE!</v>
      </c>
      <c r="L692" s="4" t="e">
        <f t="shared" si="859"/>
        <v>#VALUE!</v>
      </c>
      <c r="M692" s="4">
        <f t="shared" si="834"/>
        <v>1000</v>
      </c>
      <c r="N692" s="4">
        <f t="shared" ref="N692:O692" si="896">MIN(IFERROR(FIND(" ",$C692,M692+1),1000))</f>
        <v>1000</v>
      </c>
      <c r="O692" s="4">
        <f t="shared" si="896"/>
        <v>1000</v>
      </c>
      <c r="P692" s="4">
        <f t="shared" si="836"/>
        <v>0</v>
      </c>
      <c r="Q692" s="4" t="str">
        <f t="shared" si="865"/>
        <v/>
      </c>
      <c r="R692" s="4" t="str">
        <f t="shared" si="881"/>
        <v/>
      </c>
      <c r="S692" s="4" t="str">
        <f t="shared" si="871"/>
        <v/>
      </c>
      <c r="T692" s="4" t="e">
        <f t="shared" si="837"/>
        <v>#VALUE!</v>
      </c>
      <c r="U692" s="4" t="e">
        <f t="shared" si="838"/>
        <v>#VALUE!</v>
      </c>
      <c r="V692" s="4" t="b">
        <f t="shared" si="829"/>
        <v>0</v>
      </c>
      <c r="W692" s="13" t="str">
        <f t="shared" si="830"/>
        <v>Да</v>
      </c>
      <c r="X692" s="4" t="e">
        <f>(IF(COUNTIFS($G$2:G692,"+",$W$2:W692,"Да")&gt;1,"&amp; ","")&amp;D692&amp;J692&amp;E692&amp;SUBSTITUTE(L692,"""",""))</f>
        <v>#VALUE!</v>
      </c>
      <c r="Y692" s="4" t="e">
        <f t="shared" si="868"/>
        <v>#VALUE!</v>
      </c>
    </row>
    <row r="693" spans="1:25" x14ac:dyDescent="0.3">
      <c r="A693" s="11"/>
      <c r="B693" s="5" t="str">
        <f t="shared" si="831"/>
        <v/>
      </c>
      <c r="C693" s="5" t="str">
        <f t="shared" si="832"/>
        <v/>
      </c>
      <c r="D693" s="4" t="s">
        <v>10</v>
      </c>
      <c r="E693" s="4" t="s">
        <v>11</v>
      </c>
      <c r="F693" s="4" t="str">
        <f t="shared" si="855"/>
        <v>!!!</v>
      </c>
      <c r="G693" s="4" t="str">
        <f t="shared" si="833"/>
        <v>+</v>
      </c>
      <c r="H693" s="4"/>
      <c r="I693" s="4" t="str">
        <f t="shared" si="856"/>
        <v>!!!</v>
      </c>
      <c r="J693" s="4" t="e">
        <f t="shared" si="857"/>
        <v>#VALUE!</v>
      </c>
      <c r="K693" s="4" t="e">
        <f t="shared" si="858"/>
        <v>#VALUE!</v>
      </c>
      <c r="L693" s="4" t="e">
        <f t="shared" si="859"/>
        <v>#VALUE!</v>
      </c>
      <c r="M693" s="4">
        <f t="shared" si="834"/>
        <v>1000</v>
      </c>
      <c r="N693" s="4">
        <f t="shared" ref="N693:O693" si="897">MIN(IFERROR(FIND(" ",$C693,M693+1),1000))</f>
        <v>1000</v>
      </c>
      <c r="O693" s="4">
        <f t="shared" si="897"/>
        <v>1000</v>
      </c>
      <c r="P693" s="4">
        <f t="shared" si="836"/>
        <v>0</v>
      </c>
      <c r="Q693" s="4" t="str">
        <f t="shared" si="865"/>
        <v/>
      </c>
      <c r="R693" s="4" t="str">
        <f t="shared" si="881"/>
        <v/>
      </c>
      <c r="S693" s="4" t="str">
        <f t="shared" si="871"/>
        <v/>
      </c>
      <c r="T693" s="4" t="e">
        <f t="shared" si="837"/>
        <v>#VALUE!</v>
      </c>
      <c r="U693" s="4" t="e">
        <f t="shared" si="838"/>
        <v>#VALUE!</v>
      </c>
      <c r="V693" s="4" t="b">
        <f t="shared" si="829"/>
        <v>0</v>
      </c>
      <c r="W693" s="13" t="str">
        <f t="shared" si="830"/>
        <v>Да</v>
      </c>
      <c r="X693" s="4" t="e">
        <f>(IF(COUNTIFS($G$2:G693,"+",$W$2:W693,"Да")&gt;1,"&amp; ","")&amp;D693&amp;J693&amp;E693&amp;SUBSTITUTE(L693,"""",""))</f>
        <v>#VALUE!</v>
      </c>
      <c r="Y693" s="4" t="e">
        <f t="shared" si="868"/>
        <v>#VALUE!</v>
      </c>
    </row>
    <row r="694" spans="1:25" x14ac:dyDescent="0.3">
      <c r="A694" s="11"/>
      <c r="B694" s="5" t="str">
        <f t="shared" si="831"/>
        <v/>
      </c>
      <c r="C694" s="5" t="str">
        <f t="shared" si="832"/>
        <v/>
      </c>
      <c r="D694" s="4" t="s">
        <v>10</v>
      </c>
      <c r="E694" s="4" t="s">
        <v>11</v>
      </c>
      <c r="F694" s="4" t="str">
        <f t="shared" si="855"/>
        <v>!!!</v>
      </c>
      <c r="G694" s="4" t="str">
        <f t="shared" si="833"/>
        <v>+</v>
      </c>
      <c r="H694" s="4"/>
      <c r="I694" s="4" t="str">
        <f t="shared" si="856"/>
        <v>!!!</v>
      </c>
      <c r="J694" s="4" t="e">
        <f t="shared" si="857"/>
        <v>#VALUE!</v>
      </c>
      <c r="K694" s="4" t="e">
        <f t="shared" si="858"/>
        <v>#VALUE!</v>
      </c>
      <c r="L694" s="4" t="e">
        <f t="shared" si="859"/>
        <v>#VALUE!</v>
      </c>
      <c r="M694" s="4">
        <f t="shared" si="834"/>
        <v>1000</v>
      </c>
      <c r="N694" s="4">
        <f t="shared" ref="N694:O694" si="898">MIN(IFERROR(FIND(" ",$C694,M694+1),1000))</f>
        <v>1000</v>
      </c>
      <c r="O694" s="4">
        <f t="shared" si="898"/>
        <v>1000</v>
      </c>
      <c r="P694" s="4">
        <f t="shared" si="836"/>
        <v>0</v>
      </c>
      <c r="Q694" s="4" t="str">
        <f t="shared" si="865"/>
        <v/>
      </c>
      <c r="R694" s="4" t="str">
        <f t="shared" si="881"/>
        <v/>
      </c>
      <c r="S694" s="4" t="str">
        <f t="shared" si="871"/>
        <v/>
      </c>
      <c r="T694" s="4" t="e">
        <f t="shared" si="837"/>
        <v>#VALUE!</v>
      </c>
      <c r="U694" s="4" t="e">
        <f t="shared" si="838"/>
        <v>#VALUE!</v>
      </c>
      <c r="V694" s="4" t="b">
        <f t="shared" si="829"/>
        <v>0</v>
      </c>
      <c r="W694" s="13" t="str">
        <f t="shared" si="830"/>
        <v>Да</v>
      </c>
      <c r="X694" s="4" t="e">
        <f>(IF(COUNTIFS($G$2:G694,"+",$W$2:W694,"Да")&gt;1,"&amp; ","")&amp;D694&amp;J694&amp;E694&amp;SUBSTITUTE(L694,"""",""))</f>
        <v>#VALUE!</v>
      </c>
      <c r="Y694" s="4" t="e">
        <f t="shared" si="868"/>
        <v>#VALUE!</v>
      </c>
    </row>
    <row r="695" spans="1:25" x14ac:dyDescent="0.3">
      <c r="A695" s="11"/>
      <c r="B695" s="5" t="str">
        <f t="shared" si="831"/>
        <v/>
      </c>
      <c r="C695" s="5" t="str">
        <f t="shared" si="832"/>
        <v/>
      </c>
      <c r="D695" s="4" t="s">
        <v>10</v>
      </c>
      <c r="E695" s="4" t="s">
        <v>11</v>
      </c>
      <c r="F695" s="4" t="str">
        <f t="shared" si="855"/>
        <v>!!!</v>
      </c>
      <c r="G695" s="4" t="str">
        <f t="shared" si="833"/>
        <v>+</v>
      </c>
      <c r="H695" s="4"/>
      <c r="I695" s="4" t="str">
        <f t="shared" si="856"/>
        <v>!!!</v>
      </c>
      <c r="J695" s="4" t="e">
        <f t="shared" si="857"/>
        <v>#VALUE!</v>
      </c>
      <c r="K695" s="4" t="e">
        <f t="shared" si="858"/>
        <v>#VALUE!</v>
      </c>
      <c r="L695" s="4" t="e">
        <f t="shared" si="859"/>
        <v>#VALUE!</v>
      </c>
      <c r="M695" s="4">
        <f t="shared" si="834"/>
        <v>1000</v>
      </c>
      <c r="N695" s="4">
        <f t="shared" ref="N695:O695" si="899">MIN(IFERROR(FIND(" ",$C695,M695+1),1000))</f>
        <v>1000</v>
      </c>
      <c r="O695" s="4">
        <f t="shared" si="899"/>
        <v>1000</v>
      </c>
      <c r="P695" s="4">
        <f t="shared" si="836"/>
        <v>0</v>
      </c>
      <c r="Q695" s="4" t="str">
        <f t="shared" si="865"/>
        <v/>
      </c>
      <c r="R695" s="4" t="str">
        <f t="shared" si="881"/>
        <v/>
      </c>
      <c r="S695" s="4" t="str">
        <f t="shared" si="871"/>
        <v/>
      </c>
      <c r="T695" s="4" t="e">
        <f t="shared" si="837"/>
        <v>#VALUE!</v>
      </c>
      <c r="U695" s="4" t="e">
        <f t="shared" si="838"/>
        <v>#VALUE!</v>
      </c>
      <c r="V695" s="4" t="b">
        <f t="shared" si="829"/>
        <v>0</v>
      </c>
      <c r="W695" s="13" t="str">
        <f t="shared" si="830"/>
        <v>Да</v>
      </c>
      <c r="X695" s="4" t="e">
        <f>(IF(COUNTIFS($G$2:G695,"+",$W$2:W695,"Да")&gt;1,"&amp; ","")&amp;D695&amp;J695&amp;E695&amp;SUBSTITUTE(L695,"""",""))</f>
        <v>#VALUE!</v>
      </c>
      <c r="Y695" s="4" t="e">
        <f t="shared" si="868"/>
        <v>#VALUE!</v>
      </c>
    </row>
    <row r="696" spans="1:25" x14ac:dyDescent="0.3">
      <c r="A696" s="11"/>
      <c r="B696" s="5" t="str">
        <f t="shared" si="831"/>
        <v/>
      </c>
      <c r="C696" s="5" t="str">
        <f t="shared" si="832"/>
        <v/>
      </c>
      <c r="D696" s="4" t="s">
        <v>10</v>
      </c>
      <c r="E696" s="4" t="s">
        <v>11</v>
      </c>
      <c r="F696" s="4" t="str">
        <f t="shared" si="855"/>
        <v>!!!</v>
      </c>
      <c r="G696" s="4" t="str">
        <f t="shared" si="833"/>
        <v>+</v>
      </c>
      <c r="H696" s="4"/>
      <c r="I696" s="4" t="str">
        <f t="shared" si="856"/>
        <v>!!!</v>
      </c>
      <c r="J696" s="4" t="e">
        <f t="shared" si="857"/>
        <v>#VALUE!</v>
      </c>
      <c r="K696" s="4" t="e">
        <f t="shared" si="858"/>
        <v>#VALUE!</v>
      </c>
      <c r="L696" s="4" t="e">
        <f t="shared" si="859"/>
        <v>#VALUE!</v>
      </c>
      <c r="M696" s="4">
        <f t="shared" si="834"/>
        <v>1000</v>
      </c>
      <c r="N696" s="4">
        <f t="shared" ref="N696:O696" si="900">MIN(IFERROR(FIND(" ",$C696,M696+1),1000))</f>
        <v>1000</v>
      </c>
      <c r="O696" s="4">
        <f t="shared" si="900"/>
        <v>1000</v>
      </c>
      <c r="P696" s="4">
        <f t="shared" si="836"/>
        <v>0</v>
      </c>
      <c r="Q696" s="4" t="str">
        <f t="shared" si="865"/>
        <v/>
      </c>
      <c r="R696" s="4" t="str">
        <f t="shared" si="881"/>
        <v/>
      </c>
      <c r="S696" s="4" t="str">
        <f t="shared" si="871"/>
        <v/>
      </c>
      <c r="T696" s="4" t="e">
        <f t="shared" si="837"/>
        <v>#VALUE!</v>
      </c>
      <c r="U696" s="4" t="e">
        <f t="shared" si="838"/>
        <v>#VALUE!</v>
      </c>
      <c r="V696" s="4" t="b">
        <f t="shared" si="829"/>
        <v>0</v>
      </c>
      <c r="W696" s="13" t="str">
        <f t="shared" si="830"/>
        <v>Да</v>
      </c>
      <c r="X696" s="4" t="e">
        <f>(IF(COUNTIFS($G$2:G696,"+",$W$2:W696,"Да")&gt;1,"&amp; ","")&amp;D696&amp;J696&amp;E696&amp;SUBSTITUTE(L696,"""",""))</f>
        <v>#VALUE!</v>
      </c>
      <c r="Y696" s="4" t="e">
        <f t="shared" si="868"/>
        <v>#VALUE!</v>
      </c>
    </row>
    <row r="697" spans="1:25" x14ac:dyDescent="0.3">
      <c r="A697" s="11"/>
      <c r="B697" s="5" t="str">
        <f t="shared" si="831"/>
        <v/>
      </c>
      <c r="C697" s="5" t="str">
        <f t="shared" si="832"/>
        <v/>
      </c>
      <c r="D697" s="4" t="s">
        <v>10</v>
      </c>
      <c r="E697" s="4" t="s">
        <v>11</v>
      </c>
      <c r="F697" s="4" t="str">
        <f t="shared" si="855"/>
        <v>!!!</v>
      </c>
      <c r="G697" s="4" t="str">
        <f t="shared" si="833"/>
        <v>+</v>
      </c>
      <c r="H697" s="4"/>
      <c r="I697" s="4" t="str">
        <f t="shared" si="856"/>
        <v>!!!</v>
      </c>
      <c r="J697" s="4" t="e">
        <f t="shared" si="857"/>
        <v>#VALUE!</v>
      </c>
      <c r="K697" s="4" t="e">
        <f t="shared" si="858"/>
        <v>#VALUE!</v>
      </c>
      <c r="L697" s="4" t="e">
        <f t="shared" si="859"/>
        <v>#VALUE!</v>
      </c>
      <c r="M697" s="4">
        <f t="shared" si="834"/>
        <v>1000</v>
      </c>
      <c r="N697" s="4">
        <f t="shared" ref="N697:O697" si="901">MIN(IFERROR(FIND(" ",$C697,M697+1),1000))</f>
        <v>1000</v>
      </c>
      <c r="O697" s="4">
        <f t="shared" si="901"/>
        <v>1000</v>
      </c>
      <c r="P697" s="4">
        <f t="shared" si="836"/>
        <v>0</v>
      </c>
      <c r="Q697" s="4" t="str">
        <f t="shared" si="865"/>
        <v/>
      </c>
      <c r="R697" s="4" t="str">
        <f t="shared" si="881"/>
        <v/>
      </c>
      <c r="S697" s="4" t="str">
        <f t="shared" si="871"/>
        <v/>
      </c>
      <c r="T697" s="4" t="e">
        <f t="shared" si="837"/>
        <v>#VALUE!</v>
      </c>
      <c r="U697" s="4" t="e">
        <f t="shared" si="838"/>
        <v>#VALUE!</v>
      </c>
      <c r="V697" s="4" t="b">
        <f t="shared" si="829"/>
        <v>0</v>
      </c>
      <c r="W697" s="13" t="str">
        <f t="shared" si="830"/>
        <v>Да</v>
      </c>
      <c r="X697" s="4" t="e">
        <f>(IF(COUNTIFS($G$2:G697,"+",$W$2:W697,"Да")&gt;1,"&amp; ","")&amp;D697&amp;J697&amp;E697&amp;SUBSTITUTE(L697,"""",""))</f>
        <v>#VALUE!</v>
      </c>
      <c r="Y697" s="4" t="e">
        <f t="shared" si="868"/>
        <v>#VALUE!</v>
      </c>
    </row>
    <row r="698" spans="1:25" x14ac:dyDescent="0.3">
      <c r="A698" s="11"/>
      <c r="B698" s="5" t="str">
        <f t="shared" si="831"/>
        <v/>
      </c>
      <c r="C698" s="5" t="str">
        <f t="shared" si="832"/>
        <v/>
      </c>
      <c r="D698" s="4" t="s">
        <v>10</v>
      </c>
      <c r="E698" s="4" t="s">
        <v>11</v>
      </c>
      <c r="F698" s="4" t="str">
        <f t="shared" si="855"/>
        <v>!!!</v>
      </c>
      <c r="G698" s="4" t="str">
        <f t="shared" si="833"/>
        <v>+</v>
      </c>
      <c r="H698" s="4"/>
      <c r="I698" s="4" t="str">
        <f t="shared" si="856"/>
        <v>!!!</v>
      </c>
      <c r="J698" s="4" t="e">
        <f t="shared" si="857"/>
        <v>#VALUE!</v>
      </c>
      <c r="K698" s="4" t="e">
        <f t="shared" si="858"/>
        <v>#VALUE!</v>
      </c>
      <c r="L698" s="4" t="e">
        <f t="shared" si="859"/>
        <v>#VALUE!</v>
      </c>
      <c r="M698" s="4">
        <f t="shared" si="834"/>
        <v>1000</v>
      </c>
      <c r="N698" s="4">
        <f t="shared" ref="N698:O698" si="902">MIN(IFERROR(FIND(" ",$C698,M698+1),1000))</f>
        <v>1000</v>
      </c>
      <c r="O698" s="4">
        <f t="shared" si="902"/>
        <v>1000</v>
      </c>
      <c r="P698" s="4">
        <f t="shared" si="836"/>
        <v>0</v>
      </c>
      <c r="Q698" s="4" t="str">
        <f t="shared" si="865"/>
        <v/>
      </c>
      <c r="R698" s="4" t="str">
        <f t="shared" si="881"/>
        <v/>
      </c>
      <c r="S698" s="4" t="str">
        <f t="shared" si="871"/>
        <v/>
      </c>
      <c r="T698" s="4" t="e">
        <f t="shared" si="837"/>
        <v>#VALUE!</v>
      </c>
      <c r="U698" s="4" t="e">
        <f t="shared" si="838"/>
        <v>#VALUE!</v>
      </c>
      <c r="V698" s="4" t="b">
        <f t="shared" si="829"/>
        <v>0</v>
      </c>
      <c r="W698" s="13" t="str">
        <f t="shared" si="830"/>
        <v>Да</v>
      </c>
      <c r="X698" s="4" t="e">
        <f>(IF(COUNTIFS($G$2:G698,"+",$W$2:W698,"Да")&gt;1,"&amp; ","")&amp;D698&amp;J698&amp;E698&amp;SUBSTITUTE(L698,"""",""))</f>
        <v>#VALUE!</v>
      </c>
      <c r="Y698" s="4" t="e">
        <f t="shared" si="868"/>
        <v>#VALUE!</v>
      </c>
    </row>
    <row r="699" spans="1:25" x14ac:dyDescent="0.3">
      <c r="A699" s="11"/>
      <c r="B699" s="5" t="str">
        <f t="shared" si="831"/>
        <v/>
      </c>
      <c r="C699" s="5" t="str">
        <f t="shared" si="832"/>
        <v/>
      </c>
      <c r="D699" s="4" t="s">
        <v>10</v>
      </c>
      <c r="E699" s="4" t="s">
        <v>11</v>
      </c>
      <c r="F699" s="4" t="str">
        <f t="shared" si="855"/>
        <v>!!!</v>
      </c>
      <c r="G699" s="4" t="str">
        <f t="shared" si="833"/>
        <v>+</v>
      </c>
      <c r="H699" s="4"/>
      <c r="I699" s="4" t="str">
        <f t="shared" si="856"/>
        <v>!!!</v>
      </c>
      <c r="J699" s="4" t="e">
        <f t="shared" si="857"/>
        <v>#VALUE!</v>
      </c>
      <c r="K699" s="4" t="e">
        <f t="shared" si="858"/>
        <v>#VALUE!</v>
      </c>
      <c r="L699" s="4" t="e">
        <f t="shared" si="859"/>
        <v>#VALUE!</v>
      </c>
      <c r="M699" s="4">
        <f t="shared" si="834"/>
        <v>1000</v>
      </c>
      <c r="N699" s="4">
        <f t="shared" ref="N699:O699" si="903">MIN(IFERROR(FIND(" ",$C699,M699+1),1000))</f>
        <v>1000</v>
      </c>
      <c r="O699" s="4">
        <f t="shared" si="903"/>
        <v>1000</v>
      </c>
      <c r="P699" s="4">
        <f t="shared" si="836"/>
        <v>0</v>
      </c>
      <c r="Q699" s="4" t="str">
        <f t="shared" si="865"/>
        <v/>
      </c>
      <c r="R699" s="4" t="str">
        <f t="shared" si="881"/>
        <v/>
      </c>
      <c r="S699" s="4" t="str">
        <f t="shared" si="871"/>
        <v/>
      </c>
      <c r="T699" s="4" t="e">
        <f t="shared" si="837"/>
        <v>#VALUE!</v>
      </c>
      <c r="U699" s="4" t="e">
        <f t="shared" si="838"/>
        <v>#VALUE!</v>
      </c>
      <c r="V699" s="4" t="b">
        <f t="shared" si="829"/>
        <v>0</v>
      </c>
      <c r="W699" s="13" t="str">
        <f t="shared" si="830"/>
        <v>Да</v>
      </c>
      <c r="X699" s="4" t="e">
        <f>(IF(COUNTIFS($G$2:G699,"+",$W$2:W699,"Да")&gt;1,"&amp; ","")&amp;D699&amp;J699&amp;E699&amp;SUBSTITUTE(L699,"""",""))</f>
        <v>#VALUE!</v>
      </c>
      <c r="Y699" s="4" t="e">
        <f t="shared" si="868"/>
        <v>#VALUE!</v>
      </c>
    </row>
    <row r="700" spans="1:25" x14ac:dyDescent="0.3">
      <c r="A700" s="11"/>
      <c r="B700" s="5" t="str">
        <f t="shared" si="831"/>
        <v/>
      </c>
      <c r="C700" s="5" t="str">
        <f t="shared" si="832"/>
        <v/>
      </c>
      <c r="D700" s="4" t="s">
        <v>10</v>
      </c>
      <c r="E700" s="4" t="s">
        <v>11</v>
      </c>
      <c r="F700" s="4" t="str">
        <f t="shared" si="855"/>
        <v>!!!</v>
      </c>
      <c r="G700" s="4" t="str">
        <f t="shared" si="833"/>
        <v>+</v>
      </c>
      <c r="H700" s="4"/>
      <c r="I700" s="4" t="str">
        <f t="shared" si="856"/>
        <v>!!!</v>
      </c>
      <c r="J700" s="4" t="e">
        <f t="shared" si="857"/>
        <v>#VALUE!</v>
      </c>
      <c r="K700" s="4" t="e">
        <f t="shared" si="858"/>
        <v>#VALUE!</v>
      </c>
      <c r="L700" s="4" t="e">
        <f t="shared" si="859"/>
        <v>#VALUE!</v>
      </c>
      <c r="M700" s="4">
        <f t="shared" si="834"/>
        <v>1000</v>
      </c>
      <c r="N700" s="4">
        <f t="shared" ref="N700:O700" si="904">MIN(IFERROR(FIND(" ",$C700,M700+1),1000))</f>
        <v>1000</v>
      </c>
      <c r="O700" s="4">
        <f t="shared" si="904"/>
        <v>1000</v>
      </c>
      <c r="P700" s="4">
        <f t="shared" si="836"/>
        <v>0</v>
      </c>
      <c r="Q700" s="4" t="str">
        <f t="shared" si="865"/>
        <v/>
      </c>
      <c r="R700" s="4" t="str">
        <f t="shared" si="881"/>
        <v/>
      </c>
      <c r="S700" s="4" t="str">
        <f t="shared" si="871"/>
        <v/>
      </c>
      <c r="T700" s="4" t="e">
        <f t="shared" si="837"/>
        <v>#VALUE!</v>
      </c>
      <c r="U700" s="4" t="e">
        <f t="shared" si="838"/>
        <v>#VALUE!</v>
      </c>
      <c r="V700" s="4" t="b">
        <f t="shared" si="829"/>
        <v>0</v>
      </c>
      <c r="W700" s="13" t="str">
        <f t="shared" si="830"/>
        <v>Да</v>
      </c>
      <c r="X700" s="4" t="e">
        <f>(IF(COUNTIFS($G$2:G700,"+",$W$2:W700,"Да")&gt;1,"&amp; ","")&amp;D700&amp;J700&amp;E700&amp;SUBSTITUTE(L700,"""",""))</f>
        <v>#VALUE!</v>
      </c>
      <c r="Y700" s="4" t="e">
        <f t="shared" si="868"/>
        <v>#VALUE!</v>
      </c>
    </row>
    <row r="701" spans="1:25" x14ac:dyDescent="0.3">
      <c r="A701" s="11"/>
      <c r="B701" s="5" t="str">
        <f t="shared" si="831"/>
        <v/>
      </c>
      <c r="C701" s="5" t="str">
        <f t="shared" si="832"/>
        <v/>
      </c>
      <c r="D701" s="4" t="s">
        <v>10</v>
      </c>
      <c r="E701" s="4" t="s">
        <v>11</v>
      </c>
      <c r="F701" s="4" t="str">
        <f t="shared" si="855"/>
        <v>!!!</v>
      </c>
      <c r="G701" s="4" t="str">
        <f t="shared" si="833"/>
        <v>+</v>
      </c>
      <c r="H701" s="4"/>
      <c r="I701" s="4" t="str">
        <f t="shared" si="856"/>
        <v>!!!</v>
      </c>
      <c r="J701" s="4" t="e">
        <f t="shared" si="857"/>
        <v>#VALUE!</v>
      </c>
      <c r="K701" s="4" t="e">
        <f t="shared" si="858"/>
        <v>#VALUE!</v>
      </c>
      <c r="L701" s="4" t="e">
        <f t="shared" si="859"/>
        <v>#VALUE!</v>
      </c>
      <c r="M701" s="4">
        <f t="shared" si="834"/>
        <v>1000</v>
      </c>
      <c r="N701" s="4">
        <f t="shared" ref="N701:O701" si="905">MIN(IFERROR(FIND(" ",$C701,M701+1),1000))</f>
        <v>1000</v>
      </c>
      <c r="O701" s="4">
        <f t="shared" si="905"/>
        <v>1000</v>
      </c>
      <c r="P701" s="4">
        <f t="shared" si="836"/>
        <v>0</v>
      </c>
      <c r="Q701" s="4" t="str">
        <f t="shared" si="865"/>
        <v/>
      </c>
      <c r="R701" s="4" t="str">
        <f t="shared" si="881"/>
        <v/>
      </c>
      <c r="S701" s="4" t="str">
        <f t="shared" si="871"/>
        <v/>
      </c>
      <c r="T701" s="4" t="e">
        <f t="shared" si="837"/>
        <v>#VALUE!</v>
      </c>
      <c r="U701" s="4" t="e">
        <f t="shared" si="838"/>
        <v>#VALUE!</v>
      </c>
      <c r="V701" s="4" t="b">
        <f t="shared" si="829"/>
        <v>0</v>
      </c>
      <c r="W701" s="13" t="str">
        <f t="shared" si="830"/>
        <v>Да</v>
      </c>
      <c r="X701" s="4" t="e">
        <f>(IF(COUNTIFS($G$2:G701,"+",$W$2:W701,"Да")&gt;1,"&amp; ","")&amp;D701&amp;J701&amp;E701&amp;SUBSTITUTE(L701,"""",""))</f>
        <v>#VALUE!</v>
      </c>
      <c r="Y701" s="4" t="e">
        <f t="shared" si="868"/>
        <v>#VALUE!</v>
      </c>
    </row>
    <row r="702" spans="1:25" x14ac:dyDescent="0.3">
      <c r="A702" s="11"/>
      <c r="B702" s="5" t="str">
        <f t="shared" si="831"/>
        <v/>
      </c>
      <c r="C702" s="5" t="str">
        <f t="shared" si="832"/>
        <v/>
      </c>
      <c r="D702" s="4" t="s">
        <v>10</v>
      </c>
      <c r="E702" s="4" t="s">
        <v>11</v>
      </c>
      <c r="F702" s="4" t="str">
        <f t="shared" si="855"/>
        <v>!!!</v>
      </c>
      <c r="G702" s="4" t="str">
        <f t="shared" si="833"/>
        <v>+</v>
      </c>
      <c r="H702" s="4"/>
      <c r="I702" s="4" t="str">
        <f t="shared" si="856"/>
        <v>!!!</v>
      </c>
      <c r="J702" s="4" t="e">
        <f t="shared" si="857"/>
        <v>#VALUE!</v>
      </c>
      <c r="K702" s="4" t="e">
        <f t="shared" si="858"/>
        <v>#VALUE!</v>
      </c>
      <c r="L702" s="4" t="e">
        <f t="shared" si="859"/>
        <v>#VALUE!</v>
      </c>
      <c r="M702" s="4">
        <f t="shared" si="834"/>
        <v>1000</v>
      </c>
      <c r="N702" s="4">
        <f t="shared" ref="N702:O702" si="906">MIN(IFERROR(FIND(" ",$C702,M702+1),1000))</f>
        <v>1000</v>
      </c>
      <c r="O702" s="4">
        <f t="shared" si="906"/>
        <v>1000</v>
      </c>
      <c r="P702" s="4">
        <f t="shared" si="836"/>
        <v>0</v>
      </c>
      <c r="Q702" s="4" t="str">
        <f t="shared" si="865"/>
        <v/>
      </c>
      <c r="R702" s="4" t="str">
        <f t="shared" si="881"/>
        <v/>
      </c>
      <c r="S702" s="4" t="str">
        <f t="shared" si="871"/>
        <v/>
      </c>
      <c r="T702" s="4" t="e">
        <f t="shared" si="837"/>
        <v>#VALUE!</v>
      </c>
      <c r="U702" s="4" t="e">
        <f t="shared" si="838"/>
        <v>#VALUE!</v>
      </c>
      <c r="V702" s="4" t="b">
        <f t="shared" si="829"/>
        <v>0</v>
      </c>
      <c r="W702" s="13" t="str">
        <f t="shared" si="830"/>
        <v>Да</v>
      </c>
      <c r="X702" s="4" t="e">
        <f>(IF(COUNTIFS($G$2:G702,"+",$W$2:W702,"Да")&gt;1,"&amp; ","")&amp;D702&amp;J702&amp;E702&amp;SUBSTITUTE(L702,"""",""))</f>
        <v>#VALUE!</v>
      </c>
      <c r="Y702" s="4" t="e">
        <f t="shared" si="868"/>
        <v>#VALUE!</v>
      </c>
    </row>
    <row r="703" spans="1:25" x14ac:dyDescent="0.3">
      <c r="A703" s="11"/>
      <c r="B703" s="5" t="str">
        <f t="shared" si="831"/>
        <v/>
      </c>
      <c r="C703" s="5" t="str">
        <f t="shared" si="832"/>
        <v/>
      </c>
      <c r="D703" s="4" t="s">
        <v>10</v>
      </c>
      <c r="E703" s="4" t="s">
        <v>11</v>
      </c>
      <c r="F703" s="4" t="str">
        <f t="shared" si="855"/>
        <v>!!!</v>
      </c>
      <c r="G703" s="4" t="str">
        <f t="shared" si="833"/>
        <v>+</v>
      </c>
      <c r="H703" s="4"/>
      <c r="I703" s="4" t="str">
        <f t="shared" si="856"/>
        <v>!!!</v>
      </c>
      <c r="J703" s="4" t="e">
        <f t="shared" si="857"/>
        <v>#VALUE!</v>
      </c>
      <c r="K703" s="4" t="e">
        <f t="shared" si="858"/>
        <v>#VALUE!</v>
      </c>
      <c r="L703" s="4" t="e">
        <f t="shared" si="859"/>
        <v>#VALUE!</v>
      </c>
      <c r="M703" s="4">
        <f t="shared" si="834"/>
        <v>1000</v>
      </c>
      <c r="N703" s="4">
        <f t="shared" ref="N703:O703" si="907">MIN(IFERROR(FIND(" ",$C703,M703+1),1000))</f>
        <v>1000</v>
      </c>
      <c r="O703" s="4">
        <f t="shared" si="907"/>
        <v>1000</v>
      </c>
      <c r="P703" s="4">
        <f t="shared" si="836"/>
        <v>0</v>
      </c>
      <c r="Q703" s="4" t="str">
        <f t="shared" si="865"/>
        <v/>
      </c>
      <c r="R703" s="4" t="str">
        <f t="shared" si="881"/>
        <v/>
      </c>
      <c r="S703" s="4" t="str">
        <f t="shared" si="871"/>
        <v/>
      </c>
      <c r="T703" s="4" t="e">
        <f t="shared" si="837"/>
        <v>#VALUE!</v>
      </c>
      <c r="U703" s="4" t="e">
        <f t="shared" si="838"/>
        <v>#VALUE!</v>
      </c>
      <c r="V703" s="4" t="b">
        <f t="shared" si="829"/>
        <v>0</v>
      </c>
      <c r="W703" s="13" t="str">
        <f t="shared" si="830"/>
        <v>Да</v>
      </c>
      <c r="X703" s="4" t="e">
        <f>(IF(COUNTIFS($G$2:G703,"+",$W$2:W703,"Да")&gt;1,"&amp; ","")&amp;D703&amp;J703&amp;E703&amp;SUBSTITUTE(L703,"""",""))</f>
        <v>#VALUE!</v>
      </c>
      <c r="Y703" s="4" t="e">
        <f t="shared" si="868"/>
        <v>#VALUE!</v>
      </c>
    </row>
    <row r="704" spans="1:25" x14ac:dyDescent="0.3">
      <c r="A704" s="11"/>
      <c r="B704" s="5" t="str">
        <f t="shared" si="831"/>
        <v/>
      </c>
      <c r="C704" s="5" t="str">
        <f t="shared" si="832"/>
        <v/>
      </c>
      <c r="D704" s="4" t="s">
        <v>10</v>
      </c>
      <c r="E704" s="4" t="s">
        <v>11</v>
      </c>
      <c r="F704" s="4" t="str">
        <f t="shared" si="855"/>
        <v>!!!</v>
      </c>
      <c r="G704" s="4" t="str">
        <f t="shared" si="833"/>
        <v>+</v>
      </c>
      <c r="H704" s="4"/>
      <c r="I704" s="4" t="str">
        <f t="shared" si="856"/>
        <v>!!!</v>
      </c>
      <c r="J704" s="4" t="e">
        <f t="shared" si="857"/>
        <v>#VALUE!</v>
      </c>
      <c r="K704" s="4" t="e">
        <f t="shared" si="858"/>
        <v>#VALUE!</v>
      </c>
      <c r="L704" s="4" t="e">
        <f t="shared" si="859"/>
        <v>#VALUE!</v>
      </c>
      <c r="M704" s="4">
        <f t="shared" si="834"/>
        <v>1000</v>
      </c>
      <c r="N704" s="4">
        <f t="shared" ref="N704:O704" si="908">MIN(IFERROR(FIND(" ",$C704,M704+1),1000))</f>
        <v>1000</v>
      </c>
      <c r="O704" s="4">
        <f t="shared" si="908"/>
        <v>1000</v>
      </c>
      <c r="P704" s="4">
        <f t="shared" si="836"/>
        <v>0</v>
      </c>
      <c r="Q704" s="4" t="str">
        <f t="shared" si="865"/>
        <v/>
      </c>
      <c r="R704" s="4" t="str">
        <f t="shared" si="881"/>
        <v/>
      </c>
      <c r="S704" s="4" t="str">
        <f t="shared" si="871"/>
        <v/>
      </c>
      <c r="T704" s="4" t="e">
        <f t="shared" si="837"/>
        <v>#VALUE!</v>
      </c>
      <c r="U704" s="4" t="e">
        <f t="shared" si="838"/>
        <v>#VALUE!</v>
      </c>
      <c r="V704" s="4" t="b">
        <f t="shared" si="829"/>
        <v>0</v>
      </c>
      <c r="W704" s="13" t="str">
        <f t="shared" si="830"/>
        <v>Да</v>
      </c>
      <c r="X704" s="4" t="e">
        <f>(IF(COUNTIFS($G$2:G704,"+",$W$2:W704,"Да")&gt;1,"&amp; ","")&amp;D704&amp;J704&amp;E704&amp;SUBSTITUTE(L704,"""",""))</f>
        <v>#VALUE!</v>
      </c>
      <c r="Y704" s="4" t="e">
        <f t="shared" si="868"/>
        <v>#VALUE!</v>
      </c>
    </row>
    <row r="705" spans="1:25" x14ac:dyDescent="0.3">
      <c r="A705" s="11"/>
      <c r="B705" s="5" t="str">
        <f t="shared" si="831"/>
        <v/>
      </c>
      <c r="C705" s="5" t="str">
        <f t="shared" si="832"/>
        <v/>
      </c>
      <c r="D705" s="4" t="s">
        <v>10</v>
      </c>
      <c r="E705" s="4" t="s">
        <v>11</v>
      </c>
      <c r="F705" s="4" t="str">
        <f t="shared" si="855"/>
        <v>!!!</v>
      </c>
      <c r="G705" s="4" t="str">
        <f t="shared" si="833"/>
        <v>+</v>
      </c>
      <c r="H705" s="4"/>
      <c r="I705" s="4" t="str">
        <f t="shared" si="856"/>
        <v>!!!</v>
      </c>
      <c r="J705" s="4" t="e">
        <f t="shared" si="857"/>
        <v>#VALUE!</v>
      </c>
      <c r="K705" s="4" t="e">
        <f t="shared" si="858"/>
        <v>#VALUE!</v>
      </c>
      <c r="L705" s="4" t="e">
        <f t="shared" si="859"/>
        <v>#VALUE!</v>
      </c>
      <c r="M705" s="4">
        <f t="shared" si="834"/>
        <v>1000</v>
      </c>
      <c r="N705" s="4">
        <f t="shared" ref="N705:O705" si="909">MIN(IFERROR(FIND(" ",$C705,M705+1),1000))</f>
        <v>1000</v>
      </c>
      <c r="O705" s="4">
        <f t="shared" si="909"/>
        <v>1000</v>
      </c>
      <c r="P705" s="4">
        <f t="shared" si="836"/>
        <v>0</v>
      </c>
      <c r="Q705" s="4" t="str">
        <f t="shared" si="865"/>
        <v/>
      </c>
      <c r="R705" s="4" t="str">
        <f t="shared" si="881"/>
        <v/>
      </c>
      <c r="S705" s="4" t="str">
        <f t="shared" si="871"/>
        <v/>
      </c>
      <c r="T705" s="4" t="e">
        <f t="shared" si="837"/>
        <v>#VALUE!</v>
      </c>
      <c r="U705" s="4" t="e">
        <f t="shared" si="838"/>
        <v>#VALUE!</v>
      </c>
      <c r="V705" s="4" t="b">
        <f t="shared" si="829"/>
        <v>0</v>
      </c>
      <c r="W705" s="13" t="str">
        <f t="shared" si="830"/>
        <v>Да</v>
      </c>
      <c r="X705" s="4" t="e">
        <f>(IF(COUNTIFS($G$2:G705,"+",$W$2:W705,"Да")&gt;1,"&amp; ","")&amp;D705&amp;J705&amp;E705&amp;SUBSTITUTE(L705,"""",""))</f>
        <v>#VALUE!</v>
      </c>
      <c r="Y705" s="4" t="e">
        <f t="shared" si="868"/>
        <v>#VALUE!</v>
      </c>
    </row>
    <row r="706" spans="1:25" x14ac:dyDescent="0.3">
      <c r="A706" s="11"/>
      <c r="B706" s="5" t="str">
        <f t="shared" si="831"/>
        <v/>
      </c>
      <c r="C706" s="5" t="str">
        <f t="shared" si="832"/>
        <v/>
      </c>
      <c r="D706" s="4" t="s">
        <v>10</v>
      </c>
      <c r="E706" s="4" t="s">
        <v>11</v>
      </c>
      <c r="F706" s="4" t="str">
        <f t="shared" si="855"/>
        <v>!!!</v>
      </c>
      <c r="G706" s="4" t="str">
        <f t="shared" si="833"/>
        <v>+</v>
      </c>
      <c r="H706" s="4"/>
      <c r="I706" s="4" t="str">
        <f t="shared" si="856"/>
        <v>!!!</v>
      </c>
      <c r="J706" s="4" t="e">
        <f t="shared" si="857"/>
        <v>#VALUE!</v>
      </c>
      <c r="K706" s="4" t="e">
        <f t="shared" si="858"/>
        <v>#VALUE!</v>
      </c>
      <c r="L706" s="4" t="e">
        <f t="shared" si="859"/>
        <v>#VALUE!</v>
      </c>
      <c r="M706" s="4">
        <f t="shared" si="834"/>
        <v>1000</v>
      </c>
      <c r="N706" s="4">
        <f t="shared" ref="N706:O706" si="910">MIN(IFERROR(FIND(" ",$C706,M706+1),1000))</f>
        <v>1000</v>
      </c>
      <c r="O706" s="4">
        <f t="shared" si="910"/>
        <v>1000</v>
      </c>
      <c r="P706" s="4">
        <f t="shared" si="836"/>
        <v>0</v>
      </c>
      <c r="Q706" s="4" t="str">
        <f t="shared" si="865"/>
        <v/>
      </c>
      <c r="R706" s="4" t="str">
        <f t="shared" si="881"/>
        <v/>
      </c>
      <c r="S706" s="4" t="str">
        <f t="shared" si="871"/>
        <v/>
      </c>
      <c r="T706" s="4" t="e">
        <f t="shared" si="837"/>
        <v>#VALUE!</v>
      </c>
      <c r="U706" s="4" t="e">
        <f t="shared" si="838"/>
        <v>#VALUE!</v>
      </c>
      <c r="V706" s="4" t="b">
        <f t="shared" ref="V706:V769" si="911">OR(IFERROR(MATCH(U706,Q:Q,0),0)&lt;&gt;0,IFERROR(MATCH(U706,R:R,0),0)&lt;&gt;0)</f>
        <v>0</v>
      </c>
      <c r="W706" s="13" t="str">
        <f t="shared" ref="W706:W769" si="912">IF(A706="","Да",IF(OR(F706="!!!",NOT(V706)),"Нет","Да"))</f>
        <v>Да</v>
      </c>
      <c r="X706" s="4" t="e">
        <f>(IF(COUNTIFS($G$2:G706,"+",$W$2:W706,"Да")&gt;1,"&amp; ","")&amp;D706&amp;J706&amp;E706&amp;SUBSTITUTE(L706,"""",""))</f>
        <v>#VALUE!</v>
      </c>
      <c r="Y706" s="4" t="e">
        <f t="shared" si="868"/>
        <v>#VALUE!</v>
      </c>
    </row>
    <row r="707" spans="1:25" x14ac:dyDescent="0.3">
      <c r="A707" s="11"/>
      <c r="B707" s="5" t="str">
        <f t="shared" ref="B707:B770" si="913">TRIM(LEFT(A707,IFERROR(FIND("'",A707)-1,1000)))</f>
        <v/>
      </c>
      <c r="C707" s="5" t="str">
        <f t="shared" ref="C707:C770" si="914">SUBSTITUTE(SUBSTITUTE(SUBSTITUTE(SUBSTITUTE(TRIM(LEFT(A707,IFERROR(FIND("'",A707)-1,1000))),"&lt;&lt;","&lt;"),"--","-"),"&gt;&gt;","&gt;"),"&amp;","")</f>
        <v/>
      </c>
      <c r="D707" s="4" t="s">
        <v>10</v>
      </c>
      <c r="E707" s="4" t="s">
        <v>11</v>
      </c>
      <c r="F707" s="4" t="str">
        <f t="shared" si="855"/>
        <v>!!!</v>
      </c>
      <c r="G707" s="4" t="str">
        <f t="shared" ref="G707:G770" si="915">IF(AND($A$2="",$A$3="",$A$4="",$A$5=""),"+",IF(F707="!!!","X","+"))</f>
        <v>+</v>
      </c>
      <c r="H707" s="4"/>
      <c r="I707" s="4" t="str">
        <f t="shared" si="856"/>
        <v>!!!</v>
      </c>
      <c r="J707" s="4" t="e">
        <f t="shared" si="857"/>
        <v>#VALUE!</v>
      </c>
      <c r="K707" s="4" t="e">
        <f t="shared" si="858"/>
        <v>#VALUE!</v>
      </c>
      <c r="L707" s="4" t="e">
        <f t="shared" si="859"/>
        <v>#VALUE!</v>
      </c>
      <c r="M707" s="4">
        <f t="shared" ref="M707:M770" si="916">MIN(IFERROR(FIND(" ",$C707),1000))</f>
        <v>1000</v>
      </c>
      <c r="N707" s="4">
        <f t="shared" ref="N707:O707" si="917">MIN(IFERROR(FIND(" ",$C707,M707+1),1000))</f>
        <v>1000</v>
      </c>
      <c r="O707" s="4">
        <f t="shared" si="917"/>
        <v>1000</v>
      </c>
      <c r="P707" s="4">
        <f t="shared" ref="P707:P770" si="918">MIN(IFERROR(FIND(" ",C707,O707+1),0),IFERROR(FIND("&lt;",C707,O707+1),0),IFERROR(FIND(":",C707,O707+1),0))</f>
        <v>0</v>
      </c>
      <c r="Q707" s="4" t="str">
        <f t="shared" si="865"/>
        <v/>
      </c>
      <c r="R707" s="4" t="str">
        <f t="shared" si="881"/>
        <v/>
      </c>
      <c r="S707" s="4" t="str">
        <f t="shared" si="871"/>
        <v/>
      </c>
      <c r="T707" s="4" t="e">
        <f t="shared" ref="T707:T770" si="919">FIND(" ",C707,FIND("as",C707))+1</f>
        <v>#VALUE!</v>
      </c>
      <c r="U707" s="4" t="e">
        <f t="shared" ref="U707:U770" si="920">MID(C707,T707,MIN(FIND(" ",C707,T707),FIND("&lt;",C707,T707))-T707)</f>
        <v>#VALUE!</v>
      </c>
      <c r="V707" s="4" t="b">
        <f t="shared" si="911"/>
        <v>0</v>
      </c>
      <c r="W707" s="13" t="str">
        <f t="shared" si="912"/>
        <v>Да</v>
      </c>
      <c r="X707" s="4" t="e">
        <f>(IF(COUNTIFS($G$2:G707,"+",$W$2:W707,"Да")&gt;1,"&amp; ","")&amp;D707&amp;J707&amp;E707&amp;SUBSTITUTE(L707,"""",""))</f>
        <v>#VALUE!</v>
      </c>
      <c r="Y707" s="4" t="e">
        <f t="shared" si="868"/>
        <v>#VALUE!</v>
      </c>
    </row>
    <row r="708" spans="1:25" x14ac:dyDescent="0.3">
      <c r="A708" s="11"/>
      <c r="B708" s="5" t="str">
        <f t="shared" si="913"/>
        <v/>
      </c>
      <c r="C708" s="5" t="str">
        <f t="shared" si="914"/>
        <v/>
      </c>
      <c r="D708" s="4" t="s">
        <v>10</v>
      </c>
      <c r="E708" s="4" t="s">
        <v>11</v>
      </c>
      <c r="F708" s="4" t="str">
        <f t="shared" si="855"/>
        <v>!!!</v>
      </c>
      <c r="G708" s="4" t="str">
        <f t="shared" si="915"/>
        <v>+</v>
      </c>
      <c r="H708" s="4"/>
      <c r="I708" s="4" t="str">
        <f t="shared" si="856"/>
        <v>!!!</v>
      </c>
      <c r="J708" s="4" t="e">
        <f t="shared" si="857"/>
        <v>#VALUE!</v>
      </c>
      <c r="K708" s="4" t="e">
        <f t="shared" si="858"/>
        <v>#VALUE!</v>
      </c>
      <c r="L708" s="4" t="e">
        <f t="shared" si="859"/>
        <v>#VALUE!</v>
      </c>
      <c r="M708" s="4">
        <f t="shared" si="916"/>
        <v>1000</v>
      </c>
      <c r="N708" s="4">
        <f t="shared" ref="N708:O708" si="921">MIN(IFERROR(FIND(" ",$C708,M708+1),1000))</f>
        <v>1000</v>
      </c>
      <c r="O708" s="4">
        <f t="shared" si="921"/>
        <v>1000</v>
      </c>
      <c r="P708" s="4">
        <f t="shared" si="918"/>
        <v>0</v>
      </c>
      <c r="Q708" s="4" t="str">
        <f t="shared" si="865"/>
        <v/>
      </c>
      <c r="R708" s="4" t="str">
        <f t="shared" si="881"/>
        <v/>
      </c>
      <c r="S708" s="4" t="str">
        <f t="shared" si="871"/>
        <v/>
      </c>
      <c r="T708" s="4" t="e">
        <f t="shared" si="919"/>
        <v>#VALUE!</v>
      </c>
      <c r="U708" s="4" t="e">
        <f t="shared" si="920"/>
        <v>#VALUE!</v>
      </c>
      <c r="V708" s="4" t="b">
        <f t="shared" si="911"/>
        <v>0</v>
      </c>
      <c r="W708" s="13" t="str">
        <f t="shared" si="912"/>
        <v>Да</v>
      </c>
      <c r="X708" s="4" t="e">
        <f>(IF(COUNTIFS($G$2:G708,"+",$W$2:W708,"Да")&gt;1,"&amp; ","")&amp;D708&amp;J708&amp;E708&amp;SUBSTITUTE(L708,"""",""))</f>
        <v>#VALUE!</v>
      </c>
      <c r="Y708" s="4" t="e">
        <f t="shared" si="868"/>
        <v>#VALUE!</v>
      </c>
    </row>
    <row r="709" spans="1:25" x14ac:dyDescent="0.3">
      <c r="A709" s="11"/>
      <c r="B709" s="5" t="str">
        <f t="shared" si="913"/>
        <v/>
      </c>
      <c r="C709" s="5" t="str">
        <f t="shared" si="914"/>
        <v/>
      </c>
      <c r="D709" s="4" t="s">
        <v>10</v>
      </c>
      <c r="E709" s="4" t="s">
        <v>11</v>
      </c>
      <c r="F709" s="4" t="str">
        <f t="shared" si="855"/>
        <v>!!!</v>
      </c>
      <c r="G709" s="4" t="str">
        <f t="shared" si="915"/>
        <v>+</v>
      </c>
      <c r="H709" s="4"/>
      <c r="I709" s="4" t="str">
        <f t="shared" si="856"/>
        <v>!!!</v>
      </c>
      <c r="J709" s="4" t="e">
        <f t="shared" si="857"/>
        <v>#VALUE!</v>
      </c>
      <c r="K709" s="4" t="e">
        <f t="shared" si="858"/>
        <v>#VALUE!</v>
      </c>
      <c r="L709" s="4" t="e">
        <f t="shared" si="859"/>
        <v>#VALUE!</v>
      </c>
      <c r="M709" s="4">
        <f t="shared" si="916"/>
        <v>1000</v>
      </c>
      <c r="N709" s="4">
        <f t="shared" ref="N709:O709" si="922">MIN(IFERROR(FIND(" ",$C709,M709+1),1000))</f>
        <v>1000</v>
      </c>
      <c r="O709" s="4">
        <f t="shared" si="922"/>
        <v>1000</v>
      </c>
      <c r="P709" s="4">
        <f t="shared" si="918"/>
        <v>0</v>
      </c>
      <c r="Q709" s="4" t="str">
        <f t="shared" si="865"/>
        <v/>
      </c>
      <c r="R709" s="4" t="str">
        <f t="shared" si="881"/>
        <v/>
      </c>
      <c r="S709" s="4" t="str">
        <f t="shared" si="871"/>
        <v/>
      </c>
      <c r="T709" s="4" t="e">
        <f t="shared" si="919"/>
        <v>#VALUE!</v>
      </c>
      <c r="U709" s="4" t="e">
        <f t="shared" si="920"/>
        <v>#VALUE!</v>
      </c>
      <c r="V709" s="4" t="b">
        <f t="shared" si="911"/>
        <v>0</v>
      </c>
      <c r="W709" s="13" t="str">
        <f t="shared" si="912"/>
        <v>Да</v>
      </c>
      <c r="X709" s="4" t="e">
        <f>(IF(COUNTIFS($G$2:G709,"+",$W$2:W709,"Да")&gt;1,"&amp; ","")&amp;D709&amp;J709&amp;E709&amp;SUBSTITUTE(L709,"""",""))</f>
        <v>#VALUE!</v>
      </c>
      <c r="Y709" s="4" t="e">
        <f t="shared" si="868"/>
        <v>#VALUE!</v>
      </c>
    </row>
    <row r="710" spans="1:25" x14ac:dyDescent="0.3">
      <c r="A710" s="11"/>
      <c r="B710" s="5" t="str">
        <f t="shared" si="913"/>
        <v/>
      </c>
      <c r="C710" s="5" t="str">
        <f t="shared" si="914"/>
        <v/>
      </c>
      <c r="D710" s="4" t="s">
        <v>10</v>
      </c>
      <c r="E710" s="4" t="s">
        <v>11</v>
      </c>
      <c r="F710" s="4" t="str">
        <f t="shared" si="855"/>
        <v>!!!</v>
      </c>
      <c r="G710" s="4" t="str">
        <f t="shared" si="915"/>
        <v>+</v>
      </c>
      <c r="H710" s="4"/>
      <c r="I710" s="4" t="str">
        <f t="shared" si="856"/>
        <v>!!!</v>
      </c>
      <c r="J710" s="4" t="e">
        <f t="shared" si="857"/>
        <v>#VALUE!</v>
      </c>
      <c r="K710" s="4" t="e">
        <f t="shared" si="858"/>
        <v>#VALUE!</v>
      </c>
      <c r="L710" s="4" t="e">
        <f t="shared" si="859"/>
        <v>#VALUE!</v>
      </c>
      <c r="M710" s="4">
        <f t="shared" si="916"/>
        <v>1000</v>
      </c>
      <c r="N710" s="4">
        <f t="shared" ref="N710:O710" si="923">MIN(IFERROR(FIND(" ",$C710,M710+1),1000))</f>
        <v>1000</v>
      </c>
      <c r="O710" s="4">
        <f t="shared" si="923"/>
        <v>1000</v>
      </c>
      <c r="P710" s="4">
        <f t="shared" si="918"/>
        <v>0</v>
      </c>
      <c r="Q710" s="4" t="str">
        <f t="shared" si="865"/>
        <v/>
      </c>
      <c r="R710" s="4" t="str">
        <f t="shared" si="881"/>
        <v/>
      </c>
      <c r="S710" s="4" t="str">
        <f t="shared" si="871"/>
        <v/>
      </c>
      <c r="T710" s="4" t="e">
        <f t="shared" si="919"/>
        <v>#VALUE!</v>
      </c>
      <c r="U710" s="4" t="e">
        <f t="shared" si="920"/>
        <v>#VALUE!</v>
      </c>
      <c r="V710" s="4" t="b">
        <f t="shared" si="911"/>
        <v>0</v>
      </c>
      <c r="W710" s="13" t="str">
        <f t="shared" si="912"/>
        <v>Да</v>
      </c>
      <c r="X710" s="4" t="e">
        <f>(IF(COUNTIFS($G$2:G710,"+",$W$2:W710,"Да")&gt;1,"&amp; ","")&amp;D710&amp;J710&amp;E710&amp;SUBSTITUTE(L710,"""",""))</f>
        <v>#VALUE!</v>
      </c>
      <c r="Y710" s="4" t="e">
        <f t="shared" si="868"/>
        <v>#VALUE!</v>
      </c>
    </row>
    <row r="711" spans="1:25" x14ac:dyDescent="0.3">
      <c r="A711" s="11"/>
      <c r="B711" s="5" t="str">
        <f t="shared" si="913"/>
        <v/>
      </c>
      <c r="C711" s="5" t="str">
        <f t="shared" si="914"/>
        <v/>
      </c>
      <c r="D711" s="4" t="s">
        <v>10</v>
      </c>
      <c r="E711" s="4" t="s">
        <v>11</v>
      </c>
      <c r="F711" s="4" t="str">
        <f t="shared" si="855"/>
        <v>!!!</v>
      </c>
      <c r="G711" s="4" t="str">
        <f t="shared" si="915"/>
        <v>+</v>
      </c>
      <c r="H711" s="4"/>
      <c r="I711" s="4" t="str">
        <f t="shared" si="856"/>
        <v>!!!</v>
      </c>
      <c r="J711" s="4" t="e">
        <f t="shared" si="857"/>
        <v>#VALUE!</v>
      </c>
      <c r="K711" s="4" t="e">
        <f t="shared" si="858"/>
        <v>#VALUE!</v>
      </c>
      <c r="L711" s="4" t="e">
        <f t="shared" si="859"/>
        <v>#VALUE!</v>
      </c>
      <c r="M711" s="4">
        <f t="shared" si="916"/>
        <v>1000</v>
      </c>
      <c r="N711" s="4">
        <f t="shared" ref="N711:O711" si="924">MIN(IFERROR(FIND(" ",$C711,M711+1),1000))</f>
        <v>1000</v>
      </c>
      <c r="O711" s="4">
        <f t="shared" si="924"/>
        <v>1000</v>
      </c>
      <c r="P711" s="4">
        <f t="shared" si="918"/>
        <v>0</v>
      </c>
      <c r="Q711" s="4" t="str">
        <f t="shared" si="865"/>
        <v/>
      </c>
      <c r="R711" s="4" t="str">
        <f t="shared" si="881"/>
        <v/>
      </c>
      <c r="S711" s="4" t="str">
        <f t="shared" si="871"/>
        <v/>
      </c>
      <c r="T711" s="4" t="e">
        <f t="shared" si="919"/>
        <v>#VALUE!</v>
      </c>
      <c r="U711" s="4" t="e">
        <f t="shared" si="920"/>
        <v>#VALUE!</v>
      </c>
      <c r="V711" s="4" t="b">
        <f t="shared" si="911"/>
        <v>0</v>
      </c>
      <c r="W711" s="13" t="str">
        <f t="shared" si="912"/>
        <v>Да</v>
      </c>
      <c r="X711" s="4" t="e">
        <f>(IF(COUNTIFS($G$2:G711,"+",$W$2:W711,"Да")&gt;1,"&amp; ","")&amp;D711&amp;J711&amp;E711&amp;SUBSTITUTE(L711,"""",""))</f>
        <v>#VALUE!</v>
      </c>
      <c r="Y711" s="4" t="e">
        <f t="shared" si="868"/>
        <v>#VALUE!</v>
      </c>
    </row>
    <row r="712" spans="1:25" x14ac:dyDescent="0.3">
      <c r="A712" s="11"/>
      <c r="B712" s="5" t="str">
        <f t="shared" si="913"/>
        <v/>
      </c>
      <c r="C712" s="5" t="str">
        <f t="shared" si="914"/>
        <v/>
      </c>
      <c r="D712" s="4" t="s">
        <v>10</v>
      </c>
      <c r="E712" s="4" t="s">
        <v>11</v>
      </c>
      <c r="F712" s="4" t="str">
        <f t="shared" si="855"/>
        <v>!!!</v>
      </c>
      <c r="G712" s="4" t="str">
        <f t="shared" si="915"/>
        <v>+</v>
      </c>
      <c r="H712" s="4"/>
      <c r="I712" s="4" t="str">
        <f t="shared" si="856"/>
        <v>!!!</v>
      </c>
      <c r="J712" s="4" t="e">
        <f t="shared" si="857"/>
        <v>#VALUE!</v>
      </c>
      <c r="K712" s="4" t="e">
        <f t="shared" si="858"/>
        <v>#VALUE!</v>
      </c>
      <c r="L712" s="4" t="e">
        <f t="shared" si="859"/>
        <v>#VALUE!</v>
      </c>
      <c r="M712" s="4">
        <f t="shared" si="916"/>
        <v>1000</v>
      </c>
      <c r="N712" s="4">
        <f t="shared" ref="N712:O712" si="925">MIN(IFERROR(FIND(" ",$C712,M712+1),1000))</f>
        <v>1000</v>
      </c>
      <c r="O712" s="4">
        <f t="shared" si="925"/>
        <v>1000</v>
      </c>
      <c r="P712" s="4">
        <f t="shared" si="918"/>
        <v>0</v>
      </c>
      <c r="Q712" s="4" t="str">
        <f t="shared" si="865"/>
        <v/>
      </c>
      <c r="R712" s="4" t="str">
        <f t="shared" si="881"/>
        <v/>
      </c>
      <c r="S712" s="4" t="str">
        <f t="shared" si="871"/>
        <v/>
      </c>
      <c r="T712" s="4" t="e">
        <f t="shared" si="919"/>
        <v>#VALUE!</v>
      </c>
      <c r="U712" s="4" t="e">
        <f t="shared" si="920"/>
        <v>#VALUE!</v>
      </c>
      <c r="V712" s="4" t="b">
        <f t="shared" si="911"/>
        <v>0</v>
      </c>
      <c r="W712" s="13" t="str">
        <f t="shared" si="912"/>
        <v>Да</v>
      </c>
      <c r="X712" s="4" t="e">
        <f>(IF(COUNTIFS($G$2:G712,"+",$W$2:W712,"Да")&gt;1,"&amp; ","")&amp;D712&amp;J712&amp;E712&amp;SUBSTITUTE(L712,"""",""))</f>
        <v>#VALUE!</v>
      </c>
      <c r="Y712" s="4" t="e">
        <f t="shared" si="868"/>
        <v>#VALUE!</v>
      </c>
    </row>
    <row r="713" spans="1:25" x14ac:dyDescent="0.3">
      <c r="A713" s="11"/>
      <c r="B713" s="5" t="str">
        <f t="shared" si="913"/>
        <v/>
      </c>
      <c r="C713" s="5" t="str">
        <f t="shared" si="914"/>
        <v/>
      </c>
      <c r="D713" s="4" t="s">
        <v>10</v>
      </c>
      <c r="E713" s="4" t="s">
        <v>11</v>
      </c>
      <c r="F713" s="4" t="str">
        <f t="shared" si="855"/>
        <v>!!!</v>
      </c>
      <c r="G713" s="4" t="str">
        <f t="shared" si="915"/>
        <v>+</v>
      </c>
      <c r="H713" s="4"/>
      <c r="I713" s="4" t="str">
        <f t="shared" si="856"/>
        <v>!!!</v>
      </c>
      <c r="J713" s="4" t="e">
        <f t="shared" si="857"/>
        <v>#VALUE!</v>
      </c>
      <c r="K713" s="4" t="e">
        <f t="shared" si="858"/>
        <v>#VALUE!</v>
      </c>
      <c r="L713" s="4" t="e">
        <f t="shared" si="859"/>
        <v>#VALUE!</v>
      </c>
      <c r="M713" s="4">
        <f t="shared" si="916"/>
        <v>1000</v>
      </c>
      <c r="N713" s="4">
        <f t="shared" ref="N713:O713" si="926">MIN(IFERROR(FIND(" ",$C713,M713+1),1000))</f>
        <v>1000</v>
      </c>
      <c r="O713" s="4">
        <f t="shared" si="926"/>
        <v>1000</v>
      </c>
      <c r="P713" s="4">
        <f t="shared" si="918"/>
        <v>0</v>
      </c>
      <c r="Q713" s="4" t="str">
        <f t="shared" si="865"/>
        <v/>
      </c>
      <c r="R713" s="4" t="str">
        <f t="shared" si="881"/>
        <v/>
      </c>
      <c r="S713" s="4" t="str">
        <f t="shared" si="871"/>
        <v/>
      </c>
      <c r="T713" s="4" t="e">
        <f t="shared" si="919"/>
        <v>#VALUE!</v>
      </c>
      <c r="U713" s="4" t="e">
        <f t="shared" si="920"/>
        <v>#VALUE!</v>
      </c>
      <c r="V713" s="4" t="b">
        <f t="shared" si="911"/>
        <v>0</v>
      </c>
      <c r="W713" s="13" t="str">
        <f t="shared" si="912"/>
        <v>Да</v>
      </c>
      <c r="X713" s="4" t="e">
        <f>(IF(COUNTIFS($G$2:G713,"+",$W$2:W713,"Да")&gt;1,"&amp; ","")&amp;D713&amp;J713&amp;E713&amp;SUBSTITUTE(L713,"""",""))</f>
        <v>#VALUE!</v>
      </c>
      <c r="Y713" s="4" t="e">
        <f t="shared" si="868"/>
        <v>#VALUE!</v>
      </c>
    </row>
    <row r="714" spans="1:25" x14ac:dyDescent="0.3">
      <c r="A714" s="11"/>
      <c r="B714" s="5" t="str">
        <f t="shared" si="913"/>
        <v/>
      </c>
      <c r="C714" s="5" t="str">
        <f t="shared" si="914"/>
        <v/>
      </c>
      <c r="D714" s="4" t="s">
        <v>10</v>
      </c>
      <c r="E714" s="4" t="s">
        <v>11</v>
      </c>
      <c r="F714" s="4" t="str">
        <f t="shared" si="855"/>
        <v>!!!</v>
      </c>
      <c r="G714" s="4" t="str">
        <f t="shared" si="915"/>
        <v>+</v>
      </c>
      <c r="H714" s="4"/>
      <c r="I714" s="4" t="str">
        <f t="shared" si="856"/>
        <v>!!!</v>
      </c>
      <c r="J714" s="4" t="e">
        <f t="shared" si="857"/>
        <v>#VALUE!</v>
      </c>
      <c r="K714" s="4" t="e">
        <f t="shared" si="858"/>
        <v>#VALUE!</v>
      </c>
      <c r="L714" s="4" t="e">
        <f t="shared" si="859"/>
        <v>#VALUE!</v>
      </c>
      <c r="M714" s="4">
        <f t="shared" si="916"/>
        <v>1000</v>
      </c>
      <c r="N714" s="4">
        <f t="shared" ref="N714:O714" si="927">MIN(IFERROR(FIND(" ",$C714,M714+1),1000))</f>
        <v>1000</v>
      </c>
      <c r="O714" s="4">
        <f t="shared" si="927"/>
        <v>1000</v>
      </c>
      <c r="P714" s="4">
        <f t="shared" si="918"/>
        <v>0</v>
      </c>
      <c r="Q714" s="4" t="str">
        <f t="shared" si="865"/>
        <v/>
      </c>
      <c r="R714" s="4" t="str">
        <f t="shared" si="881"/>
        <v/>
      </c>
      <c r="S714" s="4" t="str">
        <f t="shared" si="871"/>
        <v/>
      </c>
      <c r="T714" s="4" t="e">
        <f t="shared" si="919"/>
        <v>#VALUE!</v>
      </c>
      <c r="U714" s="4" t="e">
        <f t="shared" si="920"/>
        <v>#VALUE!</v>
      </c>
      <c r="V714" s="4" t="b">
        <f t="shared" si="911"/>
        <v>0</v>
      </c>
      <c r="W714" s="13" t="str">
        <f t="shared" si="912"/>
        <v>Да</v>
      </c>
      <c r="X714" s="4" t="e">
        <f>(IF(COUNTIFS($G$2:G714,"+",$W$2:W714,"Да")&gt;1,"&amp; ","")&amp;D714&amp;J714&amp;E714&amp;SUBSTITUTE(L714,"""",""))</f>
        <v>#VALUE!</v>
      </c>
      <c r="Y714" s="4" t="e">
        <f t="shared" si="868"/>
        <v>#VALUE!</v>
      </c>
    </row>
    <row r="715" spans="1:25" x14ac:dyDescent="0.3">
      <c r="A715" s="11"/>
      <c r="B715" s="5" t="str">
        <f t="shared" si="913"/>
        <v/>
      </c>
      <c r="C715" s="5" t="str">
        <f t="shared" si="914"/>
        <v/>
      </c>
      <c r="D715" s="4" t="s">
        <v>10</v>
      </c>
      <c r="E715" s="4" t="s">
        <v>11</v>
      </c>
      <c r="F715" s="4" t="str">
        <f t="shared" si="855"/>
        <v>!!!</v>
      </c>
      <c r="G715" s="4" t="str">
        <f t="shared" si="915"/>
        <v>+</v>
      </c>
      <c r="H715" s="4"/>
      <c r="I715" s="4" t="str">
        <f t="shared" si="856"/>
        <v>!!!</v>
      </c>
      <c r="J715" s="4" t="e">
        <f t="shared" si="857"/>
        <v>#VALUE!</v>
      </c>
      <c r="K715" s="4" t="e">
        <f t="shared" si="858"/>
        <v>#VALUE!</v>
      </c>
      <c r="L715" s="4" t="e">
        <f t="shared" si="859"/>
        <v>#VALUE!</v>
      </c>
      <c r="M715" s="4">
        <f t="shared" si="916"/>
        <v>1000</v>
      </c>
      <c r="N715" s="4">
        <f t="shared" ref="N715:O715" si="928">MIN(IFERROR(FIND(" ",$C715,M715+1),1000))</f>
        <v>1000</v>
      </c>
      <c r="O715" s="4">
        <f t="shared" si="928"/>
        <v>1000</v>
      </c>
      <c r="P715" s="4">
        <f t="shared" si="918"/>
        <v>0</v>
      </c>
      <c r="Q715" s="4" t="str">
        <f t="shared" si="865"/>
        <v/>
      </c>
      <c r="R715" s="4" t="str">
        <f t="shared" si="881"/>
        <v/>
      </c>
      <c r="S715" s="4" t="str">
        <f t="shared" si="871"/>
        <v/>
      </c>
      <c r="T715" s="4" t="e">
        <f t="shared" si="919"/>
        <v>#VALUE!</v>
      </c>
      <c r="U715" s="4" t="e">
        <f t="shared" si="920"/>
        <v>#VALUE!</v>
      </c>
      <c r="V715" s="4" t="b">
        <f t="shared" si="911"/>
        <v>0</v>
      </c>
      <c r="W715" s="13" t="str">
        <f t="shared" si="912"/>
        <v>Да</v>
      </c>
      <c r="X715" s="4" t="e">
        <f>(IF(COUNTIFS($G$2:G715,"+",$W$2:W715,"Да")&gt;1,"&amp; ","")&amp;D715&amp;J715&amp;E715&amp;SUBSTITUTE(L715,"""",""))</f>
        <v>#VALUE!</v>
      </c>
      <c r="Y715" s="4" t="e">
        <f t="shared" si="868"/>
        <v>#VALUE!</v>
      </c>
    </row>
    <row r="716" spans="1:25" x14ac:dyDescent="0.3">
      <c r="A716" s="11"/>
      <c r="B716" s="5" t="str">
        <f t="shared" si="913"/>
        <v/>
      </c>
      <c r="C716" s="5" t="str">
        <f t="shared" si="914"/>
        <v/>
      </c>
      <c r="D716" s="4" t="s">
        <v>10</v>
      </c>
      <c r="E716" s="4" t="s">
        <v>11</v>
      </c>
      <c r="F716" s="4" t="str">
        <f t="shared" si="855"/>
        <v>!!!</v>
      </c>
      <c r="G716" s="4" t="str">
        <f t="shared" si="915"/>
        <v>+</v>
      </c>
      <c r="H716" s="4"/>
      <c r="I716" s="4" t="str">
        <f t="shared" si="856"/>
        <v>!!!</v>
      </c>
      <c r="J716" s="4" t="e">
        <f t="shared" si="857"/>
        <v>#VALUE!</v>
      </c>
      <c r="K716" s="4" t="e">
        <f t="shared" si="858"/>
        <v>#VALUE!</v>
      </c>
      <c r="L716" s="4" t="e">
        <f t="shared" si="859"/>
        <v>#VALUE!</v>
      </c>
      <c r="M716" s="4">
        <f t="shared" si="916"/>
        <v>1000</v>
      </c>
      <c r="N716" s="4">
        <f t="shared" ref="N716:O716" si="929">MIN(IFERROR(FIND(" ",$C716,M716+1),1000))</f>
        <v>1000</v>
      </c>
      <c r="O716" s="4">
        <f t="shared" si="929"/>
        <v>1000</v>
      </c>
      <c r="P716" s="4">
        <f t="shared" si="918"/>
        <v>0</v>
      </c>
      <c r="Q716" s="4" t="str">
        <f t="shared" si="865"/>
        <v/>
      </c>
      <c r="R716" s="4" t="str">
        <f t="shared" si="881"/>
        <v/>
      </c>
      <c r="S716" s="4" t="str">
        <f t="shared" si="871"/>
        <v/>
      </c>
      <c r="T716" s="4" t="e">
        <f t="shared" si="919"/>
        <v>#VALUE!</v>
      </c>
      <c r="U716" s="4" t="e">
        <f t="shared" si="920"/>
        <v>#VALUE!</v>
      </c>
      <c r="V716" s="4" t="b">
        <f t="shared" si="911"/>
        <v>0</v>
      </c>
      <c r="W716" s="13" t="str">
        <f t="shared" si="912"/>
        <v>Да</v>
      </c>
      <c r="X716" s="4" t="e">
        <f>(IF(COUNTIFS($G$2:G716,"+",$W$2:W716,"Да")&gt;1,"&amp; ","")&amp;D716&amp;J716&amp;E716&amp;SUBSTITUTE(L716,"""",""))</f>
        <v>#VALUE!</v>
      </c>
      <c r="Y716" s="4" t="e">
        <f t="shared" si="868"/>
        <v>#VALUE!</v>
      </c>
    </row>
    <row r="717" spans="1:25" x14ac:dyDescent="0.3">
      <c r="A717" s="11"/>
      <c r="B717" s="5" t="str">
        <f t="shared" si="913"/>
        <v/>
      </c>
      <c r="C717" s="5" t="str">
        <f t="shared" si="914"/>
        <v/>
      </c>
      <c r="D717" s="4" t="s">
        <v>10</v>
      </c>
      <c r="E717" s="4" t="s">
        <v>11</v>
      </c>
      <c r="F717" s="4" t="str">
        <f t="shared" si="855"/>
        <v>!!!</v>
      </c>
      <c r="G717" s="4" t="str">
        <f t="shared" si="915"/>
        <v>+</v>
      </c>
      <c r="H717" s="4"/>
      <c r="I717" s="4" t="str">
        <f t="shared" si="856"/>
        <v>!!!</v>
      </c>
      <c r="J717" s="4" t="e">
        <f t="shared" si="857"/>
        <v>#VALUE!</v>
      </c>
      <c r="K717" s="4" t="e">
        <f t="shared" si="858"/>
        <v>#VALUE!</v>
      </c>
      <c r="L717" s="4" t="e">
        <f t="shared" si="859"/>
        <v>#VALUE!</v>
      </c>
      <c r="M717" s="4">
        <f t="shared" si="916"/>
        <v>1000</v>
      </c>
      <c r="N717" s="4">
        <f t="shared" ref="N717:O717" si="930">MIN(IFERROR(FIND(" ",$C717,M717+1),1000))</f>
        <v>1000</v>
      </c>
      <c r="O717" s="4">
        <f t="shared" si="930"/>
        <v>1000</v>
      </c>
      <c r="P717" s="4">
        <f t="shared" si="918"/>
        <v>0</v>
      </c>
      <c r="Q717" s="4" t="str">
        <f t="shared" si="865"/>
        <v/>
      </c>
      <c r="R717" s="4" t="str">
        <f t="shared" si="881"/>
        <v/>
      </c>
      <c r="S717" s="4" t="str">
        <f t="shared" si="871"/>
        <v/>
      </c>
      <c r="T717" s="4" t="e">
        <f t="shared" si="919"/>
        <v>#VALUE!</v>
      </c>
      <c r="U717" s="4" t="e">
        <f t="shared" si="920"/>
        <v>#VALUE!</v>
      </c>
      <c r="V717" s="4" t="b">
        <f t="shared" si="911"/>
        <v>0</v>
      </c>
      <c r="W717" s="13" t="str">
        <f t="shared" si="912"/>
        <v>Да</v>
      </c>
      <c r="X717" s="4" t="e">
        <f>(IF(COUNTIFS($G$2:G717,"+",$W$2:W717,"Да")&gt;1,"&amp; ","")&amp;D717&amp;J717&amp;E717&amp;SUBSTITUTE(L717,"""",""))</f>
        <v>#VALUE!</v>
      </c>
      <c r="Y717" s="4" t="e">
        <f t="shared" si="868"/>
        <v>#VALUE!</v>
      </c>
    </row>
    <row r="718" spans="1:25" x14ac:dyDescent="0.3">
      <c r="A718" s="11"/>
      <c r="B718" s="5" t="str">
        <f t="shared" si="913"/>
        <v/>
      </c>
      <c r="C718" s="5" t="str">
        <f t="shared" si="914"/>
        <v/>
      </c>
      <c r="D718" s="4" t="s">
        <v>10</v>
      </c>
      <c r="E718" s="4" t="s">
        <v>11</v>
      </c>
      <c r="F718" s="4" t="str">
        <f t="shared" si="855"/>
        <v>!!!</v>
      </c>
      <c r="G718" s="4" t="str">
        <f t="shared" si="915"/>
        <v>+</v>
      </c>
      <c r="H718" s="4"/>
      <c r="I718" s="4" t="str">
        <f t="shared" si="856"/>
        <v>!!!</v>
      </c>
      <c r="J718" s="4" t="e">
        <f t="shared" si="857"/>
        <v>#VALUE!</v>
      </c>
      <c r="K718" s="4" t="e">
        <f t="shared" si="858"/>
        <v>#VALUE!</v>
      </c>
      <c r="L718" s="4" t="e">
        <f t="shared" si="859"/>
        <v>#VALUE!</v>
      </c>
      <c r="M718" s="4">
        <f t="shared" si="916"/>
        <v>1000</v>
      </c>
      <c r="N718" s="4">
        <f t="shared" ref="N718:O718" si="931">MIN(IFERROR(FIND(" ",$C718,M718+1),1000))</f>
        <v>1000</v>
      </c>
      <c r="O718" s="4">
        <f t="shared" si="931"/>
        <v>1000</v>
      </c>
      <c r="P718" s="4">
        <f t="shared" si="918"/>
        <v>0</v>
      </c>
      <c r="Q718" s="4" t="str">
        <f t="shared" si="865"/>
        <v/>
      </c>
      <c r="R718" s="4" t="str">
        <f t="shared" si="881"/>
        <v/>
      </c>
      <c r="S718" s="4" t="str">
        <f t="shared" si="871"/>
        <v/>
      </c>
      <c r="T718" s="4" t="e">
        <f t="shared" si="919"/>
        <v>#VALUE!</v>
      </c>
      <c r="U718" s="4" t="e">
        <f t="shared" si="920"/>
        <v>#VALUE!</v>
      </c>
      <c r="V718" s="4" t="b">
        <f t="shared" si="911"/>
        <v>0</v>
      </c>
      <c r="W718" s="13" t="str">
        <f t="shared" si="912"/>
        <v>Да</v>
      </c>
      <c r="X718" s="4" t="e">
        <f>(IF(COUNTIFS($G$2:G718,"+",$W$2:W718,"Да")&gt;1,"&amp; ","")&amp;D718&amp;J718&amp;E718&amp;SUBSTITUTE(L718,"""",""))</f>
        <v>#VALUE!</v>
      </c>
      <c r="Y718" s="4" t="e">
        <f t="shared" si="868"/>
        <v>#VALUE!</v>
      </c>
    </row>
    <row r="719" spans="1:25" x14ac:dyDescent="0.3">
      <c r="A719" s="11"/>
      <c r="B719" s="5" t="str">
        <f t="shared" si="913"/>
        <v/>
      </c>
      <c r="C719" s="5" t="str">
        <f t="shared" si="914"/>
        <v/>
      </c>
      <c r="D719" s="4" t="s">
        <v>10</v>
      </c>
      <c r="E719" s="4" t="s">
        <v>11</v>
      </c>
      <c r="F719" s="4" t="str">
        <f t="shared" si="855"/>
        <v>!!!</v>
      </c>
      <c r="G719" s="4" t="str">
        <f t="shared" si="915"/>
        <v>+</v>
      </c>
      <c r="H719" s="4"/>
      <c r="I719" s="4" t="str">
        <f t="shared" si="856"/>
        <v>!!!</v>
      </c>
      <c r="J719" s="4" t="e">
        <f t="shared" si="857"/>
        <v>#VALUE!</v>
      </c>
      <c r="K719" s="4" t="e">
        <f t="shared" si="858"/>
        <v>#VALUE!</v>
      </c>
      <c r="L719" s="4" t="e">
        <f t="shared" si="859"/>
        <v>#VALUE!</v>
      </c>
      <c r="M719" s="4">
        <f t="shared" si="916"/>
        <v>1000</v>
      </c>
      <c r="N719" s="4">
        <f t="shared" ref="N719:O719" si="932">MIN(IFERROR(FIND(" ",$C719,M719+1),1000))</f>
        <v>1000</v>
      </c>
      <c r="O719" s="4">
        <f t="shared" si="932"/>
        <v>1000</v>
      </c>
      <c r="P719" s="4">
        <f t="shared" si="918"/>
        <v>0</v>
      </c>
      <c r="Q719" s="4" t="str">
        <f t="shared" si="865"/>
        <v/>
      </c>
      <c r="R719" s="4" t="str">
        <f t="shared" si="881"/>
        <v/>
      </c>
      <c r="S719" s="4" t="str">
        <f t="shared" si="871"/>
        <v/>
      </c>
      <c r="T719" s="4" t="e">
        <f t="shared" si="919"/>
        <v>#VALUE!</v>
      </c>
      <c r="U719" s="4" t="e">
        <f t="shared" si="920"/>
        <v>#VALUE!</v>
      </c>
      <c r="V719" s="4" t="b">
        <f t="shared" si="911"/>
        <v>0</v>
      </c>
      <c r="W719" s="13" t="str">
        <f t="shared" si="912"/>
        <v>Да</v>
      </c>
      <c r="X719" s="4" t="e">
        <f>(IF(COUNTIFS($G$2:G719,"+",$W$2:W719,"Да")&gt;1,"&amp; ","")&amp;D719&amp;J719&amp;E719&amp;SUBSTITUTE(L719,"""",""))</f>
        <v>#VALUE!</v>
      </c>
      <c r="Y719" s="4" t="e">
        <f t="shared" si="868"/>
        <v>#VALUE!</v>
      </c>
    </row>
    <row r="720" spans="1:25" x14ac:dyDescent="0.3">
      <c r="A720" s="11"/>
      <c r="B720" s="5" t="str">
        <f t="shared" si="913"/>
        <v/>
      </c>
      <c r="C720" s="5" t="str">
        <f t="shared" si="914"/>
        <v/>
      </c>
      <c r="D720" s="4" t="s">
        <v>10</v>
      </c>
      <c r="E720" s="4" t="s">
        <v>11</v>
      </c>
      <c r="F720" s="4" t="str">
        <f t="shared" si="855"/>
        <v>!!!</v>
      </c>
      <c r="G720" s="4" t="str">
        <f t="shared" si="915"/>
        <v>+</v>
      </c>
      <c r="H720" s="4"/>
      <c r="I720" s="4" t="str">
        <f t="shared" si="856"/>
        <v>!!!</v>
      </c>
      <c r="J720" s="4" t="e">
        <f t="shared" si="857"/>
        <v>#VALUE!</v>
      </c>
      <c r="K720" s="4" t="e">
        <f t="shared" si="858"/>
        <v>#VALUE!</v>
      </c>
      <c r="L720" s="4" t="e">
        <f t="shared" si="859"/>
        <v>#VALUE!</v>
      </c>
      <c r="M720" s="4">
        <f t="shared" si="916"/>
        <v>1000</v>
      </c>
      <c r="N720" s="4">
        <f t="shared" ref="N720:O720" si="933">MIN(IFERROR(FIND(" ",$C720,M720+1),1000))</f>
        <v>1000</v>
      </c>
      <c r="O720" s="4">
        <f t="shared" si="933"/>
        <v>1000</v>
      </c>
      <c r="P720" s="4">
        <f t="shared" si="918"/>
        <v>0</v>
      </c>
      <c r="Q720" s="4" t="str">
        <f t="shared" si="865"/>
        <v/>
      </c>
      <c r="R720" s="4" t="str">
        <f t="shared" si="881"/>
        <v/>
      </c>
      <c r="S720" s="4" t="str">
        <f t="shared" si="871"/>
        <v/>
      </c>
      <c r="T720" s="4" t="e">
        <f t="shared" si="919"/>
        <v>#VALUE!</v>
      </c>
      <c r="U720" s="4" t="e">
        <f t="shared" si="920"/>
        <v>#VALUE!</v>
      </c>
      <c r="V720" s="4" t="b">
        <f t="shared" si="911"/>
        <v>0</v>
      </c>
      <c r="W720" s="13" t="str">
        <f t="shared" si="912"/>
        <v>Да</v>
      </c>
      <c r="X720" s="4" t="e">
        <f>(IF(COUNTIFS($G$2:G720,"+",$W$2:W720,"Да")&gt;1,"&amp; ","")&amp;D720&amp;J720&amp;E720&amp;SUBSTITUTE(L720,"""",""))</f>
        <v>#VALUE!</v>
      </c>
      <c r="Y720" s="4" t="e">
        <f t="shared" si="868"/>
        <v>#VALUE!</v>
      </c>
    </row>
    <row r="721" spans="1:25" x14ac:dyDescent="0.3">
      <c r="A721" s="11"/>
      <c r="B721" s="5" t="str">
        <f t="shared" si="913"/>
        <v/>
      </c>
      <c r="C721" s="5" t="str">
        <f t="shared" si="914"/>
        <v/>
      </c>
      <c r="D721" s="4" t="s">
        <v>10</v>
      </c>
      <c r="E721" s="4" t="s">
        <v>11</v>
      </c>
      <c r="F721" s="4" t="str">
        <f t="shared" si="855"/>
        <v>!!!</v>
      </c>
      <c r="G721" s="4" t="str">
        <f t="shared" si="915"/>
        <v>+</v>
      </c>
      <c r="H721" s="4"/>
      <c r="I721" s="4" t="str">
        <f t="shared" si="856"/>
        <v>!!!</v>
      </c>
      <c r="J721" s="4" t="e">
        <f t="shared" si="857"/>
        <v>#VALUE!</v>
      </c>
      <c r="K721" s="4" t="e">
        <f t="shared" si="858"/>
        <v>#VALUE!</v>
      </c>
      <c r="L721" s="4" t="e">
        <f t="shared" si="859"/>
        <v>#VALUE!</v>
      </c>
      <c r="M721" s="4">
        <f t="shared" si="916"/>
        <v>1000</v>
      </c>
      <c r="N721" s="4">
        <f t="shared" ref="N721:O721" si="934">MIN(IFERROR(FIND(" ",$C721,M721+1),1000))</f>
        <v>1000</v>
      </c>
      <c r="O721" s="4">
        <f t="shared" si="934"/>
        <v>1000</v>
      </c>
      <c r="P721" s="4">
        <f t="shared" si="918"/>
        <v>0</v>
      </c>
      <c r="Q721" s="4" t="str">
        <f t="shared" si="865"/>
        <v/>
      </c>
      <c r="R721" s="4" t="str">
        <f t="shared" si="881"/>
        <v/>
      </c>
      <c r="S721" s="4" t="str">
        <f t="shared" si="871"/>
        <v/>
      </c>
      <c r="T721" s="4" t="e">
        <f t="shared" si="919"/>
        <v>#VALUE!</v>
      </c>
      <c r="U721" s="4" t="e">
        <f t="shared" si="920"/>
        <v>#VALUE!</v>
      </c>
      <c r="V721" s="4" t="b">
        <f t="shared" si="911"/>
        <v>0</v>
      </c>
      <c r="W721" s="13" t="str">
        <f t="shared" si="912"/>
        <v>Да</v>
      </c>
      <c r="X721" s="4" t="e">
        <f>(IF(COUNTIFS($G$2:G721,"+",$W$2:W721,"Да")&gt;1,"&amp; ","")&amp;D721&amp;J721&amp;E721&amp;SUBSTITUTE(L721,"""",""))</f>
        <v>#VALUE!</v>
      </c>
      <c r="Y721" s="4" t="e">
        <f t="shared" si="868"/>
        <v>#VALUE!</v>
      </c>
    </row>
    <row r="722" spans="1:25" x14ac:dyDescent="0.3">
      <c r="A722" s="11"/>
      <c r="B722" s="5" t="str">
        <f t="shared" si="913"/>
        <v/>
      </c>
      <c r="C722" s="5" t="str">
        <f t="shared" si="914"/>
        <v/>
      </c>
      <c r="D722" s="4" t="s">
        <v>10</v>
      </c>
      <c r="E722" s="4" t="s">
        <v>11</v>
      </c>
      <c r="F722" s="4" t="str">
        <f t="shared" si="855"/>
        <v>!!!</v>
      </c>
      <c r="G722" s="4" t="str">
        <f t="shared" si="915"/>
        <v>+</v>
      </c>
      <c r="H722" s="4"/>
      <c r="I722" s="4" t="str">
        <f t="shared" si="856"/>
        <v>!!!</v>
      </c>
      <c r="J722" s="4" t="e">
        <f t="shared" si="857"/>
        <v>#VALUE!</v>
      </c>
      <c r="K722" s="4" t="e">
        <f t="shared" si="858"/>
        <v>#VALUE!</v>
      </c>
      <c r="L722" s="4" t="e">
        <f t="shared" si="859"/>
        <v>#VALUE!</v>
      </c>
      <c r="M722" s="4">
        <f t="shared" si="916"/>
        <v>1000</v>
      </c>
      <c r="N722" s="4">
        <f t="shared" ref="N722:O722" si="935">MIN(IFERROR(FIND(" ",$C722,M722+1),1000))</f>
        <v>1000</v>
      </c>
      <c r="O722" s="4">
        <f t="shared" si="935"/>
        <v>1000</v>
      </c>
      <c r="P722" s="4">
        <f t="shared" si="918"/>
        <v>0</v>
      </c>
      <c r="Q722" s="4" t="str">
        <f t="shared" si="865"/>
        <v/>
      </c>
      <c r="R722" s="4" t="str">
        <f t="shared" si="881"/>
        <v/>
      </c>
      <c r="S722" s="4" t="str">
        <f t="shared" si="871"/>
        <v/>
      </c>
      <c r="T722" s="4" t="e">
        <f t="shared" si="919"/>
        <v>#VALUE!</v>
      </c>
      <c r="U722" s="4" t="e">
        <f t="shared" si="920"/>
        <v>#VALUE!</v>
      </c>
      <c r="V722" s="4" t="b">
        <f t="shared" si="911"/>
        <v>0</v>
      </c>
      <c r="W722" s="13" t="str">
        <f t="shared" si="912"/>
        <v>Да</v>
      </c>
      <c r="X722" s="4" t="e">
        <f>(IF(COUNTIFS($G$2:G722,"+",$W$2:W722,"Да")&gt;1,"&amp; ","")&amp;D722&amp;J722&amp;E722&amp;SUBSTITUTE(L722,"""",""))</f>
        <v>#VALUE!</v>
      </c>
      <c r="Y722" s="4" t="e">
        <f t="shared" si="868"/>
        <v>#VALUE!</v>
      </c>
    </row>
    <row r="723" spans="1:25" x14ac:dyDescent="0.3">
      <c r="A723" s="11"/>
      <c r="B723" s="5" t="str">
        <f t="shared" si="913"/>
        <v/>
      </c>
      <c r="C723" s="5" t="str">
        <f t="shared" si="914"/>
        <v/>
      </c>
      <c r="D723" s="4" t="s">
        <v>10</v>
      </c>
      <c r="E723" s="4" t="s">
        <v>11</v>
      </c>
      <c r="F723" s="4" t="str">
        <f t="shared" si="855"/>
        <v>!!!</v>
      </c>
      <c r="G723" s="4" t="str">
        <f t="shared" si="915"/>
        <v>+</v>
      </c>
      <c r="H723" s="4"/>
      <c r="I723" s="4" t="str">
        <f t="shared" si="856"/>
        <v>!!!</v>
      </c>
      <c r="J723" s="4" t="e">
        <f t="shared" si="857"/>
        <v>#VALUE!</v>
      </c>
      <c r="K723" s="4" t="e">
        <f t="shared" si="858"/>
        <v>#VALUE!</v>
      </c>
      <c r="L723" s="4" t="e">
        <f t="shared" si="859"/>
        <v>#VALUE!</v>
      </c>
      <c r="M723" s="4">
        <f t="shared" si="916"/>
        <v>1000</v>
      </c>
      <c r="N723" s="4">
        <f t="shared" ref="N723:O723" si="936">MIN(IFERROR(FIND(" ",$C723,M723+1),1000))</f>
        <v>1000</v>
      </c>
      <c r="O723" s="4">
        <f t="shared" si="936"/>
        <v>1000</v>
      </c>
      <c r="P723" s="4">
        <f t="shared" si="918"/>
        <v>0</v>
      </c>
      <c r="Q723" s="4" t="str">
        <f t="shared" si="865"/>
        <v/>
      </c>
      <c r="R723" s="4" t="str">
        <f t="shared" si="881"/>
        <v/>
      </c>
      <c r="S723" s="4" t="str">
        <f t="shared" si="871"/>
        <v/>
      </c>
      <c r="T723" s="4" t="e">
        <f t="shared" si="919"/>
        <v>#VALUE!</v>
      </c>
      <c r="U723" s="4" t="e">
        <f t="shared" si="920"/>
        <v>#VALUE!</v>
      </c>
      <c r="V723" s="4" t="b">
        <f t="shared" si="911"/>
        <v>0</v>
      </c>
      <c r="W723" s="13" t="str">
        <f t="shared" si="912"/>
        <v>Да</v>
      </c>
      <c r="X723" s="4" t="e">
        <f>(IF(COUNTIFS($G$2:G723,"+",$W$2:W723,"Да")&gt;1,"&amp; ","")&amp;D723&amp;J723&amp;E723&amp;SUBSTITUTE(L723,"""",""))</f>
        <v>#VALUE!</v>
      </c>
      <c r="Y723" s="4" t="e">
        <f t="shared" si="868"/>
        <v>#VALUE!</v>
      </c>
    </row>
    <row r="724" spans="1:25" x14ac:dyDescent="0.3">
      <c r="A724" s="11"/>
      <c r="B724" s="5" t="str">
        <f t="shared" si="913"/>
        <v/>
      </c>
      <c r="C724" s="5" t="str">
        <f t="shared" si="914"/>
        <v/>
      </c>
      <c r="D724" s="4" t="s">
        <v>10</v>
      </c>
      <c r="E724" s="4" t="s">
        <v>11</v>
      </c>
      <c r="F724" s="4" t="str">
        <f t="shared" ref="F724:F787" si="937">IFERROR(SEARCH(" as ",B724),"!!!")</f>
        <v>!!!</v>
      </c>
      <c r="G724" s="4" t="str">
        <f t="shared" si="915"/>
        <v>+</v>
      </c>
      <c r="H724" s="4"/>
      <c r="I724" s="4" t="str">
        <f t="shared" ref="I724:I787" si="938">IFERROR(SEARCH(" ",B724),"!!!")</f>
        <v>!!!</v>
      </c>
      <c r="J724" s="4" t="e">
        <f t="shared" ref="J724:J787" si="939">RIGHT(B724,LEN(B724)-F724-3)</f>
        <v>#VALUE!</v>
      </c>
      <c r="K724" s="4" t="e">
        <f t="shared" ref="K724:K787" si="940">MID(B724,I724+1,F724-I724)</f>
        <v>#VALUE!</v>
      </c>
      <c r="L724" s="4" t="e">
        <f t="shared" ref="L724:L787" si="941">MID(B724,I724+1,F724-I724)</f>
        <v>#VALUE!</v>
      </c>
      <c r="M724" s="4">
        <f t="shared" si="916"/>
        <v>1000</v>
      </c>
      <c r="N724" s="4">
        <f t="shared" ref="N724:O724" si="942">MIN(IFERROR(FIND(" ",$C724,M724+1),1000))</f>
        <v>1000</v>
      </c>
      <c r="O724" s="4">
        <f t="shared" si="942"/>
        <v>1000</v>
      </c>
      <c r="P724" s="4">
        <f t="shared" si="918"/>
        <v>0</v>
      </c>
      <c r="Q724" s="4" t="str">
        <f t="shared" si="865"/>
        <v/>
      </c>
      <c r="R724" s="4" t="str">
        <f t="shared" si="881"/>
        <v/>
      </c>
      <c r="S724" s="4" t="str">
        <f t="shared" si="871"/>
        <v/>
      </c>
      <c r="T724" s="4" t="e">
        <f t="shared" si="919"/>
        <v>#VALUE!</v>
      </c>
      <c r="U724" s="4" t="e">
        <f t="shared" si="920"/>
        <v>#VALUE!</v>
      </c>
      <c r="V724" s="4" t="b">
        <f t="shared" si="911"/>
        <v>0</v>
      </c>
      <c r="W724" s="13" t="str">
        <f t="shared" si="912"/>
        <v>Да</v>
      </c>
      <c r="X724" s="4" t="e">
        <f>(IF(COUNTIFS($G$2:G724,"+",$W$2:W724,"Да")&gt;1,"&amp; ","")&amp;D724&amp;J724&amp;E724&amp;SUBSTITUTE(L724,"""",""))</f>
        <v>#VALUE!</v>
      </c>
      <c r="Y724" s="4" t="e">
        <f t="shared" si="868"/>
        <v>#VALUE!</v>
      </c>
    </row>
    <row r="725" spans="1:25" x14ac:dyDescent="0.3">
      <c r="A725" s="11"/>
      <c r="B725" s="5" t="str">
        <f t="shared" si="913"/>
        <v/>
      </c>
      <c r="C725" s="5" t="str">
        <f t="shared" si="914"/>
        <v/>
      </c>
      <c r="D725" s="4" t="s">
        <v>10</v>
      </c>
      <c r="E725" s="4" t="s">
        <v>11</v>
      </c>
      <c r="F725" s="4" t="str">
        <f t="shared" si="937"/>
        <v>!!!</v>
      </c>
      <c r="G725" s="4" t="str">
        <f t="shared" si="915"/>
        <v>+</v>
      </c>
      <c r="H725" s="4"/>
      <c r="I725" s="4" t="str">
        <f t="shared" si="938"/>
        <v>!!!</v>
      </c>
      <c r="J725" s="4" t="e">
        <f t="shared" si="939"/>
        <v>#VALUE!</v>
      </c>
      <c r="K725" s="4" t="e">
        <f t="shared" si="940"/>
        <v>#VALUE!</v>
      </c>
      <c r="L725" s="4" t="e">
        <f t="shared" si="941"/>
        <v>#VALUE!</v>
      </c>
      <c r="M725" s="4">
        <f t="shared" si="916"/>
        <v>1000</v>
      </c>
      <c r="N725" s="4">
        <f t="shared" ref="N725:O725" si="943">MIN(IFERROR(FIND(" ",$C725,M725+1),1000))</f>
        <v>1000</v>
      </c>
      <c r="O725" s="4">
        <f t="shared" si="943"/>
        <v>1000</v>
      </c>
      <c r="P725" s="4">
        <f t="shared" si="918"/>
        <v>0</v>
      </c>
      <c r="Q725" s="4" t="str">
        <f t="shared" si="865"/>
        <v/>
      </c>
      <c r="R725" s="4" t="str">
        <f t="shared" si="881"/>
        <v/>
      </c>
      <c r="S725" s="4" t="str">
        <f t="shared" si="871"/>
        <v/>
      </c>
      <c r="T725" s="4" t="e">
        <f t="shared" si="919"/>
        <v>#VALUE!</v>
      </c>
      <c r="U725" s="4" t="e">
        <f t="shared" si="920"/>
        <v>#VALUE!</v>
      </c>
      <c r="V725" s="4" t="b">
        <f t="shared" si="911"/>
        <v>0</v>
      </c>
      <c r="W725" s="13" t="str">
        <f t="shared" si="912"/>
        <v>Да</v>
      </c>
      <c r="X725" s="4" t="e">
        <f>(IF(COUNTIFS($G$2:G725,"+",$W$2:W725,"Да")&gt;1,"&amp; ","")&amp;D725&amp;J725&amp;E725&amp;SUBSTITUTE(L725,"""",""))</f>
        <v>#VALUE!</v>
      </c>
      <c r="Y725" s="4" t="e">
        <f t="shared" si="868"/>
        <v>#VALUE!</v>
      </c>
    </row>
    <row r="726" spans="1:25" x14ac:dyDescent="0.3">
      <c r="A726" s="11"/>
      <c r="B726" s="5" t="str">
        <f t="shared" si="913"/>
        <v/>
      </c>
      <c r="C726" s="5" t="str">
        <f t="shared" si="914"/>
        <v/>
      </c>
      <c r="D726" s="4" t="s">
        <v>10</v>
      </c>
      <c r="E726" s="4" t="s">
        <v>11</v>
      </c>
      <c r="F726" s="4" t="str">
        <f t="shared" si="937"/>
        <v>!!!</v>
      </c>
      <c r="G726" s="4" t="str">
        <f t="shared" si="915"/>
        <v>+</v>
      </c>
      <c r="H726" s="4"/>
      <c r="I726" s="4" t="str">
        <f t="shared" si="938"/>
        <v>!!!</v>
      </c>
      <c r="J726" s="4" t="e">
        <f t="shared" si="939"/>
        <v>#VALUE!</v>
      </c>
      <c r="K726" s="4" t="e">
        <f t="shared" si="940"/>
        <v>#VALUE!</v>
      </c>
      <c r="L726" s="4" t="e">
        <f t="shared" si="941"/>
        <v>#VALUE!</v>
      </c>
      <c r="M726" s="4">
        <f t="shared" si="916"/>
        <v>1000</v>
      </c>
      <c r="N726" s="4">
        <f t="shared" ref="N726:O726" si="944">MIN(IFERROR(FIND(" ",$C726,M726+1),1000))</f>
        <v>1000</v>
      </c>
      <c r="O726" s="4">
        <f t="shared" si="944"/>
        <v>1000</v>
      </c>
      <c r="P726" s="4">
        <f t="shared" si="918"/>
        <v>0</v>
      </c>
      <c r="Q726" s="4" t="str">
        <f t="shared" si="865"/>
        <v/>
      </c>
      <c r="R726" s="4" t="str">
        <f t="shared" si="881"/>
        <v/>
      </c>
      <c r="S726" s="4" t="str">
        <f t="shared" si="871"/>
        <v/>
      </c>
      <c r="T726" s="4" t="e">
        <f t="shared" si="919"/>
        <v>#VALUE!</v>
      </c>
      <c r="U726" s="4" t="e">
        <f t="shared" si="920"/>
        <v>#VALUE!</v>
      </c>
      <c r="V726" s="4" t="b">
        <f t="shared" si="911"/>
        <v>0</v>
      </c>
      <c r="W726" s="13" t="str">
        <f t="shared" si="912"/>
        <v>Да</v>
      </c>
      <c r="X726" s="4" t="e">
        <f>(IF(COUNTIFS($G$2:G726,"+",$W$2:W726,"Да")&gt;1,"&amp; ","")&amp;D726&amp;J726&amp;E726&amp;SUBSTITUTE(L726,"""",""))</f>
        <v>#VALUE!</v>
      </c>
      <c r="Y726" s="4" t="e">
        <f t="shared" si="868"/>
        <v>#VALUE!</v>
      </c>
    </row>
    <row r="727" spans="1:25" x14ac:dyDescent="0.3">
      <c r="A727" s="11"/>
      <c r="B727" s="5" t="str">
        <f t="shared" si="913"/>
        <v/>
      </c>
      <c r="C727" s="5" t="str">
        <f t="shared" si="914"/>
        <v/>
      </c>
      <c r="D727" s="4" t="s">
        <v>10</v>
      </c>
      <c r="E727" s="4" t="s">
        <v>11</v>
      </c>
      <c r="F727" s="4" t="str">
        <f t="shared" si="937"/>
        <v>!!!</v>
      </c>
      <c r="G727" s="4" t="str">
        <f t="shared" si="915"/>
        <v>+</v>
      </c>
      <c r="H727" s="4"/>
      <c r="I727" s="4" t="str">
        <f t="shared" si="938"/>
        <v>!!!</v>
      </c>
      <c r="J727" s="4" t="e">
        <f t="shared" si="939"/>
        <v>#VALUE!</v>
      </c>
      <c r="K727" s="4" t="e">
        <f t="shared" si="940"/>
        <v>#VALUE!</v>
      </c>
      <c r="L727" s="4" t="e">
        <f t="shared" si="941"/>
        <v>#VALUE!</v>
      </c>
      <c r="M727" s="4">
        <f t="shared" si="916"/>
        <v>1000</v>
      </c>
      <c r="N727" s="4">
        <f t="shared" ref="N727:O727" si="945">MIN(IFERROR(FIND(" ",$C727,M727+1),1000))</f>
        <v>1000</v>
      </c>
      <c r="O727" s="4">
        <f t="shared" si="945"/>
        <v>1000</v>
      </c>
      <c r="P727" s="4">
        <f t="shared" si="918"/>
        <v>0</v>
      </c>
      <c r="Q727" s="4" t="str">
        <f t="shared" si="865"/>
        <v/>
      </c>
      <c r="R727" s="4" t="str">
        <f t="shared" si="881"/>
        <v/>
      </c>
      <c r="S727" s="4" t="str">
        <f t="shared" si="871"/>
        <v/>
      </c>
      <c r="T727" s="4" t="e">
        <f t="shared" si="919"/>
        <v>#VALUE!</v>
      </c>
      <c r="U727" s="4" t="e">
        <f t="shared" si="920"/>
        <v>#VALUE!</v>
      </c>
      <c r="V727" s="4" t="b">
        <f t="shared" si="911"/>
        <v>0</v>
      </c>
      <c r="W727" s="13" t="str">
        <f t="shared" si="912"/>
        <v>Да</v>
      </c>
      <c r="X727" s="4" t="e">
        <f>(IF(COUNTIFS($G$2:G727,"+",$W$2:W727,"Да")&gt;1,"&amp; ","")&amp;D727&amp;J727&amp;E727&amp;SUBSTITUTE(L727,"""",""))</f>
        <v>#VALUE!</v>
      </c>
      <c r="Y727" s="4" t="e">
        <f t="shared" si="868"/>
        <v>#VALUE!</v>
      </c>
    </row>
    <row r="728" spans="1:25" x14ac:dyDescent="0.3">
      <c r="A728" s="11"/>
      <c r="B728" s="5" t="str">
        <f t="shared" si="913"/>
        <v/>
      </c>
      <c r="C728" s="5" t="str">
        <f t="shared" si="914"/>
        <v/>
      </c>
      <c r="D728" s="4" t="s">
        <v>10</v>
      </c>
      <c r="E728" s="4" t="s">
        <v>11</v>
      </c>
      <c r="F728" s="4" t="str">
        <f t="shared" si="937"/>
        <v>!!!</v>
      </c>
      <c r="G728" s="4" t="str">
        <f t="shared" si="915"/>
        <v>+</v>
      </c>
      <c r="H728" s="4"/>
      <c r="I728" s="4" t="str">
        <f t="shared" si="938"/>
        <v>!!!</v>
      </c>
      <c r="J728" s="4" t="e">
        <f t="shared" si="939"/>
        <v>#VALUE!</v>
      </c>
      <c r="K728" s="4" t="e">
        <f t="shared" si="940"/>
        <v>#VALUE!</v>
      </c>
      <c r="L728" s="4" t="e">
        <f t="shared" si="941"/>
        <v>#VALUE!</v>
      </c>
      <c r="M728" s="4">
        <f t="shared" si="916"/>
        <v>1000</v>
      </c>
      <c r="N728" s="4">
        <f t="shared" ref="N728:O728" si="946">MIN(IFERROR(FIND(" ",$C728,M728+1),1000))</f>
        <v>1000</v>
      </c>
      <c r="O728" s="4">
        <f t="shared" si="946"/>
        <v>1000</v>
      </c>
      <c r="P728" s="4">
        <f t="shared" si="918"/>
        <v>0</v>
      </c>
      <c r="Q728" s="4" t="str">
        <f t="shared" ref="Q728:Q791" si="947">LEFT(C728,M728-1)</f>
        <v/>
      </c>
      <c r="R728" s="4" t="str">
        <f t="shared" si="881"/>
        <v/>
      </c>
      <c r="S728" s="4" t="str">
        <f t="shared" si="871"/>
        <v/>
      </c>
      <c r="T728" s="4" t="e">
        <f t="shared" si="919"/>
        <v>#VALUE!</v>
      </c>
      <c r="U728" s="4" t="e">
        <f t="shared" si="920"/>
        <v>#VALUE!</v>
      </c>
      <c r="V728" s="4" t="b">
        <f t="shared" si="911"/>
        <v>0</v>
      </c>
      <c r="W728" s="13" t="str">
        <f t="shared" si="912"/>
        <v>Да</v>
      </c>
      <c r="X728" s="4" t="e">
        <f>(IF(COUNTIFS($G$2:G728,"+",$W$2:W728,"Да")&gt;1,"&amp; ","")&amp;D728&amp;J728&amp;E728&amp;SUBSTITUTE(L728,"""",""))</f>
        <v>#VALUE!</v>
      </c>
      <c r="Y728" s="4" t="e">
        <f t="shared" si="868"/>
        <v>#VALUE!</v>
      </c>
    </row>
    <row r="729" spans="1:25" x14ac:dyDescent="0.3">
      <c r="A729" s="11"/>
      <c r="B729" s="5" t="str">
        <f t="shared" si="913"/>
        <v/>
      </c>
      <c r="C729" s="5" t="str">
        <f t="shared" si="914"/>
        <v/>
      </c>
      <c r="D729" s="4" t="s">
        <v>10</v>
      </c>
      <c r="E729" s="4" t="s">
        <v>11</v>
      </c>
      <c r="F729" s="4" t="str">
        <f t="shared" si="937"/>
        <v>!!!</v>
      </c>
      <c r="G729" s="4" t="str">
        <f t="shared" si="915"/>
        <v>+</v>
      </c>
      <c r="H729" s="4"/>
      <c r="I729" s="4" t="str">
        <f t="shared" si="938"/>
        <v>!!!</v>
      </c>
      <c r="J729" s="4" t="e">
        <f t="shared" si="939"/>
        <v>#VALUE!</v>
      </c>
      <c r="K729" s="4" t="e">
        <f t="shared" si="940"/>
        <v>#VALUE!</v>
      </c>
      <c r="L729" s="4" t="e">
        <f t="shared" si="941"/>
        <v>#VALUE!</v>
      </c>
      <c r="M729" s="4">
        <f t="shared" si="916"/>
        <v>1000</v>
      </c>
      <c r="N729" s="4">
        <f t="shared" ref="N729:O729" si="948">MIN(IFERROR(FIND(" ",$C729,M729+1),1000))</f>
        <v>1000</v>
      </c>
      <c r="O729" s="4">
        <f t="shared" si="948"/>
        <v>1000</v>
      </c>
      <c r="P729" s="4">
        <f t="shared" si="918"/>
        <v>0</v>
      </c>
      <c r="Q729" s="4" t="str">
        <f t="shared" si="947"/>
        <v/>
      </c>
      <c r="R729" s="4" t="str">
        <f t="shared" si="881"/>
        <v/>
      </c>
      <c r="S729" s="4" t="str">
        <f t="shared" si="871"/>
        <v/>
      </c>
      <c r="T729" s="4" t="e">
        <f t="shared" si="919"/>
        <v>#VALUE!</v>
      </c>
      <c r="U729" s="4" t="e">
        <f t="shared" si="920"/>
        <v>#VALUE!</v>
      </c>
      <c r="V729" s="4" t="b">
        <f t="shared" si="911"/>
        <v>0</v>
      </c>
      <c r="W729" s="13" t="str">
        <f t="shared" si="912"/>
        <v>Да</v>
      </c>
      <c r="X729" s="4" t="e">
        <f>(IF(COUNTIFS($G$2:G729,"+",$W$2:W729,"Да")&gt;1,"&amp; ","")&amp;D729&amp;J729&amp;E729&amp;SUBSTITUTE(L729,"""",""))</f>
        <v>#VALUE!</v>
      </c>
      <c r="Y729" s="4" t="e">
        <f t="shared" si="868"/>
        <v>#VALUE!</v>
      </c>
    </row>
    <row r="730" spans="1:25" x14ac:dyDescent="0.3">
      <c r="A730" s="11"/>
      <c r="B730" s="5" t="str">
        <f t="shared" si="913"/>
        <v/>
      </c>
      <c r="C730" s="5" t="str">
        <f t="shared" si="914"/>
        <v/>
      </c>
      <c r="D730" s="4" t="s">
        <v>10</v>
      </c>
      <c r="E730" s="4" t="s">
        <v>11</v>
      </c>
      <c r="F730" s="4" t="str">
        <f t="shared" si="937"/>
        <v>!!!</v>
      </c>
      <c r="G730" s="4" t="str">
        <f t="shared" si="915"/>
        <v>+</v>
      </c>
      <c r="H730" s="4"/>
      <c r="I730" s="4" t="str">
        <f t="shared" si="938"/>
        <v>!!!</v>
      </c>
      <c r="J730" s="4" t="e">
        <f t="shared" si="939"/>
        <v>#VALUE!</v>
      </c>
      <c r="K730" s="4" t="e">
        <f t="shared" si="940"/>
        <v>#VALUE!</v>
      </c>
      <c r="L730" s="4" t="e">
        <f t="shared" si="941"/>
        <v>#VALUE!</v>
      </c>
      <c r="M730" s="4">
        <f t="shared" si="916"/>
        <v>1000</v>
      </c>
      <c r="N730" s="4">
        <f t="shared" ref="N730:O730" si="949">MIN(IFERROR(FIND(" ",$C730,M730+1),1000))</f>
        <v>1000</v>
      </c>
      <c r="O730" s="4">
        <f t="shared" si="949"/>
        <v>1000</v>
      </c>
      <c r="P730" s="4">
        <f t="shared" si="918"/>
        <v>0</v>
      </c>
      <c r="Q730" s="4" t="str">
        <f t="shared" si="947"/>
        <v/>
      </c>
      <c r="R730" s="4" t="str">
        <f t="shared" si="881"/>
        <v/>
      </c>
      <c r="S730" s="4" t="str">
        <f t="shared" si="871"/>
        <v/>
      </c>
      <c r="T730" s="4" t="e">
        <f t="shared" si="919"/>
        <v>#VALUE!</v>
      </c>
      <c r="U730" s="4" t="e">
        <f t="shared" si="920"/>
        <v>#VALUE!</v>
      </c>
      <c r="V730" s="4" t="b">
        <f t="shared" si="911"/>
        <v>0</v>
      </c>
      <c r="W730" s="13" t="str">
        <f t="shared" si="912"/>
        <v>Да</v>
      </c>
      <c r="X730" s="4" t="e">
        <f>(IF(COUNTIFS($G$2:G730,"+",$W$2:W730,"Да")&gt;1,"&amp; ","")&amp;D730&amp;J730&amp;E730&amp;SUBSTITUTE(L730,"""",""))</f>
        <v>#VALUE!</v>
      </c>
      <c r="Y730" s="4" t="e">
        <f t="shared" ref="Y730:Y793" si="950">IF(S730="",X730,LEFT(X730,FIND(":",X730))&amp;" "&amp;S730)</f>
        <v>#VALUE!</v>
      </c>
    </row>
    <row r="731" spans="1:25" x14ac:dyDescent="0.3">
      <c r="A731" s="11"/>
      <c r="B731" s="5" t="str">
        <f t="shared" si="913"/>
        <v/>
      </c>
      <c r="C731" s="5" t="str">
        <f t="shared" si="914"/>
        <v/>
      </c>
      <c r="D731" s="4" t="s">
        <v>10</v>
      </c>
      <c r="E731" s="4" t="s">
        <v>11</v>
      </c>
      <c r="F731" s="4" t="str">
        <f t="shared" si="937"/>
        <v>!!!</v>
      </c>
      <c r="G731" s="4" t="str">
        <f t="shared" si="915"/>
        <v>+</v>
      </c>
      <c r="H731" s="4"/>
      <c r="I731" s="4" t="str">
        <f t="shared" si="938"/>
        <v>!!!</v>
      </c>
      <c r="J731" s="4" t="e">
        <f t="shared" si="939"/>
        <v>#VALUE!</v>
      </c>
      <c r="K731" s="4" t="e">
        <f t="shared" si="940"/>
        <v>#VALUE!</v>
      </c>
      <c r="L731" s="4" t="e">
        <f t="shared" si="941"/>
        <v>#VALUE!</v>
      </c>
      <c r="M731" s="4">
        <f t="shared" si="916"/>
        <v>1000</v>
      </c>
      <c r="N731" s="4">
        <f t="shared" ref="N731:O731" si="951">MIN(IFERROR(FIND(" ",$C731,M731+1),1000))</f>
        <v>1000</v>
      </c>
      <c r="O731" s="4">
        <f t="shared" si="951"/>
        <v>1000</v>
      </c>
      <c r="P731" s="4">
        <f t="shared" si="918"/>
        <v>0</v>
      </c>
      <c r="Q731" s="4" t="str">
        <f t="shared" si="947"/>
        <v/>
      </c>
      <c r="R731" s="4" t="str">
        <f t="shared" si="881"/>
        <v/>
      </c>
      <c r="S731" s="4" t="str">
        <f t="shared" si="871"/>
        <v/>
      </c>
      <c r="T731" s="4" t="e">
        <f t="shared" si="919"/>
        <v>#VALUE!</v>
      </c>
      <c r="U731" s="4" t="e">
        <f t="shared" si="920"/>
        <v>#VALUE!</v>
      </c>
      <c r="V731" s="4" t="b">
        <f t="shared" si="911"/>
        <v>0</v>
      </c>
      <c r="W731" s="13" t="str">
        <f t="shared" si="912"/>
        <v>Да</v>
      </c>
      <c r="X731" s="4" t="e">
        <f>(IF(COUNTIFS($G$2:G731,"+",$W$2:W731,"Да")&gt;1,"&amp; ","")&amp;D731&amp;J731&amp;E731&amp;SUBSTITUTE(L731,"""",""))</f>
        <v>#VALUE!</v>
      </c>
      <c r="Y731" s="4" t="e">
        <f t="shared" si="950"/>
        <v>#VALUE!</v>
      </c>
    </row>
    <row r="732" spans="1:25" x14ac:dyDescent="0.3">
      <c r="A732" s="11"/>
      <c r="B732" s="5" t="str">
        <f t="shared" si="913"/>
        <v/>
      </c>
      <c r="C732" s="5" t="str">
        <f t="shared" si="914"/>
        <v/>
      </c>
      <c r="D732" s="4" t="s">
        <v>10</v>
      </c>
      <c r="E732" s="4" t="s">
        <v>11</v>
      </c>
      <c r="F732" s="4" t="str">
        <f t="shared" si="937"/>
        <v>!!!</v>
      </c>
      <c r="G732" s="4" t="str">
        <f t="shared" si="915"/>
        <v>+</v>
      </c>
      <c r="H732" s="4"/>
      <c r="I732" s="4" t="str">
        <f t="shared" si="938"/>
        <v>!!!</v>
      </c>
      <c r="J732" s="4" t="e">
        <f t="shared" si="939"/>
        <v>#VALUE!</v>
      </c>
      <c r="K732" s="4" t="e">
        <f t="shared" si="940"/>
        <v>#VALUE!</v>
      </c>
      <c r="L732" s="4" t="e">
        <f t="shared" si="941"/>
        <v>#VALUE!</v>
      </c>
      <c r="M732" s="4">
        <f t="shared" si="916"/>
        <v>1000</v>
      </c>
      <c r="N732" s="4">
        <f t="shared" ref="N732:O732" si="952">MIN(IFERROR(FIND(" ",$C732,M732+1),1000))</f>
        <v>1000</v>
      </c>
      <c r="O732" s="4">
        <f t="shared" si="952"/>
        <v>1000</v>
      </c>
      <c r="P732" s="4">
        <f t="shared" si="918"/>
        <v>0</v>
      </c>
      <c r="Q732" s="4" t="str">
        <f t="shared" si="947"/>
        <v/>
      </c>
      <c r="R732" s="4" t="str">
        <f t="shared" si="881"/>
        <v/>
      </c>
      <c r="S732" s="4" t="str">
        <f t="shared" ref="S732:S795" si="953">IFERROR(IF(LEFT(A731,1)="'",SUBSTITUTE(A731,"'",""),""),"")</f>
        <v/>
      </c>
      <c r="T732" s="4" t="e">
        <f t="shared" si="919"/>
        <v>#VALUE!</v>
      </c>
      <c r="U732" s="4" t="e">
        <f t="shared" si="920"/>
        <v>#VALUE!</v>
      </c>
      <c r="V732" s="4" t="b">
        <f t="shared" si="911"/>
        <v>0</v>
      </c>
      <c r="W732" s="13" t="str">
        <f t="shared" si="912"/>
        <v>Да</v>
      </c>
      <c r="X732" s="4" t="e">
        <f>(IF(COUNTIFS($G$2:G732,"+",$W$2:W732,"Да")&gt;1,"&amp; ","")&amp;D732&amp;J732&amp;E732&amp;SUBSTITUTE(L732,"""",""))</f>
        <v>#VALUE!</v>
      </c>
      <c r="Y732" s="4" t="e">
        <f t="shared" si="950"/>
        <v>#VALUE!</v>
      </c>
    </row>
    <row r="733" spans="1:25" x14ac:dyDescent="0.3">
      <c r="A733" s="11"/>
      <c r="B733" s="5" t="str">
        <f t="shared" si="913"/>
        <v/>
      </c>
      <c r="C733" s="5" t="str">
        <f t="shared" si="914"/>
        <v/>
      </c>
      <c r="D733" s="4" t="s">
        <v>10</v>
      </c>
      <c r="E733" s="4" t="s">
        <v>11</v>
      </c>
      <c r="F733" s="4" t="str">
        <f t="shared" si="937"/>
        <v>!!!</v>
      </c>
      <c r="G733" s="4" t="str">
        <f t="shared" si="915"/>
        <v>+</v>
      </c>
      <c r="H733" s="4"/>
      <c r="I733" s="4" t="str">
        <f t="shared" si="938"/>
        <v>!!!</v>
      </c>
      <c r="J733" s="4" t="e">
        <f t="shared" si="939"/>
        <v>#VALUE!</v>
      </c>
      <c r="K733" s="4" t="e">
        <f t="shared" si="940"/>
        <v>#VALUE!</v>
      </c>
      <c r="L733" s="4" t="e">
        <f t="shared" si="941"/>
        <v>#VALUE!</v>
      </c>
      <c r="M733" s="4">
        <f t="shared" si="916"/>
        <v>1000</v>
      </c>
      <c r="N733" s="4">
        <f t="shared" ref="N733:O733" si="954">MIN(IFERROR(FIND(" ",$C733,M733+1),1000))</f>
        <v>1000</v>
      </c>
      <c r="O733" s="4">
        <f t="shared" si="954"/>
        <v>1000</v>
      </c>
      <c r="P733" s="4">
        <f t="shared" si="918"/>
        <v>0</v>
      </c>
      <c r="Q733" s="4" t="str">
        <f t="shared" si="947"/>
        <v/>
      </c>
      <c r="R733" s="4" t="str">
        <f t="shared" si="881"/>
        <v/>
      </c>
      <c r="S733" s="4" t="str">
        <f t="shared" si="953"/>
        <v/>
      </c>
      <c r="T733" s="4" t="e">
        <f t="shared" si="919"/>
        <v>#VALUE!</v>
      </c>
      <c r="U733" s="4" t="e">
        <f t="shared" si="920"/>
        <v>#VALUE!</v>
      </c>
      <c r="V733" s="4" t="b">
        <f t="shared" si="911"/>
        <v>0</v>
      </c>
      <c r="W733" s="13" t="str">
        <f t="shared" si="912"/>
        <v>Да</v>
      </c>
      <c r="X733" s="4" t="e">
        <f>(IF(COUNTIFS($G$2:G733,"+",$W$2:W733,"Да")&gt;1,"&amp; ","")&amp;D733&amp;J733&amp;E733&amp;SUBSTITUTE(L733,"""",""))</f>
        <v>#VALUE!</v>
      </c>
      <c r="Y733" s="4" t="e">
        <f t="shared" si="950"/>
        <v>#VALUE!</v>
      </c>
    </row>
    <row r="734" spans="1:25" x14ac:dyDescent="0.3">
      <c r="A734" s="11"/>
      <c r="B734" s="5" t="str">
        <f t="shared" si="913"/>
        <v/>
      </c>
      <c r="C734" s="5" t="str">
        <f t="shared" si="914"/>
        <v/>
      </c>
      <c r="D734" s="4" t="s">
        <v>10</v>
      </c>
      <c r="E734" s="4" t="s">
        <v>11</v>
      </c>
      <c r="F734" s="4" t="str">
        <f t="shared" si="937"/>
        <v>!!!</v>
      </c>
      <c r="G734" s="4" t="str">
        <f t="shared" si="915"/>
        <v>+</v>
      </c>
      <c r="H734" s="4"/>
      <c r="I734" s="4" t="str">
        <f t="shared" si="938"/>
        <v>!!!</v>
      </c>
      <c r="J734" s="4" t="e">
        <f t="shared" si="939"/>
        <v>#VALUE!</v>
      </c>
      <c r="K734" s="4" t="e">
        <f t="shared" si="940"/>
        <v>#VALUE!</v>
      </c>
      <c r="L734" s="4" t="e">
        <f t="shared" si="941"/>
        <v>#VALUE!</v>
      </c>
      <c r="M734" s="4">
        <f t="shared" si="916"/>
        <v>1000</v>
      </c>
      <c r="N734" s="4">
        <f t="shared" ref="N734:O734" si="955">MIN(IFERROR(FIND(" ",$C734,M734+1),1000))</f>
        <v>1000</v>
      </c>
      <c r="O734" s="4">
        <f t="shared" si="955"/>
        <v>1000</v>
      </c>
      <c r="P734" s="4">
        <f t="shared" si="918"/>
        <v>0</v>
      </c>
      <c r="Q734" s="4" t="str">
        <f t="shared" si="947"/>
        <v/>
      </c>
      <c r="R734" s="4" t="str">
        <f t="shared" si="881"/>
        <v/>
      </c>
      <c r="S734" s="4" t="str">
        <f t="shared" si="953"/>
        <v/>
      </c>
      <c r="T734" s="4" t="e">
        <f t="shared" si="919"/>
        <v>#VALUE!</v>
      </c>
      <c r="U734" s="4" t="e">
        <f t="shared" si="920"/>
        <v>#VALUE!</v>
      </c>
      <c r="V734" s="4" t="b">
        <f t="shared" si="911"/>
        <v>0</v>
      </c>
      <c r="W734" s="13" t="str">
        <f t="shared" si="912"/>
        <v>Да</v>
      </c>
      <c r="X734" s="4" t="e">
        <f>(IF(COUNTIFS($G$2:G734,"+",$W$2:W734,"Да")&gt;1,"&amp; ","")&amp;D734&amp;J734&amp;E734&amp;SUBSTITUTE(L734,"""",""))</f>
        <v>#VALUE!</v>
      </c>
      <c r="Y734" s="4" t="e">
        <f t="shared" si="950"/>
        <v>#VALUE!</v>
      </c>
    </row>
    <row r="735" spans="1:25" x14ac:dyDescent="0.3">
      <c r="A735" s="11"/>
      <c r="B735" s="5" t="str">
        <f t="shared" si="913"/>
        <v/>
      </c>
      <c r="C735" s="5" t="str">
        <f t="shared" si="914"/>
        <v/>
      </c>
      <c r="D735" s="4" t="s">
        <v>10</v>
      </c>
      <c r="E735" s="4" t="s">
        <v>11</v>
      </c>
      <c r="F735" s="4" t="str">
        <f t="shared" si="937"/>
        <v>!!!</v>
      </c>
      <c r="G735" s="4" t="str">
        <f t="shared" si="915"/>
        <v>+</v>
      </c>
      <c r="H735" s="4"/>
      <c r="I735" s="4" t="str">
        <f t="shared" si="938"/>
        <v>!!!</v>
      </c>
      <c r="J735" s="4" t="e">
        <f t="shared" si="939"/>
        <v>#VALUE!</v>
      </c>
      <c r="K735" s="4" t="e">
        <f t="shared" si="940"/>
        <v>#VALUE!</v>
      </c>
      <c r="L735" s="4" t="e">
        <f t="shared" si="941"/>
        <v>#VALUE!</v>
      </c>
      <c r="M735" s="4">
        <f t="shared" si="916"/>
        <v>1000</v>
      </c>
      <c r="N735" s="4">
        <f t="shared" ref="N735:O735" si="956">MIN(IFERROR(FIND(" ",$C735,M735+1),1000))</f>
        <v>1000</v>
      </c>
      <c r="O735" s="4">
        <f t="shared" si="956"/>
        <v>1000</v>
      </c>
      <c r="P735" s="4">
        <f t="shared" si="918"/>
        <v>0</v>
      </c>
      <c r="Q735" s="4" t="str">
        <f t="shared" si="947"/>
        <v/>
      </c>
      <c r="R735" s="4" t="str">
        <f t="shared" si="881"/>
        <v/>
      </c>
      <c r="S735" s="4" t="str">
        <f t="shared" si="953"/>
        <v/>
      </c>
      <c r="T735" s="4" t="e">
        <f t="shared" si="919"/>
        <v>#VALUE!</v>
      </c>
      <c r="U735" s="4" t="e">
        <f t="shared" si="920"/>
        <v>#VALUE!</v>
      </c>
      <c r="V735" s="4" t="b">
        <f t="shared" si="911"/>
        <v>0</v>
      </c>
      <c r="W735" s="13" t="str">
        <f t="shared" si="912"/>
        <v>Да</v>
      </c>
      <c r="X735" s="4" t="e">
        <f>(IF(COUNTIFS($G$2:G735,"+",$W$2:W735,"Да")&gt;1,"&amp; ","")&amp;D735&amp;J735&amp;E735&amp;SUBSTITUTE(L735,"""",""))</f>
        <v>#VALUE!</v>
      </c>
      <c r="Y735" s="4" t="e">
        <f t="shared" si="950"/>
        <v>#VALUE!</v>
      </c>
    </row>
    <row r="736" spans="1:25" x14ac:dyDescent="0.3">
      <c r="A736" s="11"/>
      <c r="B736" s="5" t="str">
        <f t="shared" si="913"/>
        <v/>
      </c>
      <c r="C736" s="5" t="str">
        <f t="shared" si="914"/>
        <v/>
      </c>
      <c r="D736" s="4" t="s">
        <v>10</v>
      </c>
      <c r="E736" s="4" t="s">
        <v>11</v>
      </c>
      <c r="F736" s="4" t="str">
        <f t="shared" si="937"/>
        <v>!!!</v>
      </c>
      <c r="G736" s="4" t="str">
        <f t="shared" si="915"/>
        <v>+</v>
      </c>
      <c r="H736" s="4"/>
      <c r="I736" s="4" t="str">
        <f t="shared" si="938"/>
        <v>!!!</v>
      </c>
      <c r="J736" s="4" t="e">
        <f t="shared" si="939"/>
        <v>#VALUE!</v>
      </c>
      <c r="K736" s="4" t="e">
        <f t="shared" si="940"/>
        <v>#VALUE!</v>
      </c>
      <c r="L736" s="4" t="e">
        <f t="shared" si="941"/>
        <v>#VALUE!</v>
      </c>
      <c r="M736" s="4">
        <f t="shared" si="916"/>
        <v>1000</v>
      </c>
      <c r="N736" s="4">
        <f t="shared" ref="N736:O736" si="957">MIN(IFERROR(FIND(" ",$C736,M736+1),1000))</f>
        <v>1000</v>
      </c>
      <c r="O736" s="4">
        <f t="shared" si="957"/>
        <v>1000</v>
      </c>
      <c r="P736" s="4">
        <f t="shared" si="918"/>
        <v>0</v>
      </c>
      <c r="Q736" s="4" t="str">
        <f t="shared" si="947"/>
        <v/>
      </c>
      <c r="R736" s="4" t="str">
        <f t="shared" si="881"/>
        <v/>
      </c>
      <c r="S736" s="4" t="str">
        <f t="shared" si="953"/>
        <v/>
      </c>
      <c r="T736" s="4" t="e">
        <f t="shared" si="919"/>
        <v>#VALUE!</v>
      </c>
      <c r="U736" s="4" t="e">
        <f t="shared" si="920"/>
        <v>#VALUE!</v>
      </c>
      <c r="V736" s="4" t="b">
        <f t="shared" si="911"/>
        <v>0</v>
      </c>
      <c r="W736" s="13" t="str">
        <f t="shared" si="912"/>
        <v>Да</v>
      </c>
      <c r="X736" s="4" t="e">
        <f>(IF(COUNTIFS($G$2:G736,"+",$W$2:W736,"Да")&gt;1,"&amp; ","")&amp;D736&amp;J736&amp;E736&amp;SUBSTITUTE(L736,"""",""))</f>
        <v>#VALUE!</v>
      </c>
      <c r="Y736" s="4" t="e">
        <f t="shared" si="950"/>
        <v>#VALUE!</v>
      </c>
    </row>
    <row r="737" spans="1:25" x14ac:dyDescent="0.3">
      <c r="A737" s="11"/>
      <c r="B737" s="5" t="str">
        <f t="shared" si="913"/>
        <v/>
      </c>
      <c r="C737" s="5" t="str">
        <f t="shared" si="914"/>
        <v/>
      </c>
      <c r="D737" s="4" t="s">
        <v>10</v>
      </c>
      <c r="E737" s="4" t="s">
        <v>11</v>
      </c>
      <c r="F737" s="4" t="str">
        <f t="shared" si="937"/>
        <v>!!!</v>
      </c>
      <c r="G737" s="4" t="str">
        <f t="shared" si="915"/>
        <v>+</v>
      </c>
      <c r="H737" s="4"/>
      <c r="I737" s="4" t="str">
        <f t="shared" si="938"/>
        <v>!!!</v>
      </c>
      <c r="J737" s="4" t="e">
        <f t="shared" si="939"/>
        <v>#VALUE!</v>
      </c>
      <c r="K737" s="4" t="e">
        <f t="shared" si="940"/>
        <v>#VALUE!</v>
      </c>
      <c r="L737" s="4" t="e">
        <f t="shared" si="941"/>
        <v>#VALUE!</v>
      </c>
      <c r="M737" s="4">
        <f t="shared" si="916"/>
        <v>1000</v>
      </c>
      <c r="N737" s="4">
        <f t="shared" ref="N737:O737" si="958">MIN(IFERROR(FIND(" ",$C737,M737+1),1000))</f>
        <v>1000</v>
      </c>
      <c r="O737" s="4">
        <f t="shared" si="958"/>
        <v>1000</v>
      </c>
      <c r="P737" s="4">
        <f t="shared" si="918"/>
        <v>0</v>
      </c>
      <c r="Q737" s="4" t="str">
        <f t="shared" si="947"/>
        <v/>
      </c>
      <c r="R737" s="4" t="str">
        <f t="shared" si="881"/>
        <v/>
      </c>
      <c r="S737" s="4" t="str">
        <f t="shared" si="953"/>
        <v/>
      </c>
      <c r="T737" s="4" t="e">
        <f t="shared" si="919"/>
        <v>#VALUE!</v>
      </c>
      <c r="U737" s="4" t="e">
        <f t="shared" si="920"/>
        <v>#VALUE!</v>
      </c>
      <c r="V737" s="4" t="b">
        <f t="shared" si="911"/>
        <v>0</v>
      </c>
      <c r="W737" s="13" t="str">
        <f t="shared" si="912"/>
        <v>Да</v>
      </c>
      <c r="X737" s="4" t="e">
        <f>(IF(COUNTIFS($G$2:G737,"+",$W$2:W737,"Да")&gt;1,"&amp; ","")&amp;D737&amp;J737&amp;E737&amp;SUBSTITUTE(L737,"""",""))</f>
        <v>#VALUE!</v>
      </c>
      <c r="Y737" s="4" t="e">
        <f t="shared" si="950"/>
        <v>#VALUE!</v>
      </c>
    </row>
    <row r="738" spans="1:25" x14ac:dyDescent="0.3">
      <c r="A738" s="11"/>
      <c r="B738" s="5" t="str">
        <f t="shared" si="913"/>
        <v/>
      </c>
      <c r="C738" s="5" t="str">
        <f t="shared" si="914"/>
        <v/>
      </c>
      <c r="D738" s="4" t="s">
        <v>10</v>
      </c>
      <c r="E738" s="4" t="s">
        <v>11</v>
      </c>
      <c r="F738" s="4" t="str">
        <f t="shared" si="937"/>
        <v>!!!</v>
      </c>
      <c r="G738" s="4" t="str">
        <f t="shared" si="915"/>
        <v>+</v>
      </c>
      <c r="H738" s="4"/>
      <c r="I738" s="4" t="str">
        <f t="shared" si="938"/>
        <v>!!!</v>
      </c>
      <c r="J738" s="4" t="e">
        <f t="shared" si="939"/>
        <v>#VALUE!</v>
      </c>
      <c r="K738" s="4" t="e">
        <f t="shared" si="940"/>
        <v>#VALUE!</v>
      </c>
      <c r="L738" s="4" t="e">
        <f t="shared" si="941"/>
        <v>#VALUE!</v>
      </c>
      <c r="M738" s="4">
        <f t="shared" si="916"/>
        <v>1000</v>
      </c>
      <c r="N738" s="4">
        <f t="shared" ref="N738:O738" si="959">MIN(IFERROR(FIND(" ",$C738,M738+1),1000))</f>
        <v>1000</v>
      </c>
      <c r="O738" s="4">
        <f t="shared" si="959"/>
        <v>1000</v>
      </c>
      <c r="P738" s="4">
        <f t="shared" si="918"/>
        <v>0</v>
      </c>
      <c r="Q738" s="4" t="str">
        <f t="shared" si="947"/>
        <v/>
      </c>
      <c r="R738" s="4" t="str">
        <f t="shared" si="881"/>
        <v/>
      </c>
      <c r="S738" s="4" t="str">
        <f t="shared" si="953"/>
        <v/>
      </c>
      <c r="T738" s="4" t="e">
        <f t="shared" si="919"/>
        <v>#VALUE!</v>
      </c>
      <c r="U738" s="4" t="e">
        <f t="shared" si="920"/>
        <v>#VALUE!</v>
      </c>
      <c r="V738" s="4" t="b">
        <f t="shared" si="911"/>
        <v>0</v>
      </c>
      <c r="W738" s="13" t="str">
        <f t="shared" si="912"/>
        <v>Да</v>
      </c>
      <c r="X738" s="4" t="e">
        <f>(IF(COUNTIFS($G$2:G738,"+",$W$2:W738,"Да")&gt;1,"&amp; ","")&amp;D738&amp;J738&amp;E738&amp;SUBSTITUTE(L738,"""",""))</f>
        <v>#VALUE!</v>
      </c>
      <c r="Y738" s="4" t="e">
        <f t="shared" si="950"/>
        <v>#VALUE!</v>
      </c>
    </row>
    <row r="739" spans="1:25" x14ac:dyDescent="0.3">
      <c r="A739" s="11"/>
      <c r="B739" s="5" t="str">
        <f t="shared" si="913"/>
        <v/>
      </c>
      <c r="C739" s="5" t="str">
        <f t="shared" si="914"/>
        <v/>
      </c>
      <c r="D739" s="4" t="s">
        <v>10</v>
      </c>
      <c r="E739" s="4" t="s">
        <v>11</v>
      </c>
      <c r="F739" s="4" t="str">
        <f t="shared" si="937"/>
        <v>!!!</v>
      </c>
      <c r="G739" s="4" t="str">
        <f t="shared" si="915"/>
        <v>+</v>
      </c>
      <c r="H739" s="4"/>
      <c r="I739" s="4" t="str">
        <f t="shared" si="938"/>
        <v>!!!</v>
      </c>
      <c r="J739" s="4" t="e">
        <f t="shared" si="939"/>
        <v>#VALUE!</v>
      </c>
      <c r="K739" s="4" t="e">
        <f t="shared" si="940"/>
        <v>#VALUE!</v>
      </c>
      <c r="L739" s="4" t="e">
        <f t="shared" si="941"/>
        <v>#VALUE!</v>
      </c>
      <c r="M739" s="4">
        <f t="shared" si="916"/>
        <v>1000</v>
      </c>
      <c r="N739" s="4">
        <f t="shared" ref="N739:O739" si="960">MIN(IFERROR(FIND(" ",$C739,M739+1),1000))</f>
        <v>1000</v>
      </c>
      <c r="O739" s="4">
        <f t="shared" si="960"/>
        <v>1000</v>
      </c>
      <c r="P739" s="4">
        <f t="shared" si="918"/>
        <v>0</v>
      </c>
      <c r="Q739" s="4" t="str">
        <f t="shared" si="947"/>
        <v/>
      </c>
      <c r="R739" s="4" t="str">
        <f t="shared" si="881"/>
        <v/>
      </c>
      <c r="S739" s="4" t="str">
        <f t="shared" si="953"/>
        <v/>
      </c>
      <c r="T739" s="4" t="e">
        <f t="shared" si="919"/>
        <v>#VALUE!</v>
      </c>
      <c r="U739" s="4" t="e">
        <f t="shared" si="920"/>
        <v>#VALUE!</v>
      </c>
      <c r="V739" s="4" t="b">
        <f t="shared" si="911"/>
        <v>0</v>
      </c>
      <c r="W739" s="13" t="str">
        <f t="shared" si="912"/>
        <v>Да</v>
      </c>
      <c r="X739" s="4" t="e">
        <f>(IF(COUNTIFS($G$2:G739,"+",$W$2:W739,"Да")&gt;1,"&amp; ","")&amp;D739&amp;J739&amp;E739&amp;SUBSTITUTE(L739,"""",""))</f>
        <v>#VALUE!</v>
      </c>
      <c r="Y739" s="4" t="e">
        <f t="shared" si="950"/>
        <v>#VALUE!</v>
      </c>
    </row>
    <row r="740" spans="1:25" x14ac:dyDescent="0.3">
      <c r="A740" s="11"/>
      <c r="B740" s="5" t="str">
        <f t="shared" si="913"/>
        <v/>
      </c>
      <c r="C740" s="5" t="str">
        <f t="shared" si="914"/>
        <v/>
      </c>
      <c r="D740" s="4" t="s">
        <v>10</v>
      </c>
      <c r="E740" s="4" t="s">
        <v>11</v>
      </c>
      <c r="F740" s="4" t="str">
        <f t="shared" si="937"/>
        <v>!!!</v>
      </c>
      <c r="G740" s="4" t="str">
        <f t="shared" si="915"/>
        <v>+</v>
      </c>
      <c r="H740" s="4"/>
      <c r="I740" s="4" t="str">
        <f t="shared" si="938"/>
        <v>!!!</v>
      </c>
      <c r="J740" s="4" t="e">
        <f t="shared" si="939"/>
        <v>#VALUE!</v>
      </c>
      <c r="K740" s="4" t="e">
        <f t="shared" si="940"/>
        <v>#VALUE!</v>
      </c>
      <c r="L740" s="4" t="e">
        <f t="shared" si="941"/>
        <v>#VALUE!</v>
      </c>
      <c r="M740" s="4">
        <f t="shared" si="916"/>
        <v>1000</v>
      </c>
      <c r="N740" s="4">
        <f t="shared" ref="N740:O740" si="961">MIN(IFERROR(FIND(" ",$C740,M740+1),1000))</f>
        <v>1000</v>
      </c>
      <c r="O740" s="4">
        <f t="shared" si="961"/>
        <v>1000</v>
      </c>
      <c r="P740" s="4">
        <f t="shared" si="918"/>
        <v>0</v>
      </c>
      <c r="Q740" s="4" t="str">
        <f t="shared" si="947"/>
        <v/>
      </c>
      <c r="R740" s="4" t="str">
        <f t="shared" si="881"/>
        <v/>
      </c>
      <c r="S740" s="4" t="str">
        <f t="shared" si="953"/>
        <v/>
      </c>
      <c r="T740" s="4" t="e">
        <f t="shared" si="919"/>
        <v>#VALUE!</v>
      </c>
      <c r="U740" s="4" t="e">
        <f t="shared" si="920"/>
        <v>#VALUE!</v>
      </c>
      <c r="V740" s="4" t="b">
        <f t="shared" si="911"/>
        <v>0</v>
      </c>
      <c r="W740" s="13" t="str">
        <f t="shared" si="912"/>
        <v>Да</v>
      </c>
      <c r="X740" s="4" t="e">
        <f>(IF(COUNTIFS($G$2:G740,"+",$W$2:W740,"Да")&gt;1,"&amp; ","")&amp;D740&amp;J740&amp;E740&amp;SUBSTITUTE(L740,"""",""))</f>
        <v>#VALUE!</v>
      </c>
      <c r="Y740" s="4" t="e">
        <f t="shared" si="950"/>
        <v>#VALUE!</v>
      </c>
    </row>
    <row r="741" spans="1:25" x14ac:dyDescent="0.3">
      <c r="A741" s="11"/>
      <c r="B741" s="5" t="str">
        <f t="shared" si="913"/>
        <v/>
      </c>
      <c r="C741" s="5" t="str">
        <f t="shared" si="914"/>
        <v/>
      </c>
      <c r="D741" s="4" t="s">
        <v>10</v>
      </c>
      <c r="E741" s="4" t="s">
        <v>11</v>
      </c>
      <c r="F741" s="4" t="str">
        <f t="shared" si="937"/>
        <v>!!!</v>
      </c>
      <c r="G741" s="4" t="str">
        <f t="shared" si="915"/>
        <v>+</v>
      </c>
      <c r="H741" s="4"/>
      <c r="I741" s="4" t="str">
        <f t="shared" si="938"/>
        <v>!!!</v>
      </c>
      <c r="J741" s="4" t="e">
        <f t="shared" si="939"/>
        <v>#VALUE!</v>
      </c>
      <c r="K741" s="4" t="e">
        <f t="shared" si="940"/>
        <v>#VALUE!</v>
      </c>
      <c r="L741" s="4" t="e">
        <f t="shared" si="941"/>
        <v>#VALUE!</v>
      </c>
      <c r="M741" s="4">
        <f t="shared" si="916"/>
        <v>1000</v>
      </c>
      <c r="N741" s="4">
        <f t="shared" ref="N741:O741" si="962">MIN(IFERROR(FIND(" ",$C741,M741+1),1000))</f>
        <v>1000</v>
      </c>
      <c r="O741" s="4">
        <f t="shared" si="962"/>
        <v>1000</v>
      </c>
      <c r="P741" s="4">
        <f t="shared" si="918"/>
        <v>0</v>
      </c>
      <c r="Q741" s="4" t="str">
        <f t="shared" si="947"/>
        <v/>
      </c>
      <c r="R741" s="4" t="str">
        <f t="shared" ref="R741:R804" si="963">IFERROR(MID(C741,N741+1,O741-N741-1),"")</f>
        <v/>
      </c>
      <c r="S741" s="4" t="str">
        <f t="shared" si="953"/>
        <v/>
      </c>
      <c r="T741" s="4" t="e">
        <f t="shared" si="919"/>
        <v>#VALUE!</v>
      </c>
      <c r="U741" s="4" t="e">
        <f t="shared" si="920"/>
        <v>#VALUE!</v>
      </c>
      <c r="V741" s="4" t="b">
        <f t="shared" si="911"/>
        <v>0</v>
      </c>
      <c r="W741" s="13" t="str">
        <f t="shared" si="912"/>
        <v>Да</v>
      </c>
      <c r="X741" s="4" t="e">
        <f>(IF(COUNTIFS($G$2:G741,"+",$W$2:W741,"Да")&gt;1,"&amp; ","")&amp;D741&amp;J741&amp;E741&amp;SUBSTITUTE(L741,"""",""))</f>
        <v>#VALUE!</v>
      </c>
      <c r="Y741" s="4" t="e">
        <f t="shared" si="950"/>
        <v>#VALUE!</v>
      </c>
    </row>
    <row r="742" spans="1:25" x14ac:dyDescent="0.3">
      <c r="A742" s="11"/>
      <c r="B742" s="5" t="str">
        <f t="shared" si="913"/>
        <v/>
      </c>
      <c r="C742" s="5" t="str">
        <f t="shared" si="914"/>
        <v/>
      </c>
      <c r="D742" s="4" t="s">
        <v>10</v>
      </c>
      <c r="E742" s="4" t="s">
        <v>11</v>
      </c>
      <c r="F742" s="4" t="str">
        <f t="shared" si="937"/>
        <v>!!!</v>
      </c>
      <c r="G742" s="4" t="str">
        <f t="shared" si="915"/>
        <v>+</v>
      </c>
      <c r="H742" s="4"/>
      <c r="I742" s="4" t="str">
        <f t="shared" si="938"/>
        <v>!!!</v>
      </c>
      <c r="J742" s="4" t="e">
        <f t="shared" si="939"/>
        <v>#VALUE!</v>
      </c>
      <c r="K742" s="4" t="e">
        <f t="shared" si="940"/>
        <v>#VALUE!</v>
      </c>
      <c r="L742" s="4" t="e">
        <f t="shared" si="941"/>
        <v>#VALUE!</v>
      </c>
      <c r="M742" s="4">
        <f t="shared" si="916"/>
        <v>1000</v>
      </c>
      <c r="N742" s="4">
        <f t="shared" ref="N742:O742" si="964">MIN(IFERROR(FIND(" ",$C742,M742+1),1000))</f>
        <v>1000</v>
      </c>
      <c r="O742" s="4">
        <f t="shared" si="964"/>
        <v>1000</v>
      </c>
      <c r="P742" s="4">
        <f t="shared" si="918"/>
        <v>0</v>
      </c>
      <c r="Q742" s="4" t="str">
        <f t="shared" si="947"/>
        <v/>
      </c>
      <c r="R742" s="4" t="str">
        <f t="shared" si="963"/>
        <v/>
      </c>
      <c r="S742" s="4" t="str">
        <f t="shared" si="953"/>
        <v/>
      </c>
      <c r="T742" s="4" t="e">
        <f t="shared" si="919"/>
        <v>#VALUE!</v>
      </c>
      <c r="U742" s="4" t="e">
        <f t="shared" si="920"/>
        <v>#VALUE!</v>
      </c>
      <c r="V742" s="4" t="b">
        <f t="shared" si="911"/>
        <v>0</v>
      </c>
      <c r="W742" s="13" t="str">
        <f t="shared" si="912"/>
        <v>Да</v>
      </c>
      <c r="X742" s="4" t="e">
        <f>(IF(COUNTIFS($G$2:G742,"+",$W$2:W742,"Да")&gt;1,"&amp; ","")&amp;D742&amp;J742&amp;E742&amp;SUBSTITUTE(L742,"""",""))</f>
        <v>#VALUE!</v>
      </c>
      <c r="Y742" s="4" t="e">
        <f t="shared" si="950"/>
        <v>#VALUE!</v>
      </c>
    </row>
    <row r="743" spans="1:25" x14ac:dyDescent="0.3">
      <c r="A743" s="11"/>
      <c r="B743" s="5" t="str">
        <f t="shared" si="913"/>
        <v/>
      </c>
      <c r="C743" s="5" t="str">
        <f t="shared" si="914"/>
        <v/>
      </c>
      <c r="D743" s="4" t="s">
        <v>10</v>
      </c>
      <c r="E743" s="4" t="s">
        <v>11</v>
      </c>
      <c r="F743" s="4" t="str">
        <f t="shared" si="937"/>
        <v>!!!</v>
      </c>
      <c r="G743" s="4" t="str">
        <f t="shared" si="915"/>
        <v>+</v>
      </c>
      <c r="H743" s="4"/>
      <c r="I743" s="4" t="str">
        <f t="shared" si="938"/>
        <v>!!!</v>
      </c>
      <c r="J743" s="4" t="e">
        <f t="shared" si="939"/>
        <v>#VALUE!</v>
      </c>
      <c r="K743" s="4" t="e">
        <f t="shared" si="940"/>
        <v>#VALUE!</v>
      </c>
      <c r="L743" s="4" t="e">
        <f t="shared" si="941"/>
        <v>#VALUE!</v>
      </c>
      <c r="M743" s="4">
        <f t="shared" si="916"/>
        <v>1000</v>
      </c>
      <c r="N743" s="4">
        <f t="shared" ref="N743:O743" si="965">MIN(IFERROR(FIND(" ",$C743,M743+1),1000))</f>
        <v>1000</v>
      </c>
      <c r="O743" s="4">
        <f t="shared" si="965"/>
        <v>1000</v>
      </c>
      <c r="P743" s="4">
        <f t="shared" si="918"/>
        <v>0</v>
      </c>
      <c r="Q743" s="4" t="str">
        <f t="shared" si="947"/>
        <v/>
      </c>
      <c r="R743" s="4" t="str">
        <f t="shared" si="963"/>
        <v/>
      </c>
      <c r="S743" s="4" t="str">
        <f t="shared" si="953"/>
        <v/>
      </c>
      <c r="T743" s="4" t="e">
        <f t="shared" si="919"/>
        <v>#VALUE!</v>
      </c>
      <c r="U743" s="4" t="e">
        <f t="shared" si="920"/>
        <v>#VALUE!</v>
      </c>
      <c r="V743" s="4" t="b">
        <f t="shared" si="911"/>
        <v>0</v>
      </c>
      <c r="W743" s="13" t="str">
        <f t="shared" si="912"/>
        <v>Да</v>
      </c>
      <c r="X743" s="4" t="e">
        <f>(IF(COUNTIFS($G$2:G743,"+",$W$2:W743,"Да")&gt;1,"&amp; ","")&amp;D743&amp;J743&amp;E743&amp;SUBSTITUTE(L743,"""",""))</f>
        <v>#VALUE!</v>
      </c>
      <c r="Y743" s="4" t="e">
        <f t="shared" si="950"/>
        <v>#VALUE!</v>
      </c>
    </row>
    <row r="744" spans="1:25" x14ac:dyDescent="0.3">
      <c r="A744" s="11"/>
      <c r="B744" s="5" t="str">
        <f t="shared" si="913"/>
        <v/>
      </c>
      <c r="C744" s="5" t="str">
        <f t="shared" si="914"/>
        <v/>
      </c>
      <c r="D744" s="4" t="s">
        <v>10</v>
      </c>
      <c r="E744" s="4" t="s">
        <v>11</v>
      </c>
      <c r="F744" s="4" t="str">
        <f t="shared" si="937"/>
        <v>!!!</v>
      </c>
      <c r="G744" s="4" t="str">
        <f t="shared" si="915"/>
        <v>+</v>
      </c>
      <c r="H744" s="4"/>
      <c r="I744" s="4" t="str">
        <f t="shared" si="938"/>
        <v>!!!</v>
      </c>
      <c r="J744" s="4" t="e">
        <f t="shared" si="939"/>
        <v>#VALUE!</v>
      </c>
      <c r="K744" s="4" t="e">
        <f t="shared" si="940"/>
        <v>#VALUE!</v>
      </c>
      <c r="L744" s="4" t="e">
        <f t="shared" si="941"/>
        <v>#VALUE!</v>
      </c>
      <c r="M744" s="4">
        <f t="shared" si="916"/>
        <v>1000</v>
      </c>
      <c r="N744" s="4">
        <f t="shared" ref="N744:O744" si="966">MIN(IFERROR(FIND(" ",$C744,M744+1),1000))</f>
        <v>1000</v>
      </c>
      <c r="O744" s="4">
        <f t="shared" si="966"/>
        <v>1000</v>
      </c>
      <c r="P744" s="4">
        <f t="shared" si="918"/>
        <v>0</v>
      </c>
      <c r="Q744" s="4" t="str">
        <f t="shared" si="947"/>
        <v/>
      </c>
      <c r="R744" s="4" t="str">
        <f t="shared" si="963"/>
        <v/>
      </c>
      <c r="S744" s="4" t="str">
        <f t="shared" si="953"/>
        <v/>
      </c>
      <c r="T744" s="4" t="e">
        <f t="shared" si="919"/>
        <v>#VALUE!</v>
      </c>
      <c r="U744" s="4" t="e">
        <f t="shared" si="920"/>
        <v>#VALUE!</v>
      </c>
      <c r="V744" s="4" t="b">
        <f t="shared" si="911"/>
        <v>0</v>
      </c>
      <c r="W744" s="13" t="str">
        <f t="shared" si="912"/>
        <v>Да</v>
      </c>
      <c r="X744" s="4" t="e">
        <f>(IF(COUNTIFS($G$2:G744,"+",$W$2:W744,"Да")&gt;1,"&amp; ","")&amp;D744&amp;J744&amp;E744&amp;SUBSTITUTE(L744,"""",""))</f>
        <v>#VALUE!</v>
      </c>
      <c r="Y744" s="4" t="e">
        <f t="shared" si="950"/>
        <v>#VALUE!</v>
      </c>
    </row>
    <row r="745" spans="1:25" x14ac:dyDescent="0.3">
      <c r="A745" s="11"/>
      <c r="B745" s="5" t="str">
        <f t="shared" si="913"/>
        <v/>
      </c>
      <c r="C745" s="5" t="str">
        <f t="shared" si="914"/>
        <v/>
      </c>
      <c r="D745" s="4" t="s">
        <v>10</v>
      </c>
      <c r="E745" s="4" t="s">
        <v>11</v>
      </c>
      <c r="F745" s="4" t="str">
        <f t="shared" si="937"/>
        <v>!!!</v>
      </c>
      <c r="G745" s="4" t="str">
        <f t="shared" si="915"/>
        <v>+</v>
      </c>
      <c r="H745" s="4"/>
      <c r="I745" s="4" t="str">
        <f t="shared" si="938"/>
        <v>!!!</v>
      </c>
      <c r="J745" s="4" t="e">
        <f t="shared" si="939"/>
        <v>#VALUE!</v>
      </c>
      <c r="K745" s="4" t="e">
        <f t="shared" si="940"/>
        <v>#VALUE!</v>
      </c>
      <c r="L745" s="4" t="e">
        <f t="shared" si="941"/>
        <v>#VALUE!</v>
      </c>
      <c r="M745" s="4">
        <f t="shared" si="916"/>
        <v>1000</v>
      </c>
      <c r="N745" s="4">
        <f t="shared" ref="N745:O745" si="967">MIN(IFERROR(FIND(" ",$C745,M745+1),1000))</f>
        <v>1000</v>
      </c>
      <c r="O745" s="4">
        <f t="shared" si="967"/>
        <v>1000</v>
      </c>
      <c r="P745" s="4">
        <f t="shared" si="918"/>
        <v>0</v>
      </c>
      <c r="Q745" s="4" t="str">
        <f t="shared" si="947"/>
        <v/>
      </c>
      <c r="R745" s="4" t="str">
        <f t="shared" si="963"/>
        <v/>
      </c>
      <c r="S745" s="4" t="str">
        <f t="shared" si="953"/>
        <v/>
      </c>
      <c r="T745" s="4" t="e">
        <f t="shared" si="919"/>
        <v>#VALUE!</v>
      </c>
      <c r="U745" s="4" t="e">
        <f t="shared" si="920"/>
        <v>#VALUE!</v>
      </c>
      <c r="V745" s="4" t="b">
        <f t="shared" si="911"/>
        <v>0</v>
      </c>
      <c r="W745" s="13" t="str">
        <f t="shared" si="912"/>
        <v>Да</v>
      </c>
      <c r="X745" s="4" t="e">
        <f>(IF(COUNTIFS($G$2:G745,"+",$W$2:W745,"Да")&gt;1,"&amp; ","")&amp;D745&amp;J745&amp;E745&amp;SUBSTITUTE(L745,"""",""))</f>
        <v>#VALUE!</v>
      </c>
      <c r="Y745" s="4" t="e">
        <f t="shared" si="950"/>
        <v>#VALUE!</v>
      </c>
    </row>
    <row r="746" spans="1:25" x14ac:dyDescent="0.3">
      <c r="A746" s="11"/>
      <c r="B746" s="5" t="str">
        <f t="shared" si="913"/>
        <v/>
      </c>
      <c r="C746" s="5" t="str">
        <f t="shared" si="914"/>
        <v/>
      </c>
      <c r="D746" s="4" t="s">
        <v>10</v>
      </c>
      <c r="E746" s="4" t="s">
        <v>11</v>
      </c>
      <c r="F746" s="4" t="str">
        <f t="shared" si="937"/>
        <v>!!!</v>
      </c>
      <c r="G746" s="4" t="str">
        <f t="shared" si="915"/>
        <v>+</v>
      </c>
      <c r="H746" s="4"/>
      <c r="I746" s="4" t="str">
        <f t="shared" si="938"/>
        <v>!!!</v>
      </c>
      <c r="J746" s="4" t="e">
        <f t="shared" si="939"/>
        <v>#VALUE!</v>
      </c>
      <c r="K746" s="4" t="e">
        <f t="shared" si="940"/>
        <v>#VALUE!</v>
      </c>
      <c r="L746" s="4" t="e">
        <f t="shared" si="941"/>
        <v>#VALUE!</v>
      </c>
      <c r="M746" s="4">
        <f t="shared" si="916"/>
        <v>1000</v>
      </c>
      <c r="N746" s="4">
        <f t="shared" ref="N746:O746" si="968">MIN(IFERROR(FIND(" ",$C746,M746+1),1000))</f>
        <v>1000</v>
      </c>
      <c r="O746" s="4">
        <f t="shared" si="968"/>
        <v>1000</v>
      </c>
      <c r="P746" s="4">
        <f t="shared" si="918"/>
        <v>0</v>
      </c>
      <c r="Q746" s="4" t="str">
        <f t="shared" si="947"/>
        <v/>
      </c>
      <c r="R746" s="4" t="str">
        <f t="shared" si="963"/>
        <v/>
      </c>
      <c r="S746" s="4" t="str">
        <f t="shared" si="953"/>
        <v/>
      </c>
      <c r="T746" s="4" t="e">
        <f t="shared" si="919"/>
        <v>#VALUE!</v>
      </c>
      <c r="U746" s="4" t="e">
        <f t="shared" si="920"/>
        <v>#VALUE!</v>
      </c>
      <c r="V746" s="4" t="b">
        <f t="shared" si="911"/>
        <v>0</v>
      </c>
      <c r="W746" s="13" t="str">
        <f t="shared" si="912"/>
        <v>Да</v>
      </c>
      <c r="X746" s="4" t="e">
        <f>(IF(COUNTIFS($G$2:G746,"+",$W$2:W746,"Да")&gt;1,"&amp; ","")&amp;D746&amp;J746&amp;E746&amp;SUBSTITUTE(L746,"""",""))</f>
        <v>#VALUE!</v>
      </c>
      <c r="Y746" s="4" t="e">
        <f t="shared" si="950"/>
        <v>#VALUE!</v>
      </c>
    </row>
    <row r="747" spans="1:25" x14ac:dyDescent="0.3">
      <c r="A747" s="11"/>
      <c r="B747" s="5" t="str">
        <f t="shared" si="913"/>
        <v/>
      </c>
      <c r="C747" s="5" t="str">
        <f t="shared" si="914"/>
        <v/>
      </c>
      <c r="D747" s="4" t="s">
        <v>10</v>
      </c>
      <c r="E747" s="4" t="s">
        <v>11</v>
      </c>
      <c r="F747" s="4" t="str">
        <f t="shared" si="937"/>
        <v>!!!</v>
      </c>
      <c r="G747" s="4" t="str">
        <f t="shared" si="915"/>
        <v>+</v>
      </c>
      <c r="H747" s="4"/>
      <c r="I747" s="4" t="str">
        <f t="shared" si="938"/>
        <v>!!!</v>
      </c>
      <c r="J747" s="4" t="e">
        <f t="shared" si="939"/>
        <v>#VALUE!</v>
      </c>
      <c r="K747" s="4" t="e">
        <f t="shared" si="940"/>
        <v>#VALUE!</v>
      </c>
      <c r="L747" s="4" t="e">
        <f t="shared" si="941"/>
        <v>#VALUE!</v>
      </c>
      <c r="M747" s="4">
        <f t="shared" si="916"/>
        <v>1000</v>
      </c>
      <c r="N747" s="4">
        <f t="shared" ref="N747:O747" si="969">MIN(IFERROR(FIND(" ",$C747,M747+1),1000))</f>
        <v>1000</v>
      </c>
      <c r="O747" s="4">
        <f t="shared" si="969"/>
        <v>1000</v>
      </c>
      <c r="P747" s="4">
        <f t="shared" si="918"/>
        <v>0</v>
      </c>
      <c r="Q747" s="4" t="str">
        <f t="shared" si="947"/>
        <v/>
      </c>
      <c r="R747" s="4" t="str">
        <f t="shared" si="963"/>
        <v/>
      </c>
      <c r="S747" s="4" t="str">
        <f t="shared" si="953"/>
        <v/>
      </c>
      <c r="T747" s="4" t="e">
        <f t="shared" si="919"/>
        <v>#VALUE!</v>
      </c>
      <c r="U747" s="4" t="e">
        <f t="shared" si="920"/>
        <v>#VALUE!</v>
      </c>
      <c r="V747" s="4" t="b">
        <f t="shared" si="911"/>
        <v>0</v>
      </c>
      <c r="W747" s="13" t="str">
        <f t="shared" si="912"/>
        <v>Да</v>
      </c>
      <c r="X747" s="4" t="e">
        <f>(IF(COUNTIFS($G$2:G747,"+",$W$2:W747,"Да")&gt;1,"&amp; ","")&amp;D747&amp;J747&amp;E747&amp;SUBSTITUTE(L747,"""",""))</f>
        <v>#VALUE!</v>
      </c>
      <c r="Y747" s="4" t="e">
        <f t="shared" si="950"/>
        <v>#VALUE!</v>
      </c>
    </row>
    <row r="748" spans="1:25" x14ac:dyDescent="0.3">
      <c r="A748" s="11"/>
      <c r="B748" s="5" t="str">
        <f t="shared" si="913"/>
        <v/>
      </c>
      <c r="C748" s="5" t="str">
        <f t="shared" si="914"/>
        <v/>
      </c>
      <c r="D748" s="4" t="s">
        <v>10</v>
      </c>
      <c r="E748" s="4" t="s">
        <v>11</v>
      </c>
      <c r="F748" s="4" t="str">
        <f t="shared" si="937"/>
        <v>!!!</v>
      </c>
      <c r="G748" s="4" t="str">
        <f t="shared" si="915"/>
        <v>+</v>
      </c>
      <c r="H748" s="4"/>
      <c r="I748" s="4" t="str">
        <f t="shared" si="938"/>
        <v>!!!</v>
      </c>
      <c r="J748" s="4" t="e">
        <f t="shared" si="939"/>
        <v>#VALUE!</v>
      </c>
      <c r="K748" s="4" t="e">
        <f t="shared" si="940"/>
        <v>#VALUE!</v>
      </c>
      <c r="L748" s="4" t="e">
        <f t="shared" si="941"/>
        <v>#VALUE!</v>
      </c>
      <c r="M748" s="4">
        <f t="shared" si="916"/>
        <v>1000</v>
      </c>
      <c r="N748" s="4">
        <f t="shared" ref="N748:O748" si="970">MIN(IFERROR(FIND(" ",$C748,M748+1),1000))</f>
        <v>1000</v>
      </c>
      <c r="O748" s="4">
        <f t="shared" si="970"/>
        <v>1000</v>
      </c>
      <c r="P748" s="4">
        <f t="shared" si="918"/>
        <v>0</v>
      </c>
      <c r="Q748" s="4" t="str">
        <f t="shared" si="947"/>
        <v/>
      </c>
      <c r="R748" s="4" t="str">
        <f t="shared" si="963"/>
        <v/>
      </c>
      <c r="S748" s="4" t="str">
        <f t="shared" si="953"/>
        <v/>
      </c>
      <c r="T748" s="4" t="e">
        <f t="shared" si="919"/>
        <v>#VALUE!</v>
      </c>
      <c r="U748" s="4" t="e">
        <f t="shared" si="920"/>
        <v>#VALUE!</v>
      </c>
      <c r="V748" s="4" t="b">
        <f t="shared" si="911"/>
        <v>0</v>
      </c>
      <c r="W748" s="13" t="str">
        <f t="shared" si="912"/>
        <v>Да</v>
      </c>
      <c r="X748" s="4" t="e">
        <f>(IF(COUNTIFS($G$2:G748,"+",$W$2:W748,"Да")&gt;1,"&amp; ","")&amp;D748&amp;J748&amp;E748&amp;SUBSTITUTE(L748,"""",""))</f>
        <v>#VALUE!</v>
      </c>
      <c r="Y748" s="4" t="e">
        <f t="shared" si="950"/>
        <v>#VALUE!</v>
      </c>
    </row>
    <row r="749" spans="1:25" x14ac:dyDescent="0.3">
      <c r="A749" s="11"/>
      <c r="B749" s="5" t="str">
        <f t="shared" si="913"/>
        <v/>
      </c>
      <c r="C749" s="5" t="str">
        <f t="shared" si="914"/>
        <v/>
      </c>
      <c r="D749" s="4" t="s">
        <v>10</v>
      </c>
      <c r="E749" s="4" t="s">
        <v>11</v>
      </c>
      <c r="F749" s="4" t="str">
        <f t="shared" si="937"/>
        <v>!!!</v>
      </c>
      <c r="G749" s="4" t="str">
        <f t="shared" si="915"/>
        <v>+</v>
      </c>
      <c r="H749" s="4"/>
      <c r="I749" s="4" t="str">
        <f t="shared" si="938"/>
        <v>!!!</v>
      </c>
      <c r="J749" s="4" t="e">
        <f t="shared" si="939"/>
        <v>#VALUE!</v>
      </c>
      <c r="K749" s="4" t="e">
        <f t="shared" si="940"/>
        <v>#VALUE!</v>
      </c>
      <c r="L749" s="4" t="e">
        <f t="shared" si="941"/>
        <v>#VALUE!</v>
      </c>
      <c r="M749" s="4">
        <f t="shared" si="916"/>
        <v>1000</v>
      </c>
      <c r="N749" s="4">
        <f t="shared" ref="N749:O749" si="971">MIN(IFERROR(FIND(" ",$C749,M749+1),1000))</f>
        <v>1000</v>
      </c>
      <c r="O749" s="4">
        <f t="shared" si="971"/>
        <v>1000</v>
      </c>
      <c r="P749" s="4">
        <f t="shared" si="918"/>
        <v>0</v>
      </c>
      <c r="Q749" s="4" t="str">
        <f t="shared" si="947"/>
        <v/>
      </c>
      <c r="R749" s="4" t="str">
        <f t="shared" si="963"/>
        <v/>
      </c>
      <c r="S749" s="4" t="str">
        <f t="shared" si="953"/>
        <v/>
      </c>
      <c r="T749" s="4" t="e">
        <f t="shared" si="919"/>
        <v>#VALUE!</v>
      </c>
      <c r="U749" s="4" t="e">
        <f t="shared" si="920"/>
        <v>#VALUE!</v>
      </c>
      <c r="V749" s="4" t="b">
        <f t="shared" si="911"/>
        <v>0</v>
      </c>
      <c r="W749" s="13" t="str">
        <f t="shared" si="912"/>
        <v>Да</v>
      </c>
      <c r="X749" s="4" t="e">
        <f>(IF(COUNTIFS($G$2:G749,"+",$W$2:W749,"Да")&gt;1,"&amp; ","")&amp;D749&amp;J749&amp;E749&amp;SUBSTITUTE(L749,"""",""))</f>
        <v>#VALUE!</v>
      </c>
      <c r="Y749" s="4" t="e">
        <f t="shared" si="950"/>
        <v>#VALUE!</v>
      </c>
    </row>
    <row r="750" spans="1:25" x14ac:dyDescent="0.3">
      <c r="A750" s="11"/>
      <c r="B750" s="5" t="str">
        <f t="shared" si="913"/>
        <v/>
      </c>
      <c r="C750" s="5" t="str">
        <f t="shared" si="914"/>
        <v/>
      </c>
      <c r="D750" s="4" t="s">
        <v>10</v>
      </c>
      <c r="E750" s="4" t="s">
        <v>11</v>
      </c>
      <c r="F750" s="4" t="str">
        <f t="shared" si="937"/>
        <v>!!!</v>
      </c>
      <c r="G750" s="4" t="str">
        <f t="shared" si="915"/>
        <v>+</v>
      </c>
      <c r="H750" s="4"/>
      <c r="I750" s="4" t="str">
        <f t="shared" si="938"/>
        <v>!!!</v>
      </c>
      <c r="J750" s="4" t="e">
        <f t="shared" si="939"/>
        <v>#VALUE!</v>
      </c>
      <c r="K750" s="4" t="e">
        <f t="shared" si="940"/>
        <v>#VALUE!</v>
      </c>
      <c r="L750" s="4" t="e">
        <f t="shared" si="941"/>
        <v>#VALUE!</v>
      </c>
      <c r="M750" s="4">
        <f t="shared" si="916"/>
        <v>1000</v>
      </c>
      <c r="N750" s="4">
        <f t="shared" ref="N750:O750" si="972">MIN(IFERROR(FIND(" ",$C750,M750+1),1000))</f>
        <v>1000</v>
      </c>
      <c r="O750" s="4">
        <f t="shared" si="972"/>
        <v>1000</v>
      </c>
      <c r="P750" s="4">
        <f t="shared" si="918"/>
        <v>0</v>
      </c>
      <c r="Q750" s="4" t="str">
        <f t="shared" si="947"/>
        <v/>
      </c>
      <c r="R750" s="4" t="str">
        <f t="shared" si="963"/>
        <v/>
      </c>
      <c r="S750" s="4" t="str">
        <f t="shared" si="953"/>
        <v/>
      </c>
      <c r="T750" s="4" t="e">
        <f t="shared" si="919"/>
        <v>#VALUE!</v>
      </c>
      <c r="U750" s="4" t="e">
        <f t="shared" si="920"/>
        <v>#VALUE!</v>
      </c>
      <c r="V750" s="4" t="b">
        <f t="shared" si="911"/>
        <v>0</v>
      </c>
      <c r="W750" s="13" t="str">
        <f t="shared" si="912"/>
        <v>Да</v>
      </c>
      <c r="X750" s="4" t="e">
        <f>(IF(COUNTIFS($G$2:G750,"+",$W$2:W750,"Да")&gt;1,"&amp; ","")&amp;D750&amp;J750&amp;E750&amp;SUBSTITUTE(L750,"""",""))</f>
        <v>#VALUE!</v>
      </c>
      <c r="Y750" s="4" t="e">
        <f t="shared" si="950"/>
        <v>#VALUE!</v>
      </c>
    </row>
    <row r="751" spans="1:25" x14ac:dyDescent="0.3">
      <c r="A751" s="11"/>
      <c r="B751" s="5" t="str">
        <f t="shared" si="913"/>
        <v/>
      </c>
      <c r="C751" s="5" t="str">
        <f t="shared" si="914"/>
        <v/>
      </c>
      <c r="D751" s="4" t="s">
        <v>10</v>
      </c>
      <c r="E751" s="4" t="s">
        <v>11</v>
      </c>
      <c r="F751" s="4" t="str">
        <f t="shared" si="937"/>
        <v>!!!</v>
      </c>
      <c r="G751" s="4" t="str">
        <f t="shared" si="915"/>
        <v>+</v>
      </c>
      <c r="H751" s="4"/>
      <c r="I751" s="4" t="str">
        <f t="shared" si="938"/>
        <v>!!!</v>
      </c>
      <c r="J751" s="4" t="e">
        <f t="shared" si="939"/>
        <v>#VALUE!</v>
      </c>
      <c r="K751" s="4" t="e">
        <f t="shared" si="940"/>
        <v>#VALUE!</v>
      </c>
      <c r="L751" s="4" t="e">
        <f t="shared" si="941"/>
        <v>#VALUE!</v>
      </c>
      <c r="M751" s="4">
        <f t="shared" si="916"/>
        <v>1000</v>
      </c>
      <c r="N751" s="4">
        <f t="shared" ref="N751:O751" si="973">MIN(IFERROR(FIND(" ",$C751,M751+1),1000))</f>
        <v>1000</v>
      </c>
      <c r="O751" s="4">
        <f t="shared" si="973"/>
        <v>1000</v>
      </c>
      <c r="P751" s="4">
        <f t="shared" si="918"/>
        <v>0</v>
      </c>
      <c r="Q751" s="4" t="str">
        <f t="shared" si="947"/>
        <v/>
      </c>
      <c r="R751" s="4" t="str">
        <f t="shared" si="963"/>
        <v/>
      </c>
      <c r="S751" s="4" t="str">
        <f t="shared" si="953"/>
        <v/>
      </c>
      <c r="T751" s="4" t="e">
        <f t="shared" si="919"/>
        <v>#VALUE!</v>
      </c>
      <c r="U751" s="4" t="e">
        <f t="shared" si="920"/>
        <v>#VALUE!</v>
      </c>
      <c r="V751" s="4" t="b">
        <f t="shared" si="911"/>
        <v>0</v>
      </c>
      <c r="W751" s="13" t="str">
        <f t="shared" si="912"/>
        <v>Да</v>
      </c>
      <c r="X751" s="4" t="e">
        <f>(IF(COUNTIFS($G$2:G751,"+",$W$2:W751,"Да")&gt;1,"&amp; ","")&amp;D751&amp;J751&amp;E751&amp;SUBSTITUTE(L751,"""",""))</f>
        <v>#VALUE!</v>
      </c>
      <c r="Y751" s="4" t="e">
        <f t="shared" si="950"/>
        <v>#VALUE!</v>
      </c>
    </row>
    <row r="752" spans="1:25" x14ac:dyDescent="0.3">
      <c r="A752" s="11"/>
      <c r="B752" s="5" t="str">
        <f t="shared" si="913"/>
        <v/>
      </c>
      <c r="C752" s="5" t="str">
        <f t="shared" si="914"/>
        <v/>
      </c>
      <c r="D752" s="4" t="s">
        <v>10</v>
      </c>
      <c r="E752" s="4" t="s">
        <v>11</v>
      </c>
      <c r="F752" s="4" t="str">
        <f t="shared" si="937"/>
        <v>!!!</v>
      </c>
      <c r="G752" s="4" t="str">
        <f t="shared" si="915"/>
        <v>+</v>
      </c>
      <c r="H752" s="4"/>
      <c r="I752" s="4" t="str">
        <f t="shared" si="938"/>
        <v>!!!</v>
      </c>
      <c r="J752" s="4" t="e">
        <f t="shared" si="939"/>
        <v>#VALUE!</v>
      </c>
      <c r="K752" s="4" t="e">
        <f t="shared" si="940"/>
        <v>#VALUE!</v>
      </c>
      <c r="L752" s="4" t="e">
        <f t="shared" si="941"/>
        <v>#VALUE!</v>
      </c>
      <c r="M752" s="4">
        <f t="shared" si="916"/>
        <v>1000</v>
      </c>
      <c r="N752" s="4">
        <f t="shared" ref="N752:O752" si="974">MIN(IFERROR(FIND(" ",$C752,M752+1),1000))</f>
        <v>1000</v>
      </c>
      <c r="O752" s="4">
        <f t="shared" si="974"/>
        <v>1000</v>
      </c>
      <c r="P752" s="4">
        <f t="shared" si="918"/>
        <v>0</v>
      </c>
      <c r="Q752" s="4" t="str">
        <f t="shared" si="947"/>
        <v/>
      </c>
      <c r="R752" s="4" t="str">
        <f t="shared" si="963"/>
        <v/>
      </c>
      <c r="S752" s="4" t="str">
        <f t="shared" si="953"/>
        <v/>
      </c>
      <c r="T752" s="4" t="e">
        <f t="shared" si="919"/>
        <v>#VALUE!</v>
      </c>
      <c r="U752" s="4" t="e">
        <f t="shared" si="920"/>
        <v>#VALUE!</v>
      </c>
      <c r="V752" s="4" t="b">
        <f t="shared" si="911"/>
        <v>0</v>
      </c>
      <c r="W752" s="13" t="str">
        <f t="shared" si="912"/>
        <v>Да</v>
      </c>
      <c r="X752" s="4" t="e">
        <f>(IF(COUNTIFS($G$2:G752,"+",$W$2:W752,"Да")&gt;1,"&amp; ","")&amp;D752&amp;J752&amp;E752&amp;SUBSTITUTE(L752,"""",""))</f>
        <v>#VALUE!</v>
      </c>
      <c r="Y752" s="4" t="e">
        <f t="shared" si="950"/>
        <v>#VALUE!</v>
      </c>
    </row>
    <row r="753" spans="1:25" x14ac:dyDescent="0.3">
      <c r="A753" s="11"/>
      <c r="B753" s="5" t="str">
        <f t="shared" si="913"/>
        <v/>
      </c>
      <c r="C753" s="5" t="str">
        <f t="shared" si="914"/>
        <v/>
      </c>
      <c r="D753" s="4" t="s">
        <v>10</v>
      </c>
      <c r="E753" s="4" t="s">
        <v>11</v>
      </c>
      <c r="F753" s="4" t="str">
        <f t="shared" si="937"/>
        <v>!!!</v>
      </c>
      <c r="G753" s="4" t="str">
        <f t="shared" si="915"/>
        <v>+</v>
      </c>
      <c r="H753" s="4"/>
      <c r="I753" s="4" t="str">
        <f t="shared" si="938"/>
        <v>!!!</v>
      </c>
      <c r="J753" s="4" t="e">
        <f t="shared" si="939"/>
        <v>#VALUE!</v>
      </c>
      <c r="K753" s="4" t="e">
        <f t="shared" si="940"/>
        <v>#VALUE!</v>
      </c>
      <c r="L753" s="4" t="e">
        <f t="shared" si="941"/>
        <v>#VALUE!</v>
      </c>
      <c r="M753" s="4">
        <f t="shared" si="916"/>
        <v>1000</v>
      </c>
      <c r="N753" s="4">
        <f t="shared" ref="N753:O753" si="975">MIN(IFERROR(FIND(" ",$C753,M753+1),1000))</f>
        <v>1000</v>
      </c>
      <c r="O753" s="4">
        <f t="shared" si="975"/>
        <v>1000</v>
      </c>
      <c r="P753" s="4">
        <f t="shared" si="918"/>
        <v>0</v>
      </c>
      <c r="Q753" s="4" t="str">
        <f t="shared" si="947"/>
        <v/>
      </c>
      <c r="R753" s="4" t="str">
        <f t="shared" si="963"/>
        <v/>
      </c>
      <c r="S753" s="4" t="str">
        <f t="shared" si="953"/>
        <v/>
      </c>
      <c r="T753" s="4" t="e">
        <f t="shared" si="919"/>
        <v>#VALUE!</v>
      </c>
      <c r="U753" s="4" t="e">
        <f t="shared" si="920"/>
        <v>#VALUE!</v>
      </c>
      <c r="V753" s="4" t="b">
        <f t="shared" si="911"/>
        <v>0</v>
      </c>
      <c r="W753" s="13" t="str">
        <f t="shared" si="912"/>
        <v>Да</v>
      </c>
      <c r="X753" s="4" t="e">
        <f>(IF(COUNTIFS($G$2:G753,"+",$W$2:W753,"Да")&gt;1,"&amp; ","")&amp;D753&amp;J753&amp;E753&amp;SUBSTITUTE(L753,"""",""))</f>
        <v>#VALUE!</v>
      </c>
      <c r="Y753" s="4" t="e">
        <f t="shared" si="950"/>
        <v>#VALUE!</v>
      </c>
    </row>
    <row r="754" spans="1:25" x14ac:dyDescent="0.3">
      <c r="A754" s="11"/>
      <c r="B754" s="5" t="str">
        <f t="shared" si="913"/>
        <v/>
      </c>
      <c r="C754" s="5" t="str">
        <f t="shared" si="914"/>
        <v/>
      </c>
      <c r="D754" s="4" t="s">
        <v>10</v>
      </c>
      <c r="E754" s="4" t="s">
        <v>11</v>
      </c>
      <c r="F754" s="4" t="str">
        <f t="shared" si="937"/>
        <v>!!!</v>
      </c>
      <c r="G754" s="4" t="str">
        <f t="shared" si="915"/>
        <v>+</v>
      </c>
      <c r="H754" s="4"/>
      <c r="I754" s="4" t="str">
        <f t="shared" si="938"/>
        <v>!!!</v>
      </c>
      <c r="J754" s="4" t="e">
        <f t="shared" si="939"/>
        <v>#VALUE!</v>
      </c>
      <c r="K754" s="4" t="e">
        <f t="shared" si="940"/>
        <v>#VALUE!</v>
      </c>
      <c r="L754" s="4" t="e">
        <f t="shared" si="941"/>
        <v>#VALUE!</v>
      </c>
      <c r="M754" s="4">
        <f t="shared" si="916"/>
        <v>1000</v>
      </c>
      <c r="N754" s="4">
        <f t="shared" ref="N754:O754" si="976">MIN(IFERROR(FIND(" ",$C754,M754+1),1000))</f>
        <v>1000</v>
      </c>
      <c r="O754" s="4">
        <f t="shared" si="976"/>
        <v>1000</v>
      </c>
      <c r="P754" s="4">
        <f t="shared" si="918"/>
        <v>0</v>
      </c>
      <c r="Q754" s="4" t="str">
        <f t="shared" si="947"/>
        <v/>
      </c>
      <c r="R754" s="4" t="str">
        <f t="shared" si="963"/>
        <v/>
      </c>
      <c r="S754" s="4" t="str">
        <f t="shared" si="953"/>
        <v/>
      </c>
      <c r="T754" s="4" t="e">
        <f t="shared" si="919"/>
        <v>#VALUE!</v>
      </c>
      <c r="U754" s="4" t="e">
        <f t="shared" si="920"/>
        <v>#VALUE!</v>
      </c>
      <c r="V754" s="4" t="b">
        <f t="shared" si="911"/>
        <v>0</v>
      </c>
      <c r="W754" s="13" t="str">
        <f t="shared" si="912"/>
        <v>Да</v>
      </c>
      <c r="X754" s="4" t="e">
        <f>(IF(COUNTIFS($G$2:G754,"+",$W$2:W754,"Да")&gt;1,"&amp; ","")&amp;D754&amp;J754&amp;E754&amp;SUBSTITUTE(L754,"""",""))</f>
        <v>#VALUE!</v>
      </c>
      <c r="Y754" s="4" t="e">
        <f t="shared" si="950"/>
        <v>#VALUE!</v>
      </c>
    </row>
    <row r="755" spans="1:25" x14ac:dyDescent="0.3">
      <c r="A755" s="11"/>
      <c r="B755" s="5" t="str">
        <f t="shared" si="913"/>
        <v/>
      </c>
      <c r="C755" s="5" t="str">
        <f t="shared" si="914"/>
        <v/>
      </c>
      <c r="D755" s="4" t="s">
        <v>10</v>
      </c>
      <c r="E755" s="4" t="s">
        <v>11</v>
      </c>
      <c r="F755" s="4" t="str">
        <f t="shared" si="937"/>
        <v>!!!</v>
      </c>
      <c r="G755" s="4" t="str">
        <f t="shared" si="915"/>
        <v>+</v>
      </c>
      <c r="H755" s="4"/>
      <c r="I755" s="4" t="str">
        <f t="shared" si="938"/>
        <v>!!!</v>
      </c>
      <c r="J755" s="4" t="e">
        <f t="shared" si="939"/>
        <v>#VALUE!</v>
      </c>
      <c r="K755" s="4" t="e">
        <f t="shared" si="940"/>
        <v>#VALUE!</v>
      </c>
      <c r="L755" s="4" t="e">
        <f t="shared" si="941"/>
        <v>#VALUE!</v>
      </c>
      <c r="M755" s="4">
        <f t="shared" si="916"/>
        <v>1000</v>
      </c>
      <c r="N755" s="4">
        <f t="shared" ref="N755:O755" si="977">MIN(IFERROR(FIND(" ",$C755,M755+1),1000))</f>
        <v>1000</v>
      </c>
      <c r="O755" s="4">
        <f t="shared" si="977"/>
        <v>1000</v>
      </c>
      <c r="P755" s="4">
        <f t="shared" si="918"/>
        <v>0</v>
      </c>
      <c r="Q755" s="4" t="str">
        <f t="shared" si="947"/>
        <v/>
      </c>
      <c r="R755" s="4" t="str">
        <f t="shared" si="963"/>
        <v/>
      </c>
      <c r="S755" s="4" t="str">
        <f t="shared" si="953"/>
        <v/>
      </c>
      <c r="T755" s="4" t="e">
        <f t="shared" si="919"/>
        <v>#VALUE!</v>
      </c>
      <c r="U755" s="4" t="e">
        <f t="shared" si="920"/>
        <v>#VALUE!</v>
      </c>
      <c r="V755" s="4" t="b">
        <f t="shared" si="911"/>
        <v>0</v>
      </c>
      <c r="W755" s="13" t="str">
        <f t="shared" si="912"/>
        <v>Да</v>
      </c>
      <c r="X755" s="4" t="e">
        <f>(IF(COUNTIFS($G$2:G755,"+",$W$2:W755,"Да")&gt;1,"&amp; ","")&amp;D755&amp;J755&amp;E755&amp;SUBSTITUTE(L755,"""",""))</f>
        <v>#VALUE!</v>
      </c>
      <c r="Y755" s="4" t="e">
        <f t="shared" si="950"/>
        <v>#VALUE!</v>
      </c>
    </row>
    <row r="756" spans="1:25" x14ac:dyDescent="0.3">
      <c r="A756" s="11"/>
      <c r="B756" s="5" t="str">
        <f t="shared" si="913"/>
        <v/>
      </c>
      <c r="C756" s="5" t="str">
        <f t="shared" si="914"/>
        <v/>
      </c>
      <c r="D756" s="4" t="s">
        <v>10</v>
      </c>
      <c r="E756" s="4" t="s">
        <v>11</v>
      </c>
      <c r="F756" s="4" t="str">
        <f t="shared" si="937"/>
        <v>!!!</v>
      </c>
      <c r="G756" s="4" t="str">
        <f t="shared" si="915"/>
        <v>+</v>
      </c>
      <c r="H756" s="4"/>
      <c r="I756" s="4" t="str">
        <f t="shared" si="938"/>
        <v>!!!</v>
      </c>
      <c r="J756" s="4" t="e">
        <f t="shared" si="939"/>
        <v>#VALUE!</v>
      </c>
      <c r="K756" s="4" t="e">
        <f t="shared" si="940"/>
        <v>#VALUE!</v>
      </c>
      <c r="L756" s="4" t="e">
        <f t="shared" si="941"/>
        <v>#VALUE!</v>
      </c>
      <c r="M756" s="4">
        <f t="shared" si="916"/>
        <v>1000</v>
      </c>
      <c r="N756" s="4">
        <f t="shared" ref="N756:O756" si="978">MIN(IFERROR(FIND(" ",$C756,M756+1),1000))</f>
        <v>1000</v>
      </c>
      <c r="O756" s="4">
        <f t="shared" si="978"/>
        <v>1000</v>
      </c>
      <c r="P756" s="4">
        <f t="shared" si="918"/>
        <v>0</v>
      </c>
      <c r="Q756" s="4" t="str">
        <f t="shared" si="947"/>
        <v/>
      </c>
      <c r="R756" s="4" t="str">
        <f t="shared" si="963"/>
        <v/>
      </c>
      <c r="S756" s="4" t="str">
        <f t="shared" si="953"/>
        <v/>
      </c>
      <c r="T756" s="4" t="e">
        <f t="shared" si="919"/>
        <v>#VALUE!</v>
      </c>
      <c r="U756" s="4" t="e">
        <f t="shared" si="920"/>
        <v>#VALUE!</v>
      </c>
      <c r="V756" s="4" t="b">
        <f t="shared" si="911"/>
        <v>0</v>
      </c>
      <c r="W756" s="13" t="str">
        <f t="shared" si="912"/>
        <v>Да</v>
      </c>
      <c r="X756" s="4" t="e">
        <f>(IF(COUNTIFS($G$2:G756,"+",$W$2:W756,"Да")&gt;1,"&amp; ","")&amp;D756&amp;J756&amp;E756&amp;SUBSTITUTE(L756,"""",""))</f>
        <v>#VALUE!</v>
      </c>
      <c r="Y756" s="4" t="e">
        <f t="shared" si="950"/>
        <v>#VALUE!</v>
      </c>
    </row>
    <row r="757" spans="1:25" x14ac:dyDescent="0.3">
      <c r="A757" s="11"/>
      <c r="B757" s="5" t="str">
        <f t="shared" si="913"/>
        <v/>
      </c>
      <c r="C757" s="5" t="str">
        <f t="shared" si="914"/>
        <v/>
      </c>
      <c r="D757" s="4" t="s">
        <v>10</v>
      </c>
      <c r="E757" s="4" t="s">
        <v>11</v>
      </c>
      <c r="F757" s="4" t="str">
        <f t="shared" si="937"/>
        <v>!!!</v>
      </c>
      <c r="G757" s="4" t="str">
        <f t="shared" si="915"/>
        <v>+</v>
      </c>
      <c r="H757" s="4"/>
      <c r="I757" s="4" t="str">
        <f t="shared" si="938"/>
        <v>!!!</v>
      </c>
      <c r="J757" s="4" t="e">
        <f t="shared" si="939"/>
        <v>#VALUE!</v>
      </c>
      <c r="K757" s="4" t="e">
        <f t="shared" si="940"/>
        <v>#VALUE!</v>
      </c>
      <c r="L757" s="4" t="e">
        <f t="shared" si="941"/>
        <v>#VALUE!</v>
      </c>
      <c r="M757" s="4">
        <f t="shared" si="916"/>
        <v>1000</v>
      </c>
      <c r="N757" s="4">
        <f t="shared" ref="N757:O757" si="979">MIN(IFERROR(FIND(" ",$C757,M757+1),1000))</f>
        <v>1000</v>
      </c>
      <c r="O757" s="4">
        <f t="shared" si="979"/>
        <v>1000</v>
      </c>
      <c r="P757" s="4">
        <f t="shared" si="918"/>
        <v>0</v>
      </c>
      <c r="Q757" s="4" t="str">
        <f t="shared" si="947"/>
        <v/>
      </c>
      <c r="R757" s="4" t="str">
        <f t="shared" si="963"/>
        <v/>
      </c>
      <c r="S757" s="4" t="str">
        <f t="shared" si="953"/>
        <v/>
      </c>
      <c r="T757" s="4" t="e">
        <f t="shared" si="919"/>
        <v>#VALUE!</v>
      </c>
      <c r="U757" s="4" t="e">
        <f t="shared" si="920"/>
        <v>#VALUE!</v>
      </c>
      <c r="V757" s="4" t="b">
        <f t="shared" si="911"/>
        <v>0</v>
      </c>
      <c r="W757" s="13" t="str">
        <f t="shared" si="912"/>
        <v>Да</v>
      </c>
      <c r="X757" s="4" t="e">
        <f>(IF(COUNTIFS($G$2:G757,"+",$W$2:W757,"Да")&gt;1,"&amp; ","")&amp;D757&amp;J757&amp;E757&amp;SUBSTITUTE(L757,"""",""))</f>
        <v>#VALUE!</v>
      </c>
      <c r="Y757" s="4" t="e">
        <f t="shared" si="950"/>
        <v>#VALUE!</v>
      </c>
    </row>
    <row r="758" spans="1:25" x14ac:dyDescent="0.3">
      <c r="A758" s="11"/>
      <c r="B758" s="5" t="str">
        <f t="shared" si="913"/>
        <v/>
      </c>
      <c r="C758" s="5" t="str">
        <f t="shared" si="914"/>
        <v/>
      </c>
      <c r="D758" s="4" t="s">
        <v>10</v>
      </c>
      <c r="E758" s="4" t="s">
        <v>11</v>
      </c>
      <c r="F758" s="4" t="str">
        <f t="shared" si="937"/>
        <v>!!!</v>
      </c>
      <c r="G758" s="4" t="str">
        <f t="shared" si="915"/>
        <v>+</v>
      </c>
      <c r="H758" s="4"/>
      <c r="I758" s="4" t="str">
        <f t="shared" si="938"/>
        <v>!!!</v>
      </c>
      <c r="J758" s="4" t="e">
        <f t="shared" si="939"/>
        <v>#VALUE!</v>
      </c>
      <c r="K758" s="4" t="e">
        <f t="shared" si="940"/>
        <v>#VALUE!</v>
      </c>
      <c r="L758" s="4" t="e">
        <f t="shared" si="941"/>
        <v>#VALUE!</v>
      </c>
      <c r="M758" s="4">
        <f t="shared" si="916"/>
        <v>1000</v>
      </c>
      <c r="N758" s="4">
        <f t="shared" ref="N758:O758" si="980">MIN(IFERROR(FIND(" ",$C758,M758+1),1000))</f>
        <v>1000</v>
      </c>
      <c r="O758" s="4">
        <f t="shared" si="980"/>
        <v>1000</v>
      </c>
      <c r="P758" s="4">
        <f t="shared" si="918"/>
        <v>0</v>
      </c>
      <c r="Q758" s="4" t="str">
        <f t="shared" si="947"/>
        <v/>
      </c>
      <c r="R758" s="4" t="str">
        <f t="shared" si="963"/>
        <v/>
      </c>
      <c r="S758" s="4" t="str">
        <f t="shared" si="953"/>
        <v/>
      </c>
      <c r="T758" s="4" t="e">
        <f t="shared" si="919"/>
        <v>#VALUE!</v>
      </c>
      <c r="U758" s="4" t="e">
        <f t="shared" si="920"/>
        <v>#VALUE!</v>
      </c>
      <c r="V758" s="4" t="b">
        <f t="shared" si="911"/>
        <v>0</v>
      </c>
      <c r="W758" s="13" t="str">
        <f t="shared" si="912"/>
        <v>Да</v>
      </c>
      <c r="X758" s="4" t="e">
        <f>(IF(COUNTIFS($G$2:G758,"+",$W$2:W758,"Да")&gt;1,"&amp; ","")&amp;D758&amp;J758&amp;E758&amp;SUBSTITUTE(L758,"""",""))</f>
        <v>#VALUE!</v>
      </c>
      <c r="Y758" s="4" t="e">
        <f t="shared" si="950"/>
        <v>#VALUE!</v>
      </c>
    </row>
    <row r="759" spans="1:25" x14ac:dyDescent="0.3">
      <c r="A759" s="11"/>
      <c r="B759" s="5" t="str">
        <f t="shared" si="913"/>
        <v/>
      </c>
      <c r="C759" s="5" t="str">
        <f t="shared" si="914"/>
        <v/>
      </c>
      <c r="D759" s="4" t="s">
        <v>10</v>
      </c>
      <c r="E759" s="4" t="s">
        <v>11</v>
      </c>
      <c r="F759" s="4" t="str">
        <f t="shared" si="937"/>
        <v>!!!</v>
      </c>
      <c r="G759" s="4" t="str">
        <f t="shared" si="915"/>
        <v>+</v>
      </c>
      <c r="H759" s="4"/>
      <c r="I759" s="4" t="str">
        <f t="shared" si="938"/>
        <v>!!!</v>
      </c>
      <c r="J759" s="4" t="e">
        <f t="shared" si="939"/>
        <v>#VALUE!</v>
      </c>
      <c r="K759" s="4" t="e">
        <f t="shared" si="940"/>
        <v>#VALUE!</v>
      </c>
      <c r="L759" s="4" t="e">
        <f t="shared" si="941"/>
        <v>#VALUE!</v>
      </c>
      <c r="M759" s="4">
        <f t="shared" si="916"/>
        <v>1000</v>
      </c>
      <c r="N759" s="4">
        <f t="shared" ref="N759:O759" si="981">MIN(IFERROR(FIND(" ",$C759,M759+1),1000))</f>
        <v>1000</v>
      </c>
      <c r="O759" s="4">
        <f t="shared" si="981"/>
        <v>1000</v>
      </c>
      <c r="P759" s="4">
        <f t="shared" si="918"/>
        <v>0</v>
      </c>
      <c r="Q759" s="4" t="str">
        <f t="shared" si="947"/>
        <v/>
      </c>
      <c r="R759" s="4" t="str">
        <f t="shared" si="963"/>
        <v/>
      </c>
      <c r="S759" s="4" t="str">
        <f t="shared" si="953"/>
        <v/>
      </c>
      <c r="T759" s="4" t="e">
        <f t="shared" si="919"/>
        <v>#VALUE!</v>
      </c>
      <c r="U759" s="4" t="e">
        <f t="shared" si="920"/>
        <v>#VALUE!</v>
      </c>
      <c r="V759" s="4" t="b">
        <f t="shared" si="911"/>
        <v>0</v>
      </c>
      <c r="W759" s="13" t="str">
        <f t="shared" si="912"/>
        <v>Да</v>
      </c>
      <c r="X759" s="4" t="e">
        <f>(IF(COUNTIFS($G$2:G759,"+",$W$2:W759,"Да")&gt;1,"&amp; ","")&amp;D759&amp;J759&amp;E759&amp;SUBSTITUTE(L759,"""",""))</f>
        <v>#VALUE!</v>
      </c>
      <c r="Y759" s="4" t="e">
        <f t="shared" si="950"/>
        <v>#VALUE!</v>
      </c>
    </row>
    <row r="760" spans="1:25" x14ac:dyDescent="0.3">
      <c r="A760" s="11"/>
      <c r="B760" s="5" t="str">
        <f t="shared" si="913"/>
        <v/>
      </c>
      <c r="C760" s="5" t="str">
        <f t="shared" si="914"/>
        <v/>
      </c>
      <c r="D760" s="4" t="s">
        <v>10</v>
      </c>
      <c r="E760" s="4" t="s">
        <v>11</v>
      </c>
      <c r="F760" s="4" t="str">
        <f t="shared" si="937"/>
        <v>!!!</v>
      </c>
      <c r="G760" s="4" t="str">
        <f t="shared" si="915"/>
        <v>+</v>
      </c>
      <c r="H760" s="4"/>
      <c r="I760" s="4" t="str">
        <f t="shared" si="938"/>
        <v>!!!</v>
      </c>
      <c r="J760" s="4" t="e">
        <f t="shared" si="939"/>
        <v>#VALUE!</v>
      </c>
      <c r="K760" s="4" t="e">
        <f t="shared" si="940"/>
        <v>#VALUE!</v>
      </c>
      <c r="L760" s="4" t="e">
        <f t="shared" si="941"/>
        <v>#VALUE!</v>
      </c>
      <c r="M760" s="4">
        <f t="shared" si="916"/>
        <v>1000</v>
      </c>
      <c r="N760" s="4">
        <f t="shared" ref="N760:O760" si="982">MIN(IFERROR(FIND(" ",$C760,M760+1),1000))</f>
        <v>1000</v>
      </c>
      <c r="O760" s="4">
        <f t="shared" si="982"/>
        <v>1000</v>
      </c>
      <c r="P760" s="4">
        <f t="shared" si="918"/>
        <v>0</v>
      </c>
      <c r="Q760" s="4" t="str">
        <f t="shared" si="947"/>
        <v/>
      </c>
      <c r="R760" s="4" t="str">
        <f t="shared" si="963"/>
        <v/>
      </c>
      <c r="S760" s="4" t="str">
        <f t="shared" si="953"/>
        <v/>
      </c>
      <c r="T760" s="4" t="e">
        <f t="shared" si="919"/>
        <v>#VALUE!</v>
      </c>
      <c r="U760" s="4" t="e">
        <f t="shared" si="920"/>
        <v>#VALUE!</v>
      </c>
      <c r="V760" s="4" t="b">
        <f t="shared" si="911"/>
        <v>0</v>
      </c>
      <c r="W760" s="13" t="str">
        <f t="shared" si="912"/>
        <v>Да</v>
      </c>
      <c r="X760" s="4" t="e">
        <f>(IF(COUNTIFS($G$2:G760,"+",$W$2:W760,"Да")&gt;1,"&amp; ","")&amp;D760&amp;J760&amp;E760&amp;SUBSTITUTE(L760,"""",""))</f>
        <v>#VALUE!</v>
      </c>
      <c r="Y760" s="4" t="e">
        <f t="shared" si="950"/>
        <v>#VALUE!</v>
      </c>
    </row>
    <row r="761" spans="1:25" x14ac:dyDescent="0.3">
      <c r="A761" s="11"/>
      <c r="B761" s="5" t="str">
        <f t="shared" si="913"/>
        <v/>
      </c>
      <c r="C761" s="5" t="str">
        <f t="shared" si="914"/>
        <v/>
      </c>
      <c r="D761" s="4" t="s">
        <v>10</v>
      </c>
      <c r="E761" s="4" t="s">
        <v>11</v>
      </c>
      <c r="F761" s="4" t="str">
        <f t="shared" si="937"/>
        <v>!!!</v>
      </c>
      <c r="G761" s="4" t="str">
        <f t="shared" si="915"/>
        <v>+</v>
      </c>
      <c r="H761" s="4"/>
      <c r="I761" s="4" t="str">
        <f t="shared" si="938"/>
        <v>!!!</v>
      </c>
      <c r="J761" s="4" t="e">
        <f t="shared" si="939"/>
        <v>#VALUE!</v>
      </c>
      <c r="K761" s="4" t="e">
        <f t="shared" si="940"/>
        <v>#VALUE!</v>
      </c>
      <c r="L761" s="4" t="e">
        <f t="shared" si="941"/>
        <v>#VALUE!</v>
      </c>
      <c r="M761" s="4">
        <f t="shared" si="916"/>
        <v>1000</v>
      </c>
      <c r="N761" s="4">
        <f t="shared" ref="N761:O761" si="983">MIN(IFERROR(FIND(" ",$C761,M761+1),1000))</f>
        <v>1000</v>
      </c>
      <c r="O761" s="4">
        <f t="shared" si="983"/>
        <v>1000</v>
      </c>
      <c r="P761" s="4">
        <f t="shared" si="918"/>
        <v>0</v>
      </c>
      <c r="Q761" s="4" t="str">
        <f t="shared" si="947"/>
        <v/>
      </c>
      <c r="R761" s="4" t="str">
        <f t="shared" si="963"/>
        <v/>
      </c>
      <c r="S761" s="4" t="str">
        <f t="shared" si="953"/>
        <v/>
      </c>
      <c r="T761" s="4" t="e">
        <f t="shared" si="919"/>
        <v>#VALUE!</v>
      </c>
      <c r="U761" s="4" t="e">
        <f t="shared" si="920"/>
        <v>#VALUE!</v>
      </c>
      <c r="V761" s="4" t="b">
        <f t="shared" si="911"/>
        <v>0</v>
      </c>
      <c r="W761" s="13" t="str">
        <f t="shared" si="912"/>
        <v>Да</v>
      </c>
      <c r="X761" s="4" t="e">
        <f>(IF(COUNTIFS($G$2:G761,"+",$W$2:W761,"Да")&gt;1,"&amp; ","")&amp;D761&amp;J761&amp;E761&amp;SUBSTITUTE(L761,"""",""))</f>
        <v>#VALUE!</v>
      </c>
      <c r="Y761" s="4" t="e">
        <f t="shared" si="950"/>
        <v>#VALUE!</v>
      </c>
    </row>
    <row r="762" spans="1:25" x14ac:dyDescent="0.3">
      <c r="A762" s="11"/>
      <c r="B762" s="5" t="str">
        <f t="shared" si="913"/>
        <v/>
      </c>
      <c r="C762" s="5" t="str">
        <f t="shared" si="914"/>
        <v/>
      </c>
      <c r="D762" s="4" t="s">
        <v>10</v>
      </c>
      <c r="E762" s="4" t="s">
        <v>11</v>
      </c>
      <c r="F762" s="4" t="str">
        <f t="shared" si="937"/>
        <v>!!!</v>
      </c>
      <c r="G762" s="4" t="str">
        <f t="shared" si="915"/>
        <v>+</v>
      </c>
      <c r="H762" s="4"/>
      <c r="I762" s="4" t="str">
        <f t="shared" si="938"/>
        <v>!!!</v>
      </c>
      <c r="J762" s="4" t="e">
        <f t="shared" si="939"/>
        <v>#VALUE!</v>
      </c>
      <c r="K762" s="4" t="e">
        <f t="shared" si="940"/>
        <v>#VALUE!</v>
      </c>
      <c r="L762" s="4" t="e">
        <f t="shared" si="941"/>
        <v>#VALUE!</v>
      </c>
      <c r="M762" s="4">
        <f t="shared" si="916"/>
        <v>1000</v>
      </c>
      <c r="N762" s="4">
        <f t="shared" ref="N762:O762" si="984">MIN(IFERROR(FIND(" ",$C762,M762+1),1000))</f>
        <v>1000</v>
      </c>
      <c r="O762" s="4">
        <f t="shared" si="984"/>
        <v>1000</v>
      </c>
      <c r="P762" s="4">
        <f t="shared" si="918"/>
        <v>0</v>
      </c>
      <c r="Q762" s="4" t="str">
        <f t="shared" si="947"/>
        <v/>
      </c>
      <c r="R762" s="4" t="str">
        <f t="shared" si="963"/>
        <v/>
      </c>
      <c r="S762" s="4" t="str">
        <f t="shared" si="953"/>
        <v/>
      </c>
      <c r="T762" s="4" t="e">
        <f t="shared" si="919"/>
        <v>#VALUE!</v>
      </c>
      <c r="U762" s="4" t="e">
        <f t="shared" si="920"/>
        <v>#VALUE!</v>
      </c>
      <c r="V762" s="4" t="b">
        <f t="shared" si="911"/>
        <v>0</v>
      </c>
      <c r="W762" s="13" t="str">
        <f t="shared" si="912"/>
        <v>Да</v>
      </c>
      <c r="X762" s="4" t="e">
        <f>(IF(COUNTIFS($G$2:G762,"+",$W$2:W762,"Да")&gt;1,"&amp; ","")&amp;D762&amp;J762&amp;E762&amp;SUBSTITUTE(L762,"""",""))</f>
        <v>#VALUE!</v>
      </c>
      <c r="Y762" s="4" t="e">
        <f t="shared" si="950"/>
        <v>#VALUE!</v>
      </c>
    </row>
    <row r="763" spans="1:25" x14ac:dyDescent="0.3">
      <c r="A763" s="11"/>
      <c r="B763" s="5" t="str">
        <f t="shared" si="913"/>
        <v/>
      </c>
      <c r="C763" s="5" t="str">
        <f t="shared" si="914"/>
        <v/>
      </c>
      <c r="D763" s="4" t="s">
        <v>10</v>
      </c>
      <c r="E763" s="4" t="s">
        <v>11</v>
      </c>
      <c r="F763" s="4" t="str">
        <f t="shared" si="937"/>
        <v>!!!</v>
      </c>
      <c r="G763" s="4" t="str">
        <f t="shared" si="915"/>
        <v>+</v>
      </c>
      <c r="H763" s="4"/>
      <c r="I763" s="4" t="str">
        <f t="shared" si="938"/>
        <v>!!!</v>
      </c>
      <c r="J763" s="4" t="e">
        <f t="shared" si="939"/>
        <v>#VALUE!</v>
      </c>
      <c r="K763" s="4" t="e">
        <f t="shared" si="940"/>
        <v>#VALUE!</v>
      </c>
      <c r="L763" s="4" t="e">
        <f t="shared" si="941"/>
        <v>#VALUE!</v>
      </c>
      <c r="M763" s="4">
        <f t="shared" si="916"/>
        <v>1000</v>
      </c>
      <c r="N763" s="4">
        <f t="shared" ref="N763:O763" si="985">MIN(IFERROR(FIND(" ",$C763,M763+1),1000))</f>
        <v>1000</v>
      </c>
      <c r="O763" s="4">
        <f t="shared" si="985"/>
        <v>1000</v>
      </c>
      <c r="P763" s="4">
        <f t="shared" si="918"/>
        <v>0</v>
      </c>
      <c r="Q763" s="4" t="str">
        <f t="shared" si="947"/>
        <v/>
      </c>
      <c r="R763" s="4" t="str">
        <f t="shared" si="963"/>
        <v/>
      </c>
      <c r="S763" s="4" t="str">
        <f t="shared" si="953"/>
        <v/>
      </c>
      <c r="T763" s="4" t="e">
        <f t="shared" si="919"/>
        <v>#VALUE!</v>
      </c>
      <c r="U763" s="4" t="e">
        <f t="shared" si="920"/>
        <v>#VALUE!</v>
      </c>
      <c r="V763" s="4" t="b">
        <f t="shared" si="911"/>
        <v>0</v>
      </c>
      <c r="W763" s="13" t="str">
        <f t="shared" si="912"/>
        <v>Да</v>
      </c>
      <c r="X763" s="4" t="e">
        <f>(IF(COUNTIFS($G$2:G763,"+",$W$2:W763,"Да")&gt;1,"&amp; ","")&amp;D763&amp;J763&amp;E763&amp;SUBSTITUTE(L763,"""",""))</f>
        <v>#VALUE!</v>
      </c>
      <c r="Y763" s="4" t="e">
        <f t="shared" si="950"/>
        <v>#VALUE!</v>
      </c>
    </row>
    <row r="764" spans="1:25" x14ac:dyDescent="0.3">
      <c r="A764" s="11"/>
      <c r="B764" s="5" t="str">
        <f t="shared" si="913"/>
        <v/>
      </c>
      <c r="C764" s="5" t="str">
        <f t="shared" si="914"/>
        <v/>
      </c>
      <c r="D764" s="4" t="s">
        <v>10</v>
      </c>
      <c r="E764" s="4" t="s">
        <v>11</v>
      </c>
      <c r="F764" s="4" t="str">
        <f t="shared" si="937"/>
        <v>!!!</v>
      </c>
      <c r="G764" s="4" t="str">
        <f t="shared" si="915"/>
        <v>+</v>
      </c>
      <c r="H764" s="4"/>
      <c r="I764" s="4" t="str">
        <f t="shared" si="938"/>
        <v>!!!</v>
      </c>
      <c r="J764" s="4" t="e">
        <f t="shared" si="939"/>
        <v>#VALUE!</v>
      </c>
      <c r="K764" s="4" t="e">
        <f t="shared" si="940"/>
        <v>#VALUE!</v>
      </c>
      <c r="L764" s="4" t="e">
        <f t="shared" si="941"/>
        <v>#VALUE!</v>
      </c>
      <c r="M764" s="4">
        <f t="shared" si="916"/>
        <v>1000</v>
      </c>
      <c r="N764" s="4">
        <f t="shared" ref="N764:O764" si="986">MIN(IFERROR(FIND(" ",$C764,M764+1),1000))</f>
        <v>1000</v>
      </c>
      <c r="O764" s="4">
        <f t="shared" si="986"/>
        <v>1000</v>
      </c>
      <c r="P764" s="4">
        <f t="shared" si="918"/>
        <v>0</v>
      </c>
      <c r="Q764" s="4" t="str">
        <f t="shared" si="947"/>
        <v/>
      </c>
      <c r="R764" s="4" t="str">
        <f t="shared" si="963"/>
        <v/>
      </c>
      <c r="S764" s="4" t="str">
        <f t="shared" si="953"/>
        <v/>
      </c>
      <c r="T764" s="4" t="e">
        <f t="shared" si="919"/>
        <v>#VALUE!</v>
      </c>
      <c r="U764" s="4" t="e">
        <f t="shared" si="920"/>
        <v>#VALUE!</v>
      </c>
      <c r="V764" s="4" t="b">
        <f t="shared" si="911"/>
        <v>0</v>
      </c>
      <c r="W764" s="13" t="str">
        <f t="shared" si="912"/>
        <v>Да</v>
      </c>
      <c r="X764" s="4" t="e">
        <f>(IF(COUNTIFS($G$2:G764,"+",$W$2:W764,"Да")&gt;1,"&amp; ","")&amp;D764&amp;J764&amp;E764&amp;SUBSTITUTE(L764,"""",""))</f>
        <v>#VALUE!</v>
      </c>
      <c r="Y764" s="4" t="e">
        <f t="shared" si="950"/>
        <v>#VALUE!</v>
      </c>
    </row>
    <row r="765" spans="1:25" x14ac:dyDescent="0.3">
      <c r="A765" s="11"/>
      <c r="B765" s="5" t="str">
        <f t="shared" si="913"/>
        <v/>
      </c>
      <c r="C765" s="5" t="str">
        <f t="shared" si="914"/>
        <v/>
      </c>
      <c r="D765" s="4" t="s">
        <v>10</v>
      </c>
      <c r="E765" s="4" t="s">
        <v>11</v>
      </c>
      <c r="F765" s="4" t="str">
        <f t="shared" si="937"/>
        <v>!!!</v>
      </c>
      <c r="G765" s="4" t="str">
        <f t="shared" si="915"/>
        <v>+</v>
      </c>
      <c r="H765" s="4"/>
      <c r="I765" s="4" t="str">
        <f t="shared" si="938"/>
        <v>!!!</v>
      </c>
      <c r="J765" s="4" t="e">
        <f t="shared" si="939"/>
        <v>#VALUE!</v>
      </c>
      <c r="K765" s="4" t="e">
        <f t="shared" si="940"/>
        <v>#VALUE!</v>
      </c>
      <c r="L765" s="4" t="e">
        <f t="shared" si="941"/>
        <v>#VALUE!</v>
      </c>
      <c r="M765" s="4">
        <f t="shared" si="916"/>
        <v>1000</v>
      </c>
      <c r="N765" s="4">
        <f t="shared" ref="N765:O765" si="987">MIN(IFERROR(FIND(" ",$C765,M765+1),1000))</f>
        <v>1000</v>
      </c>
      <c r="O765" s="4">
        <f t="shared" si="987"/>
        <v>1000</v>
      </c>
      <c r="P765" s="4">
        <f t="shared" si="918"/>
        <v>0</v>
      </c>
      <c r="Q765" s="4" t="str">
        <f t="shared" si="947"/>
        <v/>
      </c>
      <c r="R765" s="4" t="str">
        <f t="shared" si="963"/>
        <v/>
      </c>
      <c r="S765" s="4" t="str">
        <f t="shared" si="953"/>
        <v/>
      </c>
      <c r="T765" s="4" t="e">
        <f t="shared" si="919"/>
        <v>#VALUE!</v>
      </c>
      <c r="U765" s="4" t="e">
        <f t="shared" si="920"/>
        <v>#VALUE!</v>
      </c>
      <c r="V765" s="4" t="b">
        <f t="shared" si="911"/>
        <v>0</v>
      </c>
      <c r="W765" s="13" t="str">
        <f t="shared" si="912"/>
        <v>Да</v>
      </c>
      <c r="X765" s="4" t="e">
        <f>(IF(COUNTIFS($G$2:G765,"+",$W$2:W765,"Да")&gt;1,"&amp; ","")&amp;D765&amp;J765&amp;E765&amp;SUBSTITUTE(L765,"""",""))</f>
        <v>#VALUE!</v>
      </c>
      <c r="Y765" s="4" t="e">
        <f t="shared" si="950"/>
        <v>#VALUE!</v>
      </c>
    </row>
    <row r="766" spans="1:25" x14ac:dyDescent="0.3">
      <c r="A766" s="11"/>
      <c r="B766" s="5" t="str">
        <f t="shared" si="913"/>
        <v/>
      </c>
      <c r="C766" s="5" t="str">
        <f t="shared" si="914"/>
        <v/>
      </c>
      <c r="D766" s="4" t="s">
        <v>10</v>
      </c>
      <c r="E766" s="4" t="s">
        <v>11</v>
      </c>
      <c r="F766" s="4" t="str">
        <f t="shared" si="937"/>
        <v>!!!</v>
      </c>
      <c r="G766" s="4" t="str">
        <f t="shared" si="915"/>
        <v>+</v>
      </c>
      <c r="H766" s="4"/>
      <c r="I766" s="4" t="str">
        <f t="shared" si="938"/>
        <v>!!!</v>
      </c>
      <c r="J766" s="4" t="e">
        <f t="shared" si="939"/>
        <v>#VALUE!</v>
      </c>
      <c r="K766" s="4" t="e">
        <f t="shared" si="940"/>
        <v>#VALUE!</v>
      </c>
      <c r="L766" s="4" t="e">
        <f t="shared" si="941"/>
        <v>#VALUE!</v>
      </c>
      <c r="M766" s="4">
        <f t="shared" si="916"/>
        <v>1000</v>
      </c>
      <c r="N766" s="4">
        <f t="shared" ref="N766:O766" si="988">MIN(IFERROR(FIND(" ",$C766,M766+1),1000))</f>
        <v>1000</v>
      </c>
      <c r="O766" s="4">
        <f t="shared" si="988"/>
        <v>1000</v>
      </c>
      <c r="P766" s="4">
        <f t="shared" si="918"/>
        <v>0</v>
      </c>
      <c r="Q766" s="4" t="str">
        <f t="shared" si="947"/>
        <v/>
      </c>
      <c r="R766" s="4" t="str">
        <f t="shared" si="963"/>
        <v/>
      </c>
      <c r="S766" s="4" t="str">
        <f t="shared" si="953"/>
        <v/>
      </c>
      <c r="T766" s="4" t="e">
        <f t="shared" si="919"/>
        <v>#VALUE!</v>
      </c>
      <c r="U766" s="4" t="e">
        <f t="shared" si="920"/>
        <v>#VALUE!</v>
      </c>
      <c r="V766" s="4" t="b">
        <f t="shared" si="911"/>
        <v>0</v>
      </c>
      <c r="W766" s="13" t="str">
        <f t="shared" si="912"/>
        <v>Да</v>
      </c>
      <c r="X766" s="4" t="e">
        <f>(IF(COUNTIFS($G$2:G766,"+",$W$2:W766,"Да")&gt;1,"&amp; ","")&amp;D766&amp;J766&amp;E766&amp;SUBSTITUTE(L766,"""",""))</f>
        <v>#VALUE!</v>
      </c>
      <c r="Y766" s="4" t="e">
        <f t="shared" si="950"/>
        <v>#VALUE!</v>
      </c>
    </row>
    <row r="767" spans="1:25" x14ac:dyDescent="0.3">
      <c r="A767" s="11"/>
      <c r="B767" s="5" t="str">
        <f t="shared" si="913"/>
        <v/>
      </c>
      <c r="C767" s="5" t="str">
        <f t="shared" si="914"/>
        <v/>
      </c>
      <c r="D767" s="4" t="s">
        <v>10</v>
      </c>
      <c r="E767" s="4" t="s">
        <v>11</v>
      </c>
      <c r="F767" s="4" t="str">
        <f t="shared" si="937"/>
        <v>!!!</v>
      </c>
      <c r="G767" s="4" t="str">
        <f t="shared" si="915"/>
        <v>+</v>
      </c>
      <c r="H767" s="4"/>
      <c r="I767" s="4" t="str">
        <f t="shared" si="938"/>
        <v>!!!</v>
      </c>
      <c r="J767" s="4" t="e">
        <f t="shared" si="939"/>
        <v>#VALUE!</v>
      </c>
      <c r="K767" s="4" t="e">
        <f t="shared" si="940"/>
        <v>#VALUE!</v>
      </c>
      <c r="L767" s="4" t="e">
        <f t="shared" si="941"/>
        <v>#VALUE!</v>
      </c>
      <c r="M767" s="4">
        <f t="shared" si="916"/>
        <v>1000</v>
      </c>
      <c r="N767" s="4">
        <f t="shared" ref="N767:O767" si="989">MIN(IFERROR(FIND(" ",$C767,M767+1),1000))</f>
        <v>1000</v>
      </c>
      <c r="O767" s="4">
        <f t="shared" si="989"/>
        <v>1000</v>
      </c>
      <c r="P767" s="4">
        <f t="shared" si="918"/>
        <v>0</v>
      </c>
      <c r="Q767" s="4" t="str">
        <f t="shared" si="947"/>
        <v/>
      </c>
      <c r="R767" s="4" t="str">
        <f t="shared" si="963"/>
        <v/>
      </c>
      <c r="S767" s="4" t="str">
        <f t="shared" si="953"/>
        <v/>
      </c>
      <c r="T767" s="4" t="e">
        <f t="shared" si="919"/>
        <v>#VALUE!</v>
      </c>
      <c r="U767" s="4" t="e">
        <f t="shared" si="920"/>
        <v>#VALUE!</v>
      </c>
      <c r="V767" s="4" t="b">
        <f t="shared" si="911"/>
        <v>0</v>
      </c>
      <c r="W767" s="13" t="str">
        <f t="shared" si="912"/>
        <v>Да</v>
      </c>
      <c r="X767" s="4" t="e">
        <f>(IF(COUNTIFS($G$2:G767,"+",$W$2:W767,"Да")&gt;1,"&amp; ","")&amp;D767&amp;J767&amp;E767&amp;SUBSTITUTE(L767,"""",""))</f>
        <v>#VALUE!</v>
      </c>
      <c r="Y767" s="4" t="e">
        <f t="shared" si="950"/>
        <v>#VALUE!</v>
      </c>
    </row>
    <row r="768" spans="1:25" x14ac:dyDescent="0.3">
      <c r="A768" s="11"/>
      <c r="B768" s="5" t="str">
        <f t="shared" si="913"/>
        <v/>
      </c>
      <c r="C768" s="5" t="str">
        <f t="shared" si="914"/>
        <v/>
      </c>
      <c r="D768" s="4" t="s">
        <v>10</v>
      </c>
      <c r="E768" s="4" t="s">
        <v>11</v>
      </c>
      <c r="F768" s="4" t="str">
        <f t="shared" si="937"/>
        <v>!!!</v>
      </c>
      <c r="G768" s="4" t="str">
        <f t="shared" si="915"/>
        <v>+</v>
      </c>
      <c r="H768" s="4"/>
      <c r="I768" s="4" t="str">
        <f t="shared" si="938"/>
        <v>!!!</v>
      </c>
      <c r="J768" s="4" t="e">
        <f t="shared" si="939"/>
        <v>#VALUE!</v>
      </c>
      <c r="K768" s="4" t="e">
        <f t="shared" si="940"/>
        <v>#VALUE!</v>
      </c>
      <c r="L768" s="4" t="e">
        <f t="shared" si="941"/>
        <v>#VALUE!</v>
      </c>
      <c r="M768" s="4">
        <f t="shared" si="916"/>
        <v>1000</v>
      </c>
      <c r="N768" s="4">
        <f t="shared" ref="N768:O768" si="990">MIN(IFERROR(FIND(" ",$C768,M768+1),1000))</f>
        <v>1000</v>
      </c>
      <c r="O768" s="4">
        <f t="shared" si="990"/>
        <v>1000</v>
      </c>
      <c r="P768" s="4">
        <f t="shared" si="918"/>
        <v>0</v>
      </c>
      <c r="Q768" s="4" t="str">
        <f t="shared" si="947"/>
        <v/>
      </c>
      <c r="R768" s="4" t="str">
        <f t="shared" si="963"/>
        <v/>
      </c>
      <c r="S768" s="4" t="str">
        <f t="shared" si="953"/>
        <v/>
      </c>
      <c r="T768" s="4" t="e">
        <f t="shared" si="919"/>
        <v>#VALUE!</v>
      </c>
      <c r="U768" s="4" t="e">
        <f t="shared" si="920"/>
        <v>#VALUE!</v>
      </c>
      <c r="V768" s="4" t="b">
        <f t="shared" si="911"/>
        <v>0</v>
      </c>
      <c r="W768" s="13" t="str">
        <f t="shared" si="912"/>
        <v>Да</v>
      </c>
      <c r="X768" s="4" t="e">
        <f>(IF(COUNTIFS($G$2:G768,"+",$W$2:W768,"Да")&gt;1,"&amp; ","")&amp;D768&amp;J768&amp;E768&amp;SUBSTITUTE(L768,"""",""))</f>
        <v>#VALUE!</v>
      </c>
      <c r="Y768" s="4" t="e">
        <f t="shared" si="950"/>
        <v>#VALUE!</v>
      </c>
    </row>
    <row r="769" spans="1:25" x14ac:dyDescent="0.3">
      <c r="A769" s="11"/>
      <c r="B769" s="5" t="str">
        <f t="shared" si="913"/>
        <v/>
      </c>
      <c r="C769" s="5" t="str">
        <f t="shared" si="914"/>
        <v/>
      </c>
      <c r="D769" s="4" t="s">
        <v>10</v>
      </c>
      <c r="E769" s="4" t="s">
        <v>11</v>
      </c>
      <c r="F769" s="4" t="str">
        <f t="shared" si="937"/>
        <v>!!!</v>
      </c>
      <c r="G769" s="4" t="str">
        <f t="shared" si="915"/>
        <v>+</v>
      </c>
      <c r="H769" s="4"/>
      <c r="I769" s="4" t="str">
        <f t="shared" si="938"/>
        <v>!!!</v>
      </c>
      <c r="J769" s="4" t="e">
        <f t="shared" si="939"/>
        <v>#VALUE!</v>
      </c>
      <c r="K769" s="4" t="e">
        <f t="shared" si="940"/>
        <v>#VALUE!</v>
      </c>
      <c r="L769" s="4" t="e">
        <f t="shared" si="941"/>
        <v>#VALUE!</v>
      </c>
      <c r="M769" s="4">
        <f t="shared" si="916"/>
        <v>1000</v>
      </c>
      <c r="N769" s="4">
        <f t="shared" ref="N769:O769" si="991">MIN(IFERROR(FIND(" ",$C769,M769+1),1000))</f>
        <v>1000</v>
      </c>
      <c r="O769" s="4">
        <f t="shared" si="991"/>
        <v>1000</v>
      </c>
      <c r="P769" s="4">
        <f t="shared" si="918"/>
        <v>0</v>
      </c>
      <c r="Q769" s="4" t="str">
        <f t="shared" si="947"/>
        <v/>
      </c>
      <c r="R769" s="4" t="str">
        <f t="shared" si="963"/>
        <v/>
      </c>
      <c r="S769" s="4" t="str">
        <f t="shared" si="953"/>
        <v/>
      </c>
      <c r="T769" s="4" t="e">
        <f t="shared" si="919"/>
        <v>#VALUE!</v>
      </c>
      <c r="U769" s="4" t="e">
        <f t="shared" si="920"/>
        <v>#VALUE!</v>
      </c>
      <c r="V769" s="4" t="b">
        <f t="shared" si="911"/>
        <v>0</v>
      </c>
      <c r="W769" s="13" t="str">
        <f t="shared" si="912"/>
        <v>Да</v>
      </c>
      <c r="X769" s="4" t="e">
        <f>(IF(COUNTIFS($G$2:G769,"+",$W$2:W769,"Да")&gt;1,"&amp; ","")&amp;D769&amp;J769&amp;E769&amp;SUBSTITUTE(L769,"""",""))</f>
        <v>#VALUE!</v>
      </c>
      <c r="Y769" s="4" t="e">
        <f t="shared" si="950"/>
        <v>#VALUE!</v>
      </c>
    </row>
    <row r="770" spans="1:25" x14ac:dyDescent="0.3">
      <c r="A770" s="11"/>
      <c r="B770" s="5" t="str">
        <f t="shared" si="913"/>
        <v/>
      </c>
      <c r="C770" s="5" t="str">
        <f t="shared" si="914"/>
        <v/>
      </c>
      <c r="D770" s="4" t="s">
        <v>10</v>
      </c>
      <c r="E770" s="4" t="s">
        <v>11</v>
      </c>
      <c r="F770" s="4" t="str">
        <f t="shared" si="937"/>
        <v>!!!</v>
      </c>
      <c r="G770" s="4" t="str">
        <f t="shared" si="915"/>
        <v>+</v>
      </c>
      <c r="H770" s="4"/>
      <c r="I770" s="4" t="str">
        <f t="shared" si="938"/>
        <v>!!!</v>
      </c>
      <c r="J770" s="4" t="e">
        <f t="shared" si="939"/>
        <v>#VALUE!</v>
      </c>
      <c r="K770" s="4" t="e">
        <f t="shared" si="940"/>
        <v>#VALUE!</v>
      </c>
      <c r="L770" s="4" t="e">
        <f t="shared" si="941"/>
        <v>#VALUE!</v>
      </c>
      <c r="M770" s="4">
        <f t="shared" si="916"/>
        <v>1000</v>
      </c>
      <c r="N770" s="4">
        <f t="shared" ref="N770:O770" si="992">MIN(IFERROR(FIND(" ",$C770,M770+1),1000))</f>
        <v>1000</v>
      </c>
      <c r="O770" s="4">
        <f t="shared" si="992"/>
        <v>1000</v>
      </c>
      <c r="P770" s="4">
        <f t="shared" si="918"/>
        <v>0</v>
      </c>
      <c r="Q770" s="4" t="str">
        <f t="shared" si="947"/>
        <v/>
      </c>
      <c r="R770" s="4" t="str">
        <f t="shared" si="963"/>
        <v/>
      </c>
      <c r="S770" s="4" t="str">
        <f t="shared" si="953"/>
        <v/>
      </c>
      <c r="T770" s="4" t="e">
        <f t="shared" si="919"/>
        <v>#VALUE!</v>
      </c>
      <c r="U770" s="4" t="e">
        <f t="shared" si="920"/>
        <v>#VALUE!</v>
      </c>
      <c r="V770" s="4" t="b">
        <f t="shared" ref="V770:V833" si="993">OR(IFERROR(MATCH(U770,Q:Q,0),0)&lt;&gt;0,IFERROR(MATCH(U770,R:R,0),0)&lt;&gt;0)</f>
        <v>0</v>
      </c>
      <c r="W770" s="13" t="str">
        <f t="shared" ref="W770:W833" si="994">IF(A770="","Да",IF(OR(F770="!!!",NOT(V770)),"Нет","Да"))</f>
        <v>Да</v>
      </c>
      <c r="X770" s="4" t="e">
        <f>(IF(COUNTIFS($G$2:G770,"+",$W$2:W770,"Да")&gt;1,"&amp; ","")&amp;D770&amp;J770&amp;E770&amp;SUBSTITUTE(L770,"""",""))</f>
        <v>#VALUE!</v>
      </c>
      <c r="Y770" s="4" t="e">
        <f t="shared" si="950"/>
        <v>#VALUE!</v>
      </c>
    </row>
    <row r="771" spans="1:25" x14ac:dyDescent="0.3">
      <c r="A771" s="11"/>
      <c r="B771" s="5" t="str">
        <f t="shared" ref="B771:B834" si="995">TRIM(LEFT(A771,IFERROR(FIND("'",A771)-1,1000)))</f>
        <v/>
      </c>
      <c r="C771" s="5" t="str">
        <f t="shared" ref="C771:C834" si="996">SUBSTITUTE(SUBSTITUTE(SUBSTITUTE(SUBSTITUTE(TRIM(LEFT(A771,IFERROR(FIND("'",A771)-1,1000))),"&lt;&lt;","&lt;"),"--","-"),"&gt;&gt;","&gt;"),"&amp;","")</f>
        <v/>
      </c>
      <c r="D771" s="4" t="s">
        <v>10</v>
      </c>
      <c r="E771" s="4" t="s">
        <v>11</v>
      </c>
      <c r="F771" s="4" t="str">
        <f t="shared" si="937"/>
        <v>!!!</v>
      </c>
      <c r="G771" s="4" t="str">
        <f t="shared" ref="G771:G834" si="997">IF(AND($A$2="",$A$3="",$A$4="",$A$5=""),"+",IF(F771="!!!","X","+"))</f>
        <v>+</v>
      </c>
      <c r="H771" s="4"/>
      <c r="I771" s="4" t="str">
        <f t="shared" si="938"/>
        <v>!!!</v>
      </c>
      <c r="J771" s="4" t="e">
        <f t="shared" si="939"/>
        <v>#VALUE!</v>
      </c>
      <c r="K771" s="4" t="e">
        <f t="shared" si="940"/>
        <v>#VALUE!</v>
      </c>
      <c r="L771" s="4" t="e">
        <f t="shared" si="941"/>
        <v>#VALUE!</v>
      </c>
      <c r="M771" s="4">
        <f t="shared" ref="M771:M834" si="998">MIN(IFERROR(FIND(" ",$C771),1000))</f>
        <v>1000</v>
      </c>
      <c r="N771" s="4">
        <f t="shared" ref="N771:O771" si="999">MIN(IFERROR(FIND(" ",$C771,M771+1),1000))</f>
        <v>1000</v>
      </c>
      <c r="O771" s="4">
        <f t="shared" si="999"/>
        <v>1000</v>
      </c>
      <c r="P771" s="4">
        <f t="shared" ref="P771:P834" si="1000">MIN(IFERROR(FIND(" ",C771,O771+1),0),IFERROR(FIND("&lt;",C771,O771+1),0),IFERROR(FIND(":",C771,O771+1),0))</f>
        <v>0</v>
      </c>
      <c r="Q771" s="4" t="str">
        <f t="shared" si="947"/>
        <v/>
      </c>
      <c r="R771" s="4" t="str">
        <f t="shared" si="963"/>
        <v/>
      </c>
      <c r="S771" s="4" t="str">
        <f t="shared" si="953"/>
        <v/>
      </c>
      <c r="T771" s="4" t="e">
        <f t="shared" ref="T771:T834" si="1001">FIND(" ",C771,FIND("as",C771))+1</f>
        <v>#VALUE!</v>
      </c>
      <c r="U771" s="4" t="e">
        <f t="shared" ref="U771:U834" si="1002">MID(C771,T771,MIN(FIND(" ",C771,T771),FIND("&lt;",C771,T771))-T771)</f>
        <v>#VALUE!</v>
      </c>
      <c r="V771" s="4" t="b">
        <f t="shared" si="993"/>
        <v>0</v>
      </c>
      <c r="W771" s="13" t="str">
        <f t="shared" si="994"/>
        <v>Да</v>
      </c>
      <c r="X771" s="4" t="e">
        <f>(IF(COUNTIFS($G$2:G771,"+",$W$2:W771,"Да")&gt;1,"&amp; ","")&amp;D771&amp;J771&amp;E771&amp;SUBSTITUTE(L771,"""",""))</f>
        <v>#VALUE!</v>
      </c>
      <c r="Y771" s="4" t="e">
        <f t="shared" si="950"/>
        <v>#VALUE!</v>
      </c>
    </row>
    <row r="772" spans="1:25" x14ac:dyDescent="0.3">
      <c r="A772" s="11"/>
      <c r="B772" s="5" t="str">
        <f t="shared" si="995"/>
        <v/>
      </c>
      <c r="C772" s="5" t="str">
        <f t="shared" si="996"/>
        <v/>
      </c>
      <c r="D772" s="4" t="s">
        <v>10</v>
      </c>
      <c r="E772" s="4" t="s">
        <v>11</v>
      </c>
      <c r="F772" s="4" t="str">
        <f t="shared" si="937"/>
        <v>!!!</v>
      </c>
      <c r="G772" s="4" t="str">
        <f t="shared" si="997"/>
        <v>+</v>
      </c>
      <c r="H772" s="4"/>
      <c r="I772" s="4" t="str">
        <f t="shared" si="938"/>
        <v>!!!</v>
      </c>
      <c r="J772" s="4" t="e">
        <f t="shared" si="939"/>
        <v>#VALUE!</v>
      </c>
      <c r="K772" s="4" t="e">
        <f t="shared" si="940"/>
        <v>#VALUE!</v>
      </c>
      <c r="L772" s="4" t="e">
        <f t="shared" si="941"/>
        <v>#VALUE!</v>
      </c>
      <c r="M772" s="4">
        <f t="shared" si="998"/>
        <v>1000</v>
      </c>
      <c r="N772" s="4">
        <f t="shared" ref="N772:O772" si="1003">MIN(IFERROR(FIND(" ",$C772,M772+1),1000))</f>
        <v>1000</v>
      </c>
      <c r="O772" s="4">
        <f t="shared" si="1003"/>
        <v>1000</v>
      </c>
      <c r="P772" s="4">
        <f t="shared" si="1000"/>
        <v>0</v>
      </c>
      <c r="Q772" s="4" t="str">
        <f t="shared" si="947"/>
        <v/>
      </c>
      <c r="R772" s="4" t="str">
        <f t="shared" si="963"/>
        <v/>
      </c>
      <c r="S772" s="4" t="str">
        <f t="shared" si="953"/>
        <v/>
      </c>
      <c r="T772" s="4" t="e">
        <f t="shared" si="1001"/>
        <v>#VALUE!</v>
      </c>
      <c r="U772" s="4" t="e">
        <f t="shared" si="1002"/>
        <v>#VALUE!</v>
      </c>
      <c r="V772" s="4" t="b">
        <f t="shared" si="993"/>
        <v>0</v>
      </c>
      <c r="W772" s="13" t="str">
        <f t="shared" si="994"/>
        <v>Да</v>
      </c>
      <c r="X772" s="4" t="e">
        <f>(IF(COUNTIFS($G$2:G772,"+",$W$2:W772,"Да")&gt;1,"&amp; ","")&amp;D772&amp;J772&amp;E772&amp;SUBSTITUTE(L772,"""",""))</f>
        <v>#VALUE!</v>
      </c>
      <c r="Y772" s="4" t="e">
        <f t="shared" si="950"/>
        <v>#VALUE!</v>
      </c>
    </row>
    <row r="773" spans="1:25" x14ac:dyDescent="0.3">
      <c r="A773" s="11"/>
      <c r="B773" s="5" t="str">
        <f t="shared" si="995"/>
        <v/>
      </c>
      <c r="C773" s="5" t="str">
        <f t="shared" si="996"/>
        <v/>
      </c>
      <c r="D773" s="4" t="s">
        <v>10</v>
      </c>
      <c r="E773" s="4" t="s">
        <v>11</v>
      </c>
      <c r="F773" s="4" t="str">
        <f t="shared" si="937"/>
        <v>!!!</v>
      </c>
      <c r="G773" s="4" t="str">
        <f t="shared" si="997"/>
        <v>+</v>
      </c>
      <c r="H773" s="4"/>
      <c r="I773" s="4" t="str">
        <f t="shared" si="938"/>
        <v>!!!</v>
      </c>
      <c r="J773" s="4" t="e">
        <f t="shared" si="939"/>
        <v>#VALUE!</v>
      </c>
      <c r="K773" s="4" t="e">
        <f t="shared" si="940"/>
        <v>#VALUE!</v>
      </c>
      <c r="L773" s="4" t="e">
        <f t="shared" si="941"/>
        <v>#VALUE!</v>
      </c>
      <c r="M773" s="4">
        <f t="shared" si="998"/>
        <v>1000</v>
      </c>
      <c r="N773" s="4">
        <f t="shared" ref="N773:O773" si="1004">MIN(IFERROR(FIND(" ",$C773,M773+1),1000))</f>
        <v>1000</v>
      </c>
      <c r="O773" s="4">
        <f t="shared" si="1004"/>
        <v>1000</v>
      </c>
      <c r="P773" s="4">
        <f t="shared" si="1000"/>
        <v>0</v>
      </c>
      <c r="Q773" s="4" t="str">
        <f t="shared" si="947"/>
        <v/>
      </c>
      <c r="R773" s="4" t="str">
        <f t="shared" si="963"/>
        <v/>
      </c>
      <c r="S773" s="4" t="str">
        <f t="shared" si="953"/>
        <v/>
      </c>
      <c r="T773" s="4" t="e">
        <f t="shared" si="1001"/>
        <v>#VALUE!</v>
      </c>
      <c r="U773" s="4" t="e">
        <f t="shared" si="1002"/>
        <v>#VALUE!</v>
      </c>
      <c r="V773" s="4" t="b">
        <f t="shared" si="993"/>
        <v>0</v>
      </c>
      <c r="W773" s="13" t="str">
        <f t="shared" si="994"/>
        <v>Да</v>
      </c>
      <c r="X773" s="4" t="e">
        <f>(IF(COUNTIFS($G$2:G773,"+",$W$2:W773,"Да")&gt;1,"&amp; ","")&amp;D773&amp;J773&amp;E773&amp;SUBSTITUTE(L773,"""",""))</f>
        <v>#VALUE!</v>
      </c>
      <c r="Y773" s="4" t="e">
        <f t="shared" si="950"/>
        <v>#VALUE!</v>
      </c>
    </row>
    <row r="774" spans="1:25" x14ac:dyDescent="0.3">
      <c r="A774" s="11"/>
      <c r="B774" s="5" t="str">
        <f t="shared" si="995"/>
        <v/>
      </c>
      <c r="C774" s="5" t="str">
        <f t="shared" si="996"/>
        <v/>
      </c>
      <c r="D774" s="4" t="s">
        <v>10</v>
      </c>
      <c r="E774" s="4" t="s">
        <v>11</v>
      </c>
      <c r="F774" s="4" t="str">
        <f t="shared" si="937"/>
        <v>!!!</v>
      </c>
      <c r="G774" s="4" t="str">
        <f t="shared" si="997"/>
        <v>+</v>
      </c>
      <c r="H774" s="4"/>
      <c r="I774" s="4" t="str">
        <f t="shared" si="938"/>
        <v>!!!</v>
      </c>
      <c r="J774" s="4" t="e">
        <f t="shared" si="939"/>
        <v>#VALUE!</v>
      </c>
      <c r="K774" s="4" t="e">
        <f t="shared" si="940"/>
        <v>#VALUE!</v>
      </c>
      <c r="L774" s="4" t="e">
        <f t="shared" si="941"/>
        <v>#VALUE!</v>
      </c>
      <c r="M774" s="4">
        <f t="shared" si="998"/>
        <v>1000</v>
      </c>
      <c r="N774" s="4">
        <f t="shared" ref="N774:O774" si="1005">MIN(IFERROR(FIND(" ",$C774,M774+1),1000))</f>
        <v>1000</v>
      </c>
      <c r="O774" s="4">
        <f t="shared" si="1005"/>
        <v>1000</v>
      </c>
      <c r="P774" s="4">
        <f t="shared" si="1000"/>
        <v>0</v>
      </c>
      <c r="Q774" s="4" t="str">
        <f t="shared" si="947"/>
        <v/>
      </c>
      <c r="R774" s="4" t="str">
        <f t="shared" si="963"/>
        <v/>
      </c>
      <c r="S774" s="4" t="str">
        <f t="shared" si="953"/>
        <v/>
      </c>
      <c r="T774" s="4" t="e">
        <f t="shared" si="1001"/>
        <v>#VALUE!</v>
      </c>
      <c r="U774" s="4" t="e">
        <f t="shared" si="1002"/>
        <v>#VALUE!</v>
      </c>
      <c r="V774" s="4" t="b">
        <f t="shared" si="993"/>
        <v>0</v>
      </c>
      <c r="W774" s="13" t="str">
        <f t="shared" si="994"/>
        <v>Да</v>
      </c>
      <c r="X774" s="4" t="e">
        <f>(IF(COUNTIFS($G$2:G774,"+",$W$2:W774,"Да")&gt;1,"&amp; ","")&amp;D774&amp;J774&amp;E774&amp;SUBSTITUTE(L774,"""",""))</f>
        <v>#VALUE!</v>
      </c>
      <c r="Y774" s="4" t="e">
        <f t="shared" si="950"/>
        <v>#VALUE!</v>
      </c>
    </row>
    <row r="775" spans="1:25" x14ac:dyDescent="0.3">
      <c r="A775" s="11"/>
      <c r="B775" s="5" t="str">
        <f t="shared" si="995"/>
        <v/>
      </c>
      <c r="C775" s="5" t="str">
        <f t="shared" si="996"/>
        <v/>
      </c>
      <c r="D775" s="4" t="s">
        <v>10</v>
      </c>
      <c r="E775" s="4" t="s">
        <v>11</v>
      </c>
      <c r="F775" s="4" t="str">
        <f t="shared" si="937"/>
        <v>!!!</v>
      </c>
      <c r="G775" s="4" t="str">
        <f t="shared" si="997"/>
        <v>+</v>
      </c>
      <c r="H775" s="4"/>
      <c r="I775" s="4" t="str">
        <f t="shared" si="938"/>
        <v>!!!</v>
      </c>
      <c r="J775" s="4" t="e">
        <f t="shared" si="939"/>
        <v>#VALUE!</v>
      </c>
      <c r="K775" s="4" t="e">
        <f t="shared" si="940"/>
        <v>#VALUE!</v>
      </c>
      <c r="L775" s="4" t="e">
        <f t="shared" si="941"/>
        <v>#VALUE!</v>
      </c>
      <c r="M775" s="4">
        <f t="shared" si="998"/>
        <v>1000</v>
      </c>
      <c r="N775" s="4">
        <f t="shared" ref="N775:O775" si="1006">MIN(IFERROR(FIND(" ",$C775,M775+1),1000))</f>
        <v>1000</v>
      </c>
      <c r="O775" s="4">
        <f t="shared" si="1006"/>
        <v>1000</v>
      </c>
      <c r="P775" s="4">
        <f t="shared" si="1000"/>
        <v>0</v>
      </c>
      <c r="Q775" s="4" t="str">
        <f t="shared" si="947"/>
        <v/>
      </c>
      <c r="R775" s="4" t="str">
        <f t="shared" si="963"/>
        <v/>
      </c>
      <c r="S775" s="4" t="str">
        <f t="shared" si="953"/>
        <v/>
      </c>
      <c r="T775" s="4" t="e">
        <f t="shared" si="1001"/>
        <v>#VALUE!</v>
      </c>
      <c r="U775" s="4" t="e">
        <f t="shared" si="1002"/>
        <v>#VALUE!</v>
      </c>
      <c r="V775" s="4" t="b">
        <f t="shared" si="993"/>
        <v>0</v>
      </c>
      <c r="W775" s="13" t="str">
        <f t="shared" si="994"/>
        <v>Да</v>
      </c>
      <c r="X775" s="4" t="e">
        <f>(IF(COUNTIFS($G$2:G775,"+",$W$2:W775,"Да")&gt;1,"&amp; ","")&amp;D775&amp;J775&amp;E775&amp;SUBSTITUTE(L775,"""",""))</f>
        <v>#VALUE!</v>
      </c>
      <c r="Y775" s="4" t="e">
        <f t="shared" si="950"/>
        <v>#VALUE!</v>
      </c>
    </row>
    <row r="776" spans="1:25" x14ac:dyDescent="0.3">
      <c r="A776" s="11"/>
      <c r="B776" s="5" t="str">
        <f t="shared" si="995"/>
        <v/>
      </c>
      <c r="C776" s="5" t="str">
        <f t="shared" si="996"/>
        <v/>
      </c>
      <c r="D776" s="4" t="s">
        <v>10</v>
      </c>
      <c r="E776" s="4" t="s">
        <v>11</v>
      </c>
      <c r="F776" s="4" t="str">
        <f t="shared" si="937"/>
        <v>!!!</v>
      </c>
      <c r="G776" s="4" t="str">
        <f t="shared" si="997"/>
        <v>+</v>
      </c>
      <c r="H776" s="4"/>
      <c r="I776" s="4" t="str">
        <f t="shared" si="938"/>
        <v>!!!</v>
      </c>
      <c r="J776" s="4" t="e">
        <f t="shared" si="939"/>
        <v>#VALUE!</v>
      </c>
      <c r="K776" s="4" t="e">
        <f t="shared" si="940"/>
        <v>#VALUE!</v>
      </c>
      <c r="L776" s="4" t="e">
        <f t="shared" si="941"/>
        <v>#VALUE!</v>
      </c>
      <c r="M776" s="4">
        <f t="shared" si="998"/>
        <v>1000</v>
      </c>
      <c r="N776" s="4">
        <f t="shared" ref="N776:O776" si="1007">MIN(IFERROR(FIND(" ",$C776,M776+1),1000))</f>
        <v>1000</v>
      </c>
      <c r="O776" s="4">
        <f t="shared" si="1007"/>
        <v>1000</v>
      </c>
      <c r="P776" s="4">
        <f t="shared" si="1000"/>
        <v>0</v>
      </c>
      <c r="Q776" s="4" t="str">
        <f t="shared" si="947"/>
        <v/>
      </c>
      <c r="R776" s="4" t="str">
        <f t="shared" si="963"/>
        <v/>
      </c>
      <c r="S776" s="4" t="str">
        <f t="shared" si="953"/>
        <v/>
      </c>
      <c r="T776" s="4" t="e">
        <f t="shared" si="1001"/>
        <v>#VALUE!</v>
      </c>
      <c r="U776" s="4" t="e">
        <f t="shared" si="1002"/>
        <v>#VALUE!</v>
      </c>
      <c r="V776" s="4" t="b">
        <f t="shared" si="993"/>
        <v>0</v>
      </c>
      <c r="W776" s="13" t="str">
        <f t="shared" si="994"/>
        <v>Да</v>
      </c>
      <c r="X776" s="4" t="e">
        <f>(IF(COUNTIFS($G$2:G776,"+",$W$2:W776,"Да")&gt;1,"&amp; ","")&amp;D776&amp;J776&amp;E776&amp;SUBSTITUTE(L776,"""",""))</f>
        <v>#VALUE!</v>
      </c>
      <c r="Y776" s="4" t="e">
        <f t="shared" si="950"/>
        <v>#VALUE!</v>
      </c>
    </row>
    <row r="777" spans="1:25" x14ac:dyDescent="0.3">
      <c r="A777" s="11"/>
      <c r="B777" s="5" t="str">
        <f t="shared" si="995"/>
        <v/>
      </c>
      <c r="C777" s="5" t="str">
        <f t="shared" si="996"/>
        <v/>
      </c>
      <c r="D777" s="4" t="s">
        <v>10</v>
      </c>
      <c r="E777" s="4" t="s">
        <v>11</v>
      </c>
      <c r="F777" s="4" t="str">
        <f t="shared" si="937"/>
        <v>!!!</v>
      </c>
      <c r="G777" s="4" t="str">
        <f t="shared" si="997"/>
        <v>+</v>
      </c>
      <c r="H777" s="4"/>
      <c r="I777" s="4" t="str">
        <f t="shared" si="938"/>
        <v>!!!</v>
      </c>
      <c r="J777" s="4" t="e">
        <f t="shared" si="939"/>
        <v>#VALUE!</v>
      </c>
      <c r="K777" s="4" t="e">
        <f t="shared" si="940"/>
        <v>#VALUE!</v>
      </c>
      <c r="L777" s="4" t="e">
        <f t="shared" si="941"/>
        <v>#VALUE!</v>
      </c>
      <c r="M777" s="4">
        <f t="shared" si="998"/>
        <v>1000</v>
      </c>
      <c r="N777" s="4">
        <f t="shared" ref="N777:O777" si="1008">MIN(IFERROR(FIND(" ",$C777,M777+1),1000))</f>
        <v>1000</v>
      </c>
      <c r="O777" s="4">
        <f t="shared" si="1008"/>
        <v>1000</v>
      </c>
      <c r="P777" s="4">
        <f t="shared" si="1000"/>
        <v>0</v>
      </c>
      <c r="Q777" s="4" t="str">
        <f t="shared" si="947"/>
        <v/>
      </c>
      <c r="R777" s="4" t="str">
        <f t="shared" si="963"/>
        <v/>
      </c>
      <c r="S777" s="4" t="str">
        <f t="shared" si="953"/>
        <v/>
      </c>
      <c r="T777" s="4" t="e">
        <f t="shared" si="1001"/>
        <v>#VALUE!</v>
      </c>
      <c r="U777" s="4" t="e">
        <f t="shared" si="1002"/>
        <v>#VALUE!</v>
      </c>
      <c r="V777" s="4" t="b">
        <f t="shared" si="993"/>
        <v>0</v>
      </c>
      <c r="W777" s="13" t="str">
        <f t="shared" si="994"/>
        <v>Да</v>
      </c>
      <c r="X777" s="4" t="e">
        <f>(IF(COUNTIFS($G$2:G777,"+",$W$2:W777,"Да")&gt;1,"&amp; ","")&amp;D777&amp;J777&amp;E777&amp;SUBSTITUTE(L777,"""",""))</f>
        <v>#VALUE!</v>
      </c>
      <c r="Y777" s="4" t="e">
        <f t="shared" si="950"/>
        <v>#VALUE!</v>
      </c>
    </row>
    <row r="778" spans="1:25" x14ac:dyDescent="0.3">
      <c r="A778" s="11"/>
      <c r="B778" s="5" t="str">
        <f t="shared" si="995"/>
        <v/>
      </c>
      <c r="C778" s="5" t="str">
        <f t="shared" si="996"/>
        <v/>
      </c>
      <c r="D778" s="4" t="s">
        <v>10</v>
      </c>
      <c r="E778" s="4" t="s">
        <v>11</v>
      </c>
      <c r="F778" s="4" t="str">
        <f t="shared" si="937"/>
        <v>!!!</v>
      </c>
      <c r="G778" s="4" t="str">
        <f t="shared" si="997"/>
        <v>+</v>
      </c>
      <c r="H778" s="4"/>
      <c r="I778" s="4" t="str">
        <f t="shared" si="938"/>
        <v>!!!</v>
      </c>
      <c r="J778" s="4" t="e">
        <f t="shared" si="939"/>
        <v>#VALUE!</v>
      </c>
      <c r="K778" s="4" t="e">
        <f t="shared" si="940"/>
        <v>#VALUE!</v>
      </c>
      <c r="L778" s="4" t="e">
        <f t="shared" si="941"/>
        <v>#VALUE!</v>
      </c>
      <c r="M778" s="4">
        <f t="shared" si="998"/>
        <v>1000</v>
      </c>
      <c r="N778" s="4">
        <f t="shared" ref="N778:O778" si="1009">MIN(IFERROR(FIND(" ",$C778,M778+1),1000))</f>
        <v>1000</v>
      </c>
      <c r="O778" s="4">
        <f t="shared" si="1009"/>
        <v>1000</v>
      </c>
      <c r="P778" s="4">
        <f t="shared" si="1000"/>
        <v>0</v>
      </c>
      <c r="Q778" s="4" t="str">
        <f t="shared" si="947"/>
        <v/>
      </c>
      <c r="R778" s="4" t="str">
        <f t="shared" si="963"/>
        <v/>
      </c>
      <c r="S778" s="4" t="str">
        <f t="shared" si="953"/>
        <v/>
      </c>
      <c r="T778" s="4" t="e">
        <f t="shared" si="1001"/>
        <v>#VALUE!</v>
      </c>
      <c r="U778" s="4" t="e">
        <f t="shared" si="1002"/>
        <v>#VALUE!</v>
      </c>
      <c r="V778" s="4" t="b">
        <f t="shared" si="993"/>
        <v>0</v>
      </c>
      <c r="W778" s="13" t="str">
        <f t="shared" si="994"/>
        <v>Да</v>
      </c>
      <c r="X778" s="4" t="e">
        <f>(IF(COUNTIFS($G$2:G778,"+",$W$2:W778,"Да")&gt;1,"&amp; ","")&amp;D778&amp;J778&amp;E778&amp;SUBSTITUTE(L778,"""",""))</f>
        <v>#VALUE!</v>
      </c>
      <c r="Y778" s="4" t="e">
        <f t="shared" si="950"/>
        <v>#VALUE!</v>
      </c>
    </row>
    <row r="779" spans="1:25" x14ac:dyDescent="0.3">
      <c r="A779" s="11"/>
      <c r="B779" s="5" t="str">
        <f t="shared" si="995"/>
        <v/>
      </c>
      <c r="C779" s="5" t="str">
        <f t="shared" si="996"/>
        <v/>
      </c>
      <c r="D779" s="4" t="s">
        <v>10</v>
      </c>
      <c r="E779" s="4" t="s">
        <v>11</v>
      </c>
      <c r="F779" s="4" t="str">
        <f t="shared" si="937"/>
        <v>!!!</v>
      </c>
      <c r="G779" s="4" t="str">
        <f t="shared" si="997"/>
        <v>+</v>
      </c>
      <c r="H779" s="4"/>
      <c r="I779" s="4" t="str">
        <f t="shared" si="938"/>
        <v>!!!</v>
      </c>
      <c r="J779" s="4" t="e">
        <f t="shared" si="939"/>
        <v>#VALUE!</v>
      </c>
      <c r="K779" s="4" t="e">
        <f t="shared" si="940"/>
        <v>#VALUE!</v>
      </c>
      <c r="L779" s="4" t="e">
        <f t="shared" si="941"/>
        <v>#VALUE!</v>
      </c>
      <c r="M779" s="4">
        <f t="shared" si="998"/>
        <v>1000</v>
      </c>
      <c r="N779" s="4">
        <f t="shared" ref="N779:O779" si="1010">MIN(IFERROR(FIND(" ",$C779,M779+1),1000))</f>
        <v>1000</v>
      </c>
      <c r="O779" s="4">
        <f t="shared" si="1010"/>
        <v>1000</v>
      </c>
      <c r="P779" s="4">
        <f t="shared" si="1000"/>
        <v>0</v>
      </c>
      <c r="Q779" s="4" t="str">
        <f t="shared" si="947"/>
        <v/>
      </c>
      <c r="R779" s="4" t="str">
        <f t="shared" si="963"/>
        <v/>
      </c>
      <c r="S779" s="4" t="str">
        <f t="shared" si="953"/>
        <v/>
      </c>
      <c r="T779" s="4" t="e">
        <f t="shared" si="1001"/>
        <v>#VALUE!</v>
      </c>
      <c r="U779" s="4" t="e">
        <f t="shared" si="1002"/>
        <v>#VALUE!</v>
      </c>
      <c r="V779" s="4" t="b">
        <f t="shared" si="993"/>
        <v>0</v>
      </c>
      <c r="W779" s="13" t="str">
        <f t="shared" si="994"/>
        <v>Да</v>
      </c>
      <c r="X779" s="4" t="e">
        <f>(IF(COUNTIFS($G$2:G779,"+",$W$2:W779,"Да")&gt;1,"&amp; ","")&amp;D779&amp;J779&amp;E779&amp;SUBSTITUTE(L779,"""",""))</f>
        <v>#VALUE!</v>
      </c>
      <c r="Y779" s="4" t="e">
        <f t="shared" si="950"/>
        <v>#VALUE!</v>
      </c>
    </row>
    <row r="780" spans="1:25" x14ac:dyDescent="0.3">
      <c r="A780" s="11"/>
      <c r="B780" s="5" t="str">
        <f t="shared" si="995"/>
        <v/>
      </c>
      <c r="C780" s="5" t="str">
        <f t="shared" si="996"/>
        <v/>
      </c>
      <c r="D780" s="4" t="s">
        <v>10</v>
      </c>
      <c r="E780" s="4" t="s">
        <v>11</v>
      </c>
      <c r="F780" s="4" t="str">
        <f t="shared" si="937"/>
        <v>!!!</v>
      </c>
      <c r="G780" s="4" t="str">
        <f t="shared" si="997"/>
        <v>+</v>
      </c>
      <c r="H780" s="4"/>
      <c r="I780" s="4" t="str">
        <f t="shared" si="938"/>
        <v>!!!</v>
      </c>
      <c r="J780" s="4" t="e">
        <f t="shared" si="939"/>
        <v>#VALUE!</v>
      </c>
      <c r="K780" s="4" t="e">
        <f t="shared" si="940"/>
        <v>#VALUE!</v>
      </c>
      <c r="L780" s="4" t="e">
        <f t="shared" si="941"/>
        <v>#VALUE!</v>
      </c>
      <c r="M780" s="4">
        <f t="shared" si="998"/>
        <v>1000</v>
      </c>
      <c r="N780" s="4">
        <f t="shared" ref="N780:O780" si="1011">MIN(IFERROR(FIND(" ",$C780,M780+1),1000))</f>
        <v>1000</v>
      </c>
      <c r="O780" s="4">
        <f t="shared" si="1011"/>
        <v>1000</v>
      </c>
      <c r="P780" s="4">
        <f t="shared" si="1000"/>
        <v>0</v>
      </c>
      <c r="Q780" s="4" t="str">
        <f t="shared" si="947"/>
        <v/>
      </c>
      <c r="R780" s="4" t="str">
        <f t="shared" si="963"/>
        <v/>
      </c>
      <c r="S780" s="4" t="str">
        <f t="shared" si="953"/>
        <v/>
      </c>
      <c r="T780" s="4" t="e">
        <f t="shared" si="1001"/>
        <v>#VALUE!</v>
      </c>
      <c r="U780" s="4" t="e">
        <f t="shared" si="1002"/>
        <v>#VALUE!</v>
      </c>
      <c r="V780" s="4" t="b">
        <f t="shared" si="993"/>
        <v>0</v>
      </c>
      <c r="W780" s="13" t="str">
        <f t="shared" si="994"/>
        <v>Да</v>
      </c>
      <c r="X780" s="4" t="e">
        <f>(IF(COUNTIFS($G$2:G780,"+",$W$2:W780,"Да")&gt;1,"&amp; ","")&amp;D780&amp;J780&amp;E780&amp;SUBSTITUTE(L780,"""",""))</f>
        <v>#VALUE!</v>
      </c>
      <c r="Y780" s="4" t="e">
        <f t="shared" si="950"/>
        <v>#VALUE!</v>
      </c>
    </row>
    <row r="781" spans="1:25" x14ac:dyDescent="0.3">
      <c r="A781" s="11"/>
      <c r="B781" s="5" t="str">
        <f t="shared" si="995"/>
        <v/>
      </c>
      <c r="C781" s="5" t="str">
        <f t="shared" si="996"/>
        <v/>
      </c>
      <c r="D781" s="4" t="s">
        <v>10</v>
      </c>
      <c r="E781" s="4" t="s">
        <v>11</v>
      </c>
      <c r="F781" s="4" t="str">
        <f t="shared" si="937"/>
        <v>!!!</v>
      </c>
      <c r="G781" s="4" t="str">
        <f t="shared" si="997"/>
        <v>+</v>
      </c>
      <c r="H781" s="4"/>
      <c r="I781" s="4" t="str">
        <f t="shared" si="938"/>
        <v>!!!</v>
      </c>
      <c r="J781" s="4" t="e">
        <f t="shared" si="939"/>
        <v>#VALUE!</v>
      </c>
      <c r="K781" s="4" t="e">
        <f t="shared" si="940"/>
        <v>#VALUE!</v>
      </c>
      <c r="L781" s="4" t="e">
        <f t="shared" si="941"/>
        <v>#VALUE!</v>
      </c>
      <c r="M781" s="4">
        <f t="shared" si="998"/>
        <v>1000</v>
      </c>
      <c r="N781" s="4">
        <f t="shared" ref="N781:O781" si="1012">MIN(IFERROR(FIND(" ",$C781,M781+1),1000))</f>
        <v>1000</v>
      </c>
      <c r="O781" s="4">
        <f t="shared" si="1012"/>
        <v>1000</v>
      </c>
      <c r="P781" s="4">
        <f t="shared" si="1000"/>
        <v>0</v>
      </c>
      <c r="Q781" s="4" t="str">
        <f t="shared" si="947"/>
        <v/>
      </c>
      <c r="R781" s="4" t="str">
        <f t="shared" si="963"/>
        <v/>
      </c>
      <c r="S781" s="4" t="str">
        <f t="shared" si="953"/>
        <v/>
      </c>
      <c r="T781" s="4" t="e">
        <f t="shared" si="1001"/>
        <v>#VALUE!</v>
      </c>
      <c r="U781" s="4" t="e">
        <f t="shared" si="1002"/>
        <v>#VALUE!</v>
      </c>
      <c r="V781" s="4" t="b">
        <f t="shared" si="993"/>
        <v>0</v>
      </c>
      <c r="W781" s="13" t="str">
        <f t="shared" si="994"/>
        <v>Да</v>
      </c>
      <c r="X781" s="4" t="e">
        <f>(IF(COUNTIFS($G$2:G781,"+",$W$2:W781,"Да")&gt;1,"&amp; ","")&amp;D781&amp;J781&amp;E781&amp;SUBSTITUTE(L781,"""",""))</f>
        <v>#VALUE!</v>
      </c>
      <c r="Y781" s="4" t="e">
        <f t="shared" si="950"/>
        <v>#VALUE!</v>
      </c>
    </row>
    <row r="782" spans="1:25" x14ac:dyDescent="0.3">
      <c r="A782" s="11"/>
      <c r="B782" s="5" t="str">
        <f t="shared" si="995"/>
        <v/>
      </c>
      <c r="C782" s="5" t="str">
        <f t="shared" si="996"/>
        <v/>
      </c>
      <c r="D782" s="4" t="s">
        <v>10</v>
      </c>
      <c r="E782" s="4" t="s">
        <v>11</v>
      </c>
      <c r="F782" s="4" t="str">
        <f t="shared" si="937"/>
        <v>!!!</v>
      </c>
      <c r="G782" s="4" t="str">
        <f t="shared" si="997"/>
        <v>+</v>
      </c>
      <c r="H782" s="4"/>
      <c r="I782" s="4" t="str">
        <f t="shared" si="938"/>
        <v>!!!</v>
      </c>
      <c r="J782" s="4" t="e">
        <f t="shared" si="939"/>
        <v>#VALUE!</v>
      </c>
      <c r="K782" s="4" t="e">
        <f t="shared" si="940"/>
        <v>#VALUE!</v>
      </c>
      <c r="L782" s="4" t="e">
        <f t="shared" si="941"/>
        <v>#VALUE!</v>
      </c>
      <c r="M782" s="4">
        <f t="shared" si="998"/>
        <v>1000</v>
      </c>
      <c r="N782" s="4">
        <f t="shared" ref="N782:O782" si="1013">MIN(IFERROR(FIND(" ",$C782,M782+1),1000))</f>
        <v>1000</v>
      </c>
      <c r="O782" s="4">
        <f t="shared" si="1013"/>
        <v>1000</v>
      </c>
      <c r="P782" s="4">
        <f t="shared" si="1000"/>
        <v>0</v>
      </c>
      <c r="Q782" s="4" t="str">
        <f t="shared" si="947"/>
        <v/>
      </c>
      <c r="R782" s="4" t="str">
        <f t="shared" si="963"/>
        <v/>
      </c>
      <c r="S782" s="4" t="str">
        <f t="shared" si="953"/>
        <v/>
      </c>
      <c r="T782" s="4" t="e">
        <f t="shared" si="1001"/>
        <v>#VALUE!</v>
      </c>
      <c r="U782" s="4" t="e">
        <f t="shared" si="1002"/>
        <v>#VALUE!</v>
      </c>
      <c r="V782" s="4" t="b">
        <f t="shared" si="993"/>
        <v>0</v>
      </c>
      <c r="W782" s="13" t="str">
        <f t="shared" si="994"/>
        <v>Да</v>
      </c>
      <c r="X782" s="4" t="e">
        <f>(IF(COUNTIFS($G$2:G782,"+",$W$2:W782,"Да")&gt;1,"&amp; ","")&amp;D782&amp;J782&amp;E782&amp;SUBSTITUTE(L782,"""",""))</f>
        <v>#VALUE!</v>
      </c>
      <c r="Y782" s="4" t="e">
        <f t="shared" si="950"/>
        <v>#VALUE!</v>
      </c>
    </row>
    <row r="783" spans="1:25" x14ac:dyDescent="0.3">
      <c r="A783" s="11"/>
      <c r="B783" s="5" t="str">
        <f t="shared" si="995"/>
        <v/>
      </c>
      <c r="C783" s="5" t="str">
        <f t="shared" si="996"/>
        <v/>
      </c>
      <c r="D783" s="4" t="s">
        <v>10</v>
      </c>
      <c r="E783" s="4" t="s">
        <v>11</v>
      </c>
      <c r="F783" s="4" t="str">
        <f t="shared" si="937"/>
        <v>!!!</v>
      </c>
      <c r="G783" s="4" t="str">
        <f t="shared" si="997"/>
        <v>+</v>
      </c>
      <c r="H783" s="4"/>
      <c r="I783" s="4" t="str">
        <f t="shared" si="938"/>
        <v>!!!</v>
      </c>
      <c r="J783" s="4" t="e">
        <f t="shared" si="939"/>
        <v>#VALUE!</v>
      </c>
      <c r="K783" s="4" t="e">
        <f t="shared" si="940"/>
        <v>#VALUE!</v>
      </c>
      <c r="L783" s="4" t="e">
        <f t="shared" si="941"/>
        <v>#VALUE!</v>
      </c>
      <c r="M783" s="4">
        <f t="shared" si="998"/>
        <v>1000</v>
      </c>
      <c r="N783" s="4">
        <f t="shared" ref="N783:O783" si="1014">MIN(IFERROR(FIND(" ",$C783,M783+1),1000))</f>
        <v>1000</v>
      </c>
      <c r="O783" s="4">
        <f t="shared" si="1014"/>
        <v>1000</v>
      </c>
      <c r="P783" s="4">
        <f t="shared" si="1000"/>
        <v>0</v>
      </c>
      <c r="Q783" s="4" t="str">
        <f t="shared" si="947"/>
        <v/>
      </c>
      <c r="R783" s="4" t="str">
        <f t="shared" si="963"/>
        <v/>
      </c>
      <c r="S783" s="4" t="str">
        <f t="shared" si="953"/>
        <v/>
      </c>
      <c r="T783" s="4" t="e">
        <f t="shared" si="1001"/>
        <v>#VALUE!</v>
      </c>
      <c r="U783" s="4" t="e">
        <f t="shared" si="1002"/>
        <v>#VALUE!</v>
      </c>
      <c r="V783" s="4" t="b">
        <f t="shared" si="993"/>
        <v>0</v>
      </c>
      <c r="W783" s="13" t="str">
        <f t="shared" si="994"/>
        <v>Да</v>
      </c>
      <c r="X783" s="4" t="e">
        <f>(IF(COUNTIFS($G$2:G783,"+",$W$2:W783,"Да")&gt;1,"&amp; ","")&amp;D783&amp;J783&amp;E783&amp;SUBSTITUTE(L783,"""",""))</f>
        <v>#VALUE!</v>
      </c>
      <c r="Y783" s="4" t="e">
        <f t="shared" si="950"/>
        <v>#VALUE!</v>
      </c>
    </row>
    <row r="784" spans="1:25" x14ac:dyDescent="0.3">
      <c r="A784" s="11"/>
      <c r="B784" s="5" t="str">
        <f t="shared" si="995"/>
        <v/>
      </c>
      <c r="C784" s="5" t="str">
        <f t="shared" si="996"/>
        <v/>
      </c>
      <c r="D784" s="4" t="s">
        <v>10</v>
      </c>
      <c r="E784" s="4" t="s">
        <v>11</v>
      </c>
      <c r="F784" s="4" t="str">
        <f t="shared" si="937"/>
        <v>!!!</v>
      </c>
      <c r="G784" s="4" t="str">
        <f t="shared" si="997"/>
        <v>+</v>
      </c>
      <c r="H784" s="4"/>
      <c r="I784" s="4" t="str">
        <f t="shared" si="938"/>
        <v>!!!</v>
      </c>
      <c r="J784" s="4" t="e">
        <f t="shared" si="939"/>
        <v>#VALUE!</v>
      </c>
      <c r="K784" s="4" t="e">
        <f t="shared" si="940"/>
        <v>#VALUE!</v>
      </c>
      <c r="L784" s="4" t="e">
        <f t="shared" si="941"/>
        <v>#VALUE!</v>
      </c>
      <c r="M784" s="4">
        <f t="shared" si="998"/>
        <v>1000</v>
      </c>
      <c r="N784" s="4">
        <f t="shared" ref="N784:O784" si="1015">MIN(IFERROR(FIND(" ",$C784,M784+1),1000))</f>
        <v>1000</v>
      </c>
      <c r="O784" s="4">
        <f t="shared" si="1015"/>
        <v>1000</v>
      </c>
      <c r="P784" s="4">
        <f t="shared" si="1000"/>
        <v>0</v>
      </c>
      <c r="Q784" s="4" t="str">
        <f t="shared" si="947"/>
        <v/>
      </c>
      <c r="R784" s="4" t="str">
        <f t="shared" si="963"/>
        <v/>
      </c>
      <c r="S784" s="4" t="str">
        <f t="shared" si="953"/>
        <v/>
      </c>
      <c r="T784" s="4" t="e">
        <f t="shared" si="1001"/>
        <v>#VALUE!</v>
      </c>
      <c r="U784" s="4" t="e">
        <f t="shared" si="1002"/>
        <v>#VALUE!</v>
      </c>
      <c r="V784" s="4" t="b">
        <f t="shared" si="993"/>
        <v>0</v>
      </c>
      <c r="W784" s="13" t="str">
        <f t="shared" si="994"/>
        <v>Да</v>
      </c>
      <c r="X784" s="4" t="e">
        <f>(IF(COUNTIFS($G$2:G784,"+",$W$2:W784,"Да")&gt;1,"&amp; ","")&amp;D784&amp;J784&amp;E784&amp;SUBSTITUTE(L784,"""",""))</f>
        <v>#VALUE!</v>
      </c>
      <c r="Y784" s="4" t="e">
        <f t="shared" si="950"/>
        <v>#VALUE!</v>
      </c>
    </row>
    <row r="785" spans="1:25" x14ac:dyDescent="0.3">
      <c r="A785" s="11"/>
      <c r="B785" s="5" t="str">
        <f t="shared" si="995"/>
        <v/>
      </c>
      <c r="C785" s="5" t="str">
        <f t="shared" si="996"/>
        <v/>
      </c>
      <c r="D785" s="4" t="s">
        <v>10</v>
      </c>
      <c r="E785" s="4" t="s">
        <v>11</v>
      </c>
      <c r="F785" s="4" t="str">
        <f t="shared" si="937"/>
        <v>!!!</v>
      </c>
      <c r="G785" s="4" t="str">
        <f t="shared" si="997"/>
        <v>+</v>
      </c>
      <c r="H785" s="4"/>
      <c r="I785" s="4" t="str">
        <f t="shared" si="938"/>
        <v>!!!</v>
      </c>
      <c r="J785" s="4" t="e">
        <f t="shared" si="939"/>
        <v>#VALUE!</v>
      </c>
      <c r="K785" s="4" t="e">
        <f t="shared" si="940"/>
        <v>#VALUE!</v>
      </c>
      <c r="L785" s="4" t="e">
        <f t="shared" si="941"/>
        <v>#VALUE!</v>
      </c>
      <c r="M785" s="4">
        <f t="shared" si="998"/>
        <v>1000</v>
      </c>
      <c r="N785" s="4">
        <f t="shared" ref="N785:O785" si="1016">MIN(IFERROR(FIND(" ",$C785,M785+1),1000))</f>
        <v>1000</v>
      </c>
      <c r="O785" s="4">
        <f t="shared" si="1016"/>
        <v>1000</v>
      </c>
      <c r="P785" s="4">
        <f t="shared" si="1000"/>
        <v>0</v>
      </c>
      <c r="Q785" s="4" t="str">
        <f t="shared" si="947"/>
        <v/>
      </c>
      <c r="R785" s="4" t="str">
        <f t="shared" si="963"/>
        <v/>
      </c>
      <c r="S785" s="4" t="str">
        <f t="shared" si="953"/>
        <v/>
      </c>
      <c r="T785" s="4" t="e">
        <f t="shared" si="1001"/>
        <v>#VALUE!</v>
      </c>
      <c r="U785" s="4" t="e">
        <f t="shared" si="1002"/>
        <v>#VALUE!</v>
      </c>
      <c r="V785" s="4" t="b">
        <f t="shared" si="993"/>
        <v>0</v>
      </c>
      <c r="W785" s="13" t="str">
        <f t="shared" si="994"/>
        <v>Да</v>
      </c>
      <c r="X785" s="4" t="e">
        <f>(IF(COUNTIFS($G$2:G785,"+",$W$2:W785,"Да")&gt;1,"&amp; ","")&amp;D785&amp;J785&amp;E785&amp;SUBSTITUTE(L785,"""",""))</f>
        <v>#VALUE!</v>
      </c>
      <c r="Y785" s="4" t="e">
        <f t="shared" si="950"/>
        <v>#VALUE!</v>
      </c>
    </row>
    <row r="786" spans="1:25" x14ac:dyDescent="0.3">
      <c r="A786" s="11"/>
      <c r="B786" s="5" t="str">
        <f t="shared" si="995"/>
        <v/>
      </c>
      <c r="C786" s="5" t="str">
        <f t="shared" si="996"/>
        <v/>
      </c>
      <c r="D786" s="4" t="s">
        <v>10</v>
      </c>
      <c r="E786" s="4" t="s">
        <v>11</v>
      </c>
      <c r="F786" s="4" t="str">
        <f t="shared" si="937"/>
        <v>!!!</v>
      </c>
      <c r="G786" s="4" t="str">
        <f t="shared" si="997"/>
        <v>+</v>
      </c>
      <c r="H786" s="4"/>
      <c r="I786" s="4" t="str">
        <f t="shared" si="938"/>
        <v>!!!</v>
      </c>
      <c r="J786" s="4" t="e">
        <f t="shared" si="939"/>
        <v>#VALUE!</v>
      </c>
      <c r="K786" s="4" t="e">
        <f t="shared" si="940"/>
        <v>#VALUE!</v>
      </c>
      <c r="L786" s="4" t="e">
        <f t="shared" si="941"/>
        <v>#VALUE!</v>
      </c>
      <c r="M786" s="4">
        <f t="shared" si="998"/>
        <v>1000</v>
      </c>
      <c r="N786" s="4">
        <f t="shared" ref="N786:O786" si="1017">MIN(IFERROR(FIND(" ",$C786,M786+1),1000))</f>
        <v>1000</v>
      </c>
      <c r="O786" s="4">
        <f t="shared" si="1017"/>
        <v>1000</v>
      </c>
      <c r="P786" s="4">
        <f t="shared" si="1000"/>
        <v>0</v>
      </c>
      <c r="Q786" s="4" t="str">
        <f t="shared" si="947"/>
        <v/>
      </c>
      <c r="R786" s="4" t="str">
        <f t="shared" si="963"/>
        <v/>
      </c>
      <c r="S786" s="4" t="str">
        <f t="shared" si="953"/>
        <v/>
      </c>
      <c r="T786" s="4" t="e">
        <f t="shared" si="1001"/>
        <v>#VALUE!</v>
      </c>
      <c r="U786" s="4" t="e">
        <f t="shared" si="1002"/>
        <v>#VALUE!</v>
      </c>
      <c r="V786" s="4" t="b">
        <f t="shared" si="993"/>
        <v>0</v>
      </c>
      <c r="W786" s="13" t="str">
        <f t="shared" si="994"/>
        <v>Да</v>
      </c>
      <c r="X786" s="4" t="e">
        <f>(IF(COUNTIFS($G$2:G786,"+",$W$2:W786,"Да")&gt;1,"&amp; ","")&amp;D786&amp;J786&amp;E786&amp;SUBSTITUTE(L786,"""",""))</f>
        <v>#VALUE!</v>
      </c>
      <c r="Y786" s="4" t="e">
        <f t="shared" si="950"/>
        <v>#VALUE!</v>
      </c>
    </row>
    <row r="787" spans="1:25" x14ac:dyDescent="0.3">
      <c r="A787" s="11"/>
      <c r="B787" s="5" t="str">
        <f t="shared" si="995"/>
        <v/>
      </c>
      <c r="C787" s="5" t="str">
        <f t="shared" si="996"/>
        <v/>
      </c>
      <c r="D787" s="4" t="s">
        <v>10</v>
      </c>
      <c r="E787" s="4" t="s">
        <v>11</v>
      </c>
      <c r="F787" s="4" t="str">
        <f t="shared" si="937"/>
        <v>!!!</v>
      </c>
      <c r="G787" s="4" t="str">
        <f t="shared" si="997"/>
        <v>+</v>
      </c>
      <c r="H787" s="4"/>
      <c r="I787" s="4" t="str">
        <f t="shared" si="938"/>
        <v>!!!</v>
      </c>
      <c r="J787" s="4" t="e">
        <f t="shared" si="939"/>
        <v>#VALUE!</v>
      </c>
      <c r="K787" s="4" t="e">
        <f t="shared" si="940"/>
        <v>#VALUE!</v>
      </c>
      <c r="L787" s="4" t="e">
        <f t="shared" si="941"/>
        <v>#VALUE!</v>
      </c>
      <c r="M787" s="4">
        <f t="shared" si="998"/>
        <v>1000</v>
      </c>
      <c r="N787" s="4">
        <f t="shared" ref="N787:O787" si="1018">MIN(IFERROR(FIND(" ",$C787,M787+1),1000))</f>
        <v>1000</v>
      </c>
      <c r="O787" s="4">
        <f t="shared" si="1018"/>
        <v>1000</v>
      </c>
      <c r="P787" s="4">
        <f t="shared" si="1000"/>
        <v>0</v>
      </c>
      <c r="Q787" s="4" t="str">
        <f t="shared" si="947"/>
        <v/>
      </c>
      <c r="R787" s="4" t="str">
        <f t="shared" si="963"/>
        <v/>
      </c>
      <c r="S787" s="4" t="str">
        <f t="shared" si="953"/>
        <v/>
      </c>
      <c r="T787" s="4" t="e">
        <f t="shared" si="1001"/>
        <v>#VALUE!</v>
      </c>
      <c r="U787" s="4" t="e">
        <f t="shared" si="1002"/>
        <v>#VALUE!</v>
      </c>
      <c r="V787" s="4" t="b">
        <f t="shared" si="993"/>
        <v>0</v>
      </c>
      <c r="W787" s="13" t="str">
        <f t="shared" si="994"/>
        <v>Да</v>
      </c>
      <c r="X787" s="4" t="e">
        <f>(IF(COUNTIFS($G$2:G787,"+",$W$2:W787,"Да")&gt;1,"&amp; ","")&amp;D787&amp;J787&amp;E787&amp;SUBSTITUTE(L787,"""",""))</f>
        <v>#VALUE!</v>
      </c>
      <c r="Y787" s="4" t="e">
        <f t="shared" si="950"/>
        <v>#VALUE!</v>
      </c>
    </row>
    <row r="788" spans="1:25" x14ac:dyDescent="0.3">
      <c r="A788" s="11"/>
      <c r="B788" s="5" t="str">
        <f t="shared" si="995"/>
        <v/>
      </c>
      <c r="C788" s="5" t="str">
        <f t="shared" si="996"/>
        <v/>
      </c>
      <c r="D788" s="4" t="s">
        <v>10</v>
      </c>
      <c r="E788" s="4" t="s">
        <v>11</v>
      </c>
      <c r="F788" s="4" t="str">
        <f t="shared" ref="F788:F844" si="1019">IFERROR(SEARCH(" as ",B788),"!!!")</f>
        <v>!!!</v>
      </c>
      <c r="G788" s="4" t="str">
        <f t="shared" si="997"/>
        <v>+</v>
      </c>
      <c r="H788" s="4"/>
      <c r="I788" s="4" t="str">
        <f t="shared" ref="I788:I844" si="1020">IFERROR(SEARCH(" ",B788),"!!!")</f>
        <v>!!!</v>
      </c>
      <c r="J788" s="4" t="e">
        <f t="shared" ref="J788:J844" si="1021">RIGHT(B788,LEN(B788)-F788-3)</f>
        <v>#VALUE!</v>
      </c>
      <c r="K788" s="4" t="e">
        <f t="shared" ref="K788:K844" si="1022">MID(B788,I788+1,F788-I788)</f>
        <v>#VALUE!</v>
      </c>
      <c r="L788" s="4" t="e">
        <f t="shared" ref="L788:L844" si="1023">MID(B788,I788+1,F788-I788)</f>
        <v>#VALUE!</v>
      </c>
      <c r="M788" s="4">
        <f t="shared" si="998"/>
        <v>1000</v>
      </c>
      <c r="N788" s="4">
        <f t="shared" ref="N788:O788" si="1024">MIN(IFERROR(FIND(" ",$C788,M788+1),1000))</f>
        <v>1000</v>
      </c>
      <c r="O788" s="4">
        <f t="shared" si="1024"/>
        <v>1000</v>
      </c>
      <c r="P788" s="4">
        <f t="shared" si="1000"/>
        <v>0</v>
      </c>
      <c r="Q788" s="4" t="str">
        <f t="shared" si="947"/>
        <v/>
      </c>
      <c r="R788" s="4" t="str">
        <f t="shared" si="963"/>
        <v/>
      </c>
      <c r="S788" s="4" t="str">
        <f t="shared" si="953"/>
        <v/>
      </c>
      <c r="T788" s="4" t="e">
        <f t="shared" si="1001"/>
        <v>#VALUE!</v>
      </c>
      <c r="U788" s="4" t="e">
        <f t="shared" si="1002"/>
        <v>#VALUE!</v>
      </c>
      <c r="V788" s="4" t="b">
        <f t="shared" si="993"/>
        <v>0</v>
      </c>
      <c r="W788" s="13" t="str">
        <f t="shared" si="994"/>
        <v>Да</v>
      </c>
      <c r="X788" s="4" t="e">
        <f>(IF(COUNTIFS($G$2:G788,"+",$W$2:W788,"Да")&gt;1,"&amp; ","")&amp;D788&amp;J788&amp;E788&amp;SUBSTITUTE(L788,"""",""))</f>
        <v>#VALUE!</v>
      </c>
      <c r="Y788" s="4" t="e">
        <f t="shared" si="950"/>
        <v>#VALUE!</v>
      </c>
    </row>
    <row r="789" spans="1:25" x14ac:dyDescent="0.3">
      <c r="A789" s="11"/>
      <c r="B789" s="5" t="str">
        <f t="shared" si="995"/>
        <v/>
      </c>
      <c r="C789" s="5" t="str">
        <f t="shared" si="996"/>
        <v/>
      </c>
      <c r="D789" s="4" t="s">
        <v>10</v>
      </c>
      <c r="E789" s="4" t="s">
        <v>11</v>
      </c>
      <c r="F789" s="4" t="str">
        <f t="shared" si="1019"/>
        <v>!!!</v>
      </c>
      <c r="G789" s="4" t="str">
        <f t="shared" si="997"/>
        <v>+</v>
      </c>
      <c r="H789" s="4"/>
      <c r="I789" s="4" t="str">
        <f t="shared" si="1020"/>
        <v>!!!</v>
      </c>
      <c r="J789" s="4" t="e">
        <f t="shared" si="1021"/>
        <v>#VALUE!</v>
      </c>
      <c r="K789" s="4" t="e">
        <f t="shared" si="1022"/>
        <v>#VALUE!</v>
      </c>
      <c r="L789" s="4" t="e">
        <f t="shared" si="1023"/>
        <v>#VALUE!</v>
      </c>
      <c r="M789" s="4">
        <f t="shared" si="998"/>
        <v>1000</v>
      </c>
      <c r="N789" s="4">
        <f t="shared" ref="N789:O789" si="1025">MIN(IFERROR(FIND(" ",$C789,M789+1),1000))</f>
        <v>1000</v>
      </c>
      <c r="O789" s="4">
        <f t="shared" si="1025"/>
        <v>1000</v>
      </c>
      <c r="P789" s="4">
        <f t="shared" si="1000"/>
        <v>0</v>
      </c>
      <c r="Q789" s="4" t="str">
        <f t="shared" si="947"/>
        <v/>
      </c>
      <c r="R789" s="4" t="str">
        <f t="shared" si="963"/>
        <v/>
      </c>
      <c r="S789" s="4" t="str">
        <f t="shared" si="953"/>
        <v/>
      </c>
      <c r="T789" s="4" t="e">
        <f t="shared" si="1001"/>
        <v>#VALUE!</v>
      </c>
      <c r="U789" s="4" t="e">
        <f t="shared" si="1002"/>
        <v>#VALUE!</v>
      </c>
      <c r="V789" s="4" t="b">
        <f t="shared" si="993"/>
        <v>0</v>
      </c>
      <c r="W789" s="13" t="str">
        <f t="shared" si="994"/>
        <v>Да</v>
      </c>
      <c r="X789" s="4" t="e">
        <f>(IF(COUNTIFS($G$2:G789,"+",$W$2:W789,"Да")&gt;1,"&amp; ","")&amp;D789&amp;J789&amp;E789&amp;SUBSTITUTE(L789,"""",""))</f>
        <v>#VALUE!</v>
      </c>
      <c r="Y789" s="4" t="e">
        <f t="shared" si="950"/>
        <v>#VALUE!</v>
      </c>
    </row>
    <row r="790" spans="1:25" x14ac:dyDescent="0.3">
      <c r="A790" s="11"/>
      <c r="B790" s="5" t="str">
        <f t="shared" si="995"/>
        <v/>
      </c>
      <c r="C790" s="5" t="str">
        <f t="shared" si="996"/>
        <v/>
      </c>
      <c r="D790" s="4" t="s">
        <v>10</v>
      </c>
      <c r="E790" s="4" t="s">
        <v>11</v>
      </c>
      <c r="F790" s="4" t="str">
        <f t="shared" si="1019"/>
        <v>!!!</v>
      </c>
      <c r="G790" s="4" t="str">
        <f t="shared" si="997"/>
        <v>+</v>
      </c>
      <c r="H790" s="4"/>
      <c r="I790" s="4" t="str">
        <f t="shared" si="1020"/>
        <v>!!!</v>
      </c>
      <c r="J790" s="4" t="e">
        <f t="shared" si="1021"/>
        <v>#VALUE!</v>
      </c>
      <c r="K790" s="4" t="e">
        <f t="shared" si="1022"/>
        <v>#VALUE!</v>
      </c>
      <c r="L790" s="4" t="e">
        <f t="shared" si="1023"/>
        <v>#VALUE!</v>
      </c>
      <c r="M790" s="4">
        <f t="shared" si="998"/>
        <v>1000</v>
      </c>
      <c r="N790" s="4">
        <f t="shared" ref="N790:O790" si="1026">MIN(IFERROR(FIND(" ",$C790,M790+1),1000))</f>
        <v>1000</v>
      </c>
      <c r="O790" s="4">
        <f t="shared" si="1026"/>
        <v>1000</v>
      </c>
      <c r="P790" s="4">
        <f t="shared" si="1000"/>
        <v>0</v>
      </c>
      <c r="Q790" s="4" t="str">
        <f t="shared" si="947"/>
        <v/>
      </c>
      <c r="R790" s="4" t="str">
        <f t="shared" si="963"/>
        <v/>
      </c>
      <c r="S790" s="4" t="str">
        <f t="shared" si="953"/>
        <v/>
      </c>
      <c r="T790" s="4" t="e">
        <f t="shared" si="1001"/>
        <v>#VALUE!</v>
      </c>
      <c r="U790" s="4" t="e">
        <f t="shared" si="1002"/>
        <v>#VALUE!</v>
      </c>
      <c r="V790" s="4" t="b">
        <f t="shared" si="993"/>
        <v>0</v>
      </c>
      <c r="W790" s="13" t="str">
        <f t="shared" si="994"/>
        <v>Да</v>
      </c>
      <c r="X790" s="4" t="e">
        <f>(IF(COUNTIFS($G$2:G790,"+",$W$2:W790,"Да")&gt;1,"&amp; ","")&amp;D790&amp;J790&amp;E790&amp;SUBSTITUTE(L790,"""",""))</f>
        <v>#VALUE!</v>
      </c>
      <c r="Y790" s="4" t="e">
        <f t="shared" si="950"/>
        <v>#VALUE!</v>
      </c>
    </row>
    <row r="791" spans="1:25" x14ac:dyDescent="0.3">
      <c r="A791" s="11"/>
      <c r="B791" s="5" t="str">
        <f t="shared" si="995"/>
        <v/>
      </c>
      <c r="C791" s="5" t="str">
        <f t="shared" si="996"/>
        <v/>
      </c>
      <c r="D791" s="4" t="s">
        <v>10</v>
      </c>
      <c r="E791" s="4" t="s">
        <v>11</v>
      </c>
      <c r="F791" s="4" t="str">
        <f t="shared" si="1019"/>
        <v>!!!</v>
      </c>
      <c r="G791" s="4" t="str">
        <f t="shared" si="997"/>
        <v>+</v>
      </c>
      <c r="H791" s="4"/>
      <c r="I791" s="4" t="str">
        <f t="shared" si="1020"/>
        <v>!!!</v>
      </c>
      <c r="J791" s="4" t="e">
        <f t="shared" si="1021"/>
        <v>#VALUE!</v>
      </c>
      <c r="K791" s="4" t="e">
        <f t="shared" si="1022"/>
        <v>#VALUE!</v>
      </c>
      <c r="L791" s="4" t="e">
        <f t="shared" si="1023"/>
        <v>#VALUE!</v>
      </c>
      <c r="M791" s="4">
        <f t="shared" si="998"/>
        <v>1000</v>
      </c>
      <c r="N791" s="4">
        <f t="shared" ref="N791:O791" si="1027">MIN(IFERROR(FIND(" ",$C791,M791+1),1000))</f>
        <v>1000</v>
      </c>
      <c r="O791" s="4">
        <f t="shared" si="1027"/>
        <v>1000</v>
      </c>
      <c r="P791" s="4">
        <f t="shared" si="1000"/>
        <v>0</v>
      </c>
      <c r="Q791" s="4" t="str">
        <f t="shared" si="947"/>
        <v/>
      </c>
      <c r="R791" s="4" t="str">
        <f t="shared" si="963"/>
        <v/>
      </c>
      <c r="S791" s="4" t="str">
        <f t="shared" si="953"/>
        <v/>
      </c>
      <c r="T791" s="4" t="e">
        <f t="shared" si="1001"/>
        <v>#VALUE!</v>
      </c>
      <c r="U791" s="4" t="e">
        <f t="shared" si="1002"/>
        <v>#VALUE!</v>
      </c>
      <c r="V791" s="4" t="b">
        <f t="shared" si="993"/>
        <v>0</v>
      </c>
      <c r="W791" s="13" t="str">
        <f t="shared" si="994"/>
        <v>Да</v>
      </c>
      <c r="X791" s="4" t="e">
        <f>(IF(COUNTIFS($G$2:G791,"+",$W$2:W791,"Да")&gt;1,"&amp; ","")&amp;D791&amp;J791&amp;E791&amp;SUBSTITUTE(L791,"""",""))</f>
        <v>#VALUE!</v>
      </c>
      <c r="Y791" s="4" t="e">
        <f t="shared" si="950"/>
        <v>#VALUE!</v>
      </c>
    </row>
    <row r="792" spans="1:25" x14ac:dyDescent="0.3">
      <c r="A792" s="11"/>
      <c r="B792" s="5" t="str">
        <f t="shared" si="995"/>
        <v/>
      </c>
      <c r="C792" s="5" t="str">
        <f t="shared" si="996"/>
        <v/>
      </c>
      <c r="D792" s="4" t="s">
        <v>10</v>
      </c>
      <c r="E792" s="4" t="s">
        <v>11</v>
      </c>
      <c r="F792" s="4" t="str">
        <f t="shared" si="1019"/>
        <v>!!!</v>
      </c>
      <c r="G792" s="4" t="str">
        <f t="shared" si="997"/>
        <v>+</v>
      </c>
      <c r="H792" s="4"/>
      <c r="I792" s="4" t="str">
        <f t="shared" si="1020"/>
        <v>!!!</v>
      </c>
      <c r="J792" s="4" t="e">
        <f t="shared" si="1021"/>
        <v>#VALUE!</v>
      </c>
      <c r="K792" s="4" t="e">
        <f t="shared" si="1022"/>
        <v>#VALUE!</v>
      </c>
      <c r="L792" s="4" t="e">
        <f t="shared" si="1023"/>
        <v>#VALUE!</v>
      </c>
      <c r="M792" s="4">
        <f t="shared" si="998"/>
        <v>1000</v>
      </c>
      <c r="N792" s="4">
        <f t="shared" ref="N792:O792" si="1028">MIN(IFERROR(FIND(" ",$C792,M792+1),1000))</f>
        <v>1000</v>
      </c>
      <c r="O792" s="4">
        <f t="shared" si="1028"/>
        <v>1000</v>
      </c>
      <c r="P792" s="4">
        <f t="shared" si="1000"/>
        <v>0</v>
      </c>
      <c r="Q792" s="4" t="str">
        <f t="shared" ref="Q792:Q844" si="1029">LEFT(C792,M792-1)</f>
        <v/>
      </c>
      <c r="R792" s="4" t="str">
        <f t="shared" si="963"/>
        <v/>
      </c>
      <c r="S792" s="4" t="str">
        <f t="shared" si="953"/>
        <v/>
      </c>
      <c r="T792" s="4" t="e">
        <f t="shared" si="1001"/>
        <v>#VALUE!</v>
      </c>
      <c r="U792" s="4" t="e">
        <f t="shared" si="1002"/>
        <v>#VALUE!</v>
      </c>
      <c r="V792" s="4" t="b">
        <f t="shared" si="993"/>
        <v>0</v>
      </c>
      <c r="W792" s="13" t="str">
        <f t="shared" si="994"/>
        <v>Да</v>
      </c>
      <c r="X792" s="4" t="e">
        <f>(IF(COUNTIFS($G$2:G792,"+",$W$2:W792,"Да")&gt;1,"&amp; ","")&amp;D792&amp;J792&amp;E792&amp;SUBSTITUTE(L792,"""",""))</f>
        <v>#VALUE!</v>
      </c>
      <c r="Y792" s="4" t="e">
        <f t="shared" si="950"/>
        <v>#VALUE!</v>
      </c>
    </row>
    <row r="793" spans="1:25" x14ac:dyDescent="0.3">
      <c r="A793" s="11"/>
      <c r="B793" s="5" t="str">
        <f t="shared" si="995"/>
        <v/>
      </c>
      <c r="C793" s="5" t="str">
        <f t="shared" si="996"/>
        <v/>
      </c>
      <c r="D793" s="4" t="s">
        <v>10</v>
      </c>
      <c r="E793" s="4" t="s">
        <v>11</v>
      </c>
      <c r="F793" s="4" t="str">
        <f t="shared" si="1019"/>
        <v>!!!</v>
      </c>
      <c r="G793" s="4" t="str">
        <f t="shared" si="997"/>
        <v>+</v>
      </c>
      <c r="H793" s="4"/>
      <c r="I793" s="4" t="str">
        <f t="shared" si="1020"/>
        <v>!!!</v>
      </c>
      <c r="J793" s="4" t="e">
        <f t="shared" si="1021"/>
        <v>#VALUE!</v>
      </c>
      <c r="K793" s="4" t="e">
        <f t="shared" si="1022"/>
        <v>#VALUE!</v>
      </c>
      <c r="L793" s="4" t="e">
        <f t="shared" si="1023"/>
        <v>#VALUE!</v>
      </c>
      <c r="M793" s="4">
        <f t="shared" si="998"/>
        <v>1000</v>
      </c>
      <c r="N793" s="4">
        <f t="shared" ref="N793:O793" si="1030">MIN(IFERROR(FIND(" ",$C793,M793+1),1000))</f>
        <v>1000</v>
      </c>
      <c r="O793" s="4">
        <f t="shared" si="1030"/>
        <v>1000</v>
      </c>
      <c r="P793" s="4">
        <f t="shared" si="1000"/>
        <v>0</v>
      </c>
      <c r="Q793" s="4" t="str">
        <f t="shared" si="1029"/>
        <v/>
      </c>
      <c r="R793" s="4" t="str">
        <f t="shared" si="963"/>
        <v/>
      </c>
      <c r="S793" s="4" t="str">
        <f t="shared" si="953"/>
        <v/>
      </c>
      <c r="T793" s="4" t="e">
        <f t="shared" si="1001"/>
        <v>#VALUE!</v>
      </c>
      <c r="U793" s="4" t="e">
        <f t="shared" si="1002"/>
        <v>#VALUE!</v>
      </c>
      <c r="V793" s="4" t="b">
        <f t="shared" si="993"/>
        <v>0</v>
      </c>
      <c r="W793" s="13" t="str">
        <f t="shared" si="994"/>
        <v>Да</v>
      </c>
      <c r="X793" s="4" t="e">
        <f>(IF(COUNTIFS($G$2:G793,"+",$W$2:W793,"Да")&gt;1,"&amp; ","")&amp;D793&amp;J793&amp;E793&amp;SUBSTITUTE(L793,"""",""))</f>
        <v>#VALUE!</v>
      </c>
      <c r="Y793" s="4" t="e">
        <f t="shared" si="950"/>
        <v>#VALUE!</v>
      </c>
    </row>
    <row r="794" spans="1:25" x14ac:dyDescent="0.3">
      <c r="A794" s="11"/>
      <c r="B794" s="5" t="str">
        <f t="shared" si="995"/>
        <v/>
      </c>
      <c r="C794" s="5" t="str">
        <f t="shared" si="996"/>
        <v/>
      </c>
      <c r="D794" s="4" t="s">
        <v>10</v>
      </c>
      <c r="E794" s="4" t="s">
        <v>11</v>
      </c>
      <c r="F794" s="4" t="str">
        <f t="shared" si="1019"/>
        <v>!!!</v>
      </c>
      <c r="G794" s="4" t="str">
        <f t="shared" si="997"/>
        <v>+</v>
      </c>
      <c r="H794" s="4"/>
      <c r="I794" s="4" t="str">
        <f t="shared" si="1020"/>
        <v>!!!</v>
      </c>
      <c r="J794" s="4" t="e">
        <f t="shared" si="1021"/>
        <v>#VALUE!</v>
      </c>
      <c r="K794" s="4" t="e">
        <f t="shared" si="1022"/>
        <v>#VALUE!</v>
      </c>
      <c r="L794" s="4" t="e">
        <f t="shared" si="1023"/>
        <v>#VALUE!</v>
      </c>
      <c r="M794" s="4">
        <f t="shared" si="998"/>
        <v>1000</v>
      </c>
      <c r="N794" s="4">
        <f t="shared" ref="N794:O794" si="1031">MIN(IFERROR(FIND(" ",$C794,M794+1),1000))</f>
        <v>1000</v>
      </c>
      <c r="O794" s="4">
        <f t="shared" si="1031"/>
        <v>1000</v>
      </c>
      <c r="P794" s="4">
        <f t="shared" si="1000"/>
        <v>0</v>
      </c>
      <c r="Q794" s="4" t="str">
        <f t="shared" si="1029"/>
        <v/>
      </c>
      <c r="R794" s="4" t="str">
        <f t="shared" si="963"/>
        <v/>
      </c>
      <c r="S794" s="4" t="str">
        <f t="shared" si="953"/>
        <v/>
      </c>
      <c r="T794" s="4" t="e">
        <f t="shared" si="1001"/>
        <v>#VALUE!</v>
      </c>
      <c r="U794" s="4" t="e">
        <f t="shared" si="1002"/>
        <v>#VALUE!</v>
      </c>
      <c r="V794" s="4" t="b">
        <f t="shared" si="993"/>
        <v>0</v>
      </c>
      <c r="W794" s="13" t="str">
        <f t="shared" si="994"/>
        <v>Да</v>
      </c>
      <c r="X794" s="4" t="e">
        <f>(IF(COUNTIFS($G$2:G794,"+",$W$2:W794,"Да")&gt;1,"&amp; ","")&amp;D794&amp;J794&amp;E794&amp;SUBSTITUTE(L794,"""",""))</f>
        <v>#VALUE!</v>
      </c>
      <c r="Y794" s="4" t="e">
        <f t="shared" ref="Y794:Y842" si="1032">IF(S794="",X794,LEFT(X794,FIND(":",X794))&amp;" "&amp;S794)</f>
        <v>#VALUE!</v>
      </c>
    </row>
    <row r="795" spans="1:25" x14ac:dyDescent="0.3">
      <c r="A795" s="11"/>
      <c r="B795" s="5" t="str">
        <f t="shared" si="995"/>
        <v/>
      </c>
      <c r="C795" s="5" t="str">
        <f t="shared" si="996"/>
        <v/>
      </c>
      <c r="D795" s="4" t="s">
        <v>10</v>
      </c>
      <c r="E795" s="4" t="s">
        <v>11</v>
      </c>
      <c r="F795" s="4" t="str">
        <f t="shared" si="1019"/>
        <v>!!!</v>
      </c>
      <c r="G795" s="4" t="str">
        <f t="shared" si="997"/>
        <v>+</v>
      </c>
      <c r="H795" s="4"/>
      <c r="I795" s="4" t="str">
        <f t="shared" si="1020"/>
        <v>!!!</v>
      </c>
      <c r="J795" s="4" t="e">
        <f t="shared" si="1021"/>
        <v>#VALUE!</v>
      </c>
      <c r="K795" s="4" t="e">
        <f t="shared" si="1022"/>
        <v>#VALUE!</v>
      </c>
      <c r="L795" s="4" t="e">
        <f t="shared" si="1023"/>
        <v>#VALUE!</v>
      </c>
      <c r="M795" s="4">
        <f t="shared" si="998"/>
        <v>1000</v>
      </c>
      <c r="N795" s="4">
        <f t="shared" ref="N795:O795" si="1033">MIN(IFERROR(FIND(" ",$C795,M795+1),1000))</f>
        <v>1000</v>
      </c>
      <c r="O795" s="4">
        <f t="shared" si="1033"/>
        <v>1000</v>
      </c>
      <c r="P795" s="4">
        <f t="shared" si="1000"/>
        <v>0</v>
      </c>
      <c r="Q795" s="4" t="str">
        <f t="shared" si="1029"/>
        <v/>
      </c>
      <c r="R795" s="4" t="str">
        <f t="shared" si="963"/>
        <v/>
      </c>
      <c r="S795" s="4" t="str">
        <f t="shared" si="953"/>
        <v/>
      </c>
      <c r="T795" s="4" t="e">
        <f t="shared" si="1001"/>
        <v>#VALUE!</v>
      </c>
      <c r="U795" s="4" t="e">
        <f t="shared" si="1002"/>
        <v>#VALUE!</v>
      </c>
      <c r="V795" s="4" t="b">
        <f t="shared" si="993"/>
        <v>0</v>
      </c>
      <c r="W795" s="13" t="str">
        <f t="shared" si="994"/>
        <v>Да</v>
      </c>
      <c r="X795" s="4" t="e">
        <f>(IF(COUNTIFS($G$2:G795,"+",$W$2:W795,"Да")&gt;1,"&amp; ","")&amp;D795&amp;J795&amp;E795&amp;SUBSTITUTE(L795,"""",""))</f>
        <v>#VALUE!</v>
      </c>
      <c r="Y795" s="4" t="e">
        <f t="shared" si="1032"/>
        <v>#VALUE!</v>
      </c>
    </row>
    <row r="796" spans="1:25" x14ac:dyDescent="0.3">
      <c r="A796" s="11"/>
      <c r="B796" s="5" t="str">
        <f t="shared" si="995"/>
        <v/>
      </c>
      <c r="C796" s="5" t="str">
        <f t="shared" si="996"/>
        <v/>
      </c>
      <c r="D796" s="4" t="s">
        <v>10</v>
      </c>
      <c r="E796" s="4" t="s">
        <v>11</v>
      </c>
      <c r="F796" s="4" t="str">
        <f t="shared" si="1019"/>
        <v>!!!</v>
      </c>
      <c r="G796" s="4" t="str">
        <f t="shared" si="997"/>
        <v>+</v>
      </c>
      <c r="H796" s="4"/>
      <c r="I796" s="4" t="str">
        <f t="shared" si="1020"/>
        <v>!!!</v>
      </c>
      <c r="J796" s="4" t="e">
        <f t="shared" si="1021"/>
        <v>#VALUE!</v>
      </c>
      <c r="K796" s="4" t="e">
        <f t="shared" si="1022"/>
        <v>#VALUE!</v>
      </c>
      <c r="L796" s="4" t="e">
        <f t="shared" si="1023"/>
        <v>#VALUE!</v>
      </c>
      <c r="M796" s="4">
        <f t="shared" si="998"/>
        <v>1000</v>
      </c>
      <c r="N796" s="4">
        <f t="shared" ref="N796:O796" si="1034">MIN(IFERROR(FIND(" ",$C796,M796+1),1000))</f>
        <v>1000</v>
      </c>
      <c r="O796" s="4">
        <f t="shared" si="1034"/>
        <v>1000</v>
      </c>
      <c r="P796" s="4">
        <f t="shared" si="1000"/>
        <v>0</v>
      </c>
      <c r="Q796" s="4" t="str">
        <f t="shared" si="1029"/>
        <v/>
      </c>
      <c r="R796" s="4" t="str">
        <f t="shared" si="963"/>
        <v/>
      </c>
      <c r="S796" s="4" t="str">
        <f t="shared" ref="S796:S842" si="1035">IFERROR(IF(LEFT(A795,1)="'",SUBSTITUTE(A795,"'",""),""),"")</f>
        <v/>
      </c>
      <c r="T796" s="4" t="e">
        <f t="shared" si="1001"/>
        <v>#VALUE!</v>
      </c>
      <c r="U796" s="4" t="e">
        <f t="shared" si="1002"/>
        <v>#VALUE!</v>
      </c>
      <c r="V796" s="4" t="b">
        <f t="shared" si="993"/>
        <v>0</v>
      </c>
      <c r="W796" s="13" t="str">
        <f t="shared" si="994"/>
        <v>Да</v>
      </c>
      <c r="X796" s="4" t="e">
        <f>(IF(COUNTIFS($G$2:G796,"+",$W$2:W796,"Да")&gt;1,"&amp; ","")&amp;D796&amp;J796&amp;E796&amp;SUBSTITUTE(L796,"""",""))</f>
        <v>#VALUE!</v>
      </c>
      <c r="Y796" s="4" t="e">
        <f t="shared" si="1032"/>
        <v>#VALUE!</v>
      </c>
    </row>
    <row r="797" spans="1:25" x14ac:dyDescent="0.3">
      <c r="A797" s="11"/>
      <c r="B797" s="5" t="str">
        <f t="shared" si="995"/>
        <v/>
      </c>
      <c r="C797" s="5" t="str">
        <f t="shared" si="996"/>
        <v/>
      </c>
      <c r="D797" s="4" t="s">
        <v>10</v>
      </c>
      <c r="E797" s="4" t="s">
        <v>11</v>
      </c>
      <c r="F797" s="4" t="str">
        <f t="shared" si="1019"/>
        <v>!!!</v>
      </c>
      <c r="G797" s="4" t="str">
        <f t="shared" si="997"/>
        <v>+</v>
      </c>
      <c r="H797" s="4"/>
      <c r="I797" s="4" t="str">
        <f t="shared" si="1020"/>
        <v>!!!</v>
      </c>
      <c r="J797" s="4" t="e">
        <f t="shared" si="1021"/>
        <v>#VALUE!</v>
      </c>
      <c r="K797" s="4" t="e">
        <f t="shared" si="1022"/>
        <v>#VALUE!</v>
      </c>
      <c r="L797" s="4" t="e">
        <f t="shared" si="1023"/>
        <v>#VALUE!</v>
      </c>
      <c r="M797" s="4">
        <f t="shared" si="998"/>
        <v>1000</v>
      </c>
      <c r="N797" s="4">
        <f t="shared" ref="N797:O797" si="1036">MIN(IFERROR(FIND(" ",$C797,M797+1),1000))</f>
        <v>1000</v>
      </c>
      <c r="O797" s="4">
        <f t="shared" si="1036"/>
        <v>1000</v>
      </c>
      <c r="P797" s="4">
        <f t="shared" si="1000"/>
        <v>0</v>
      </c>
      <c r="Q797" s="4" t="str">
        <f t="shared" si="1029"/>
        <v/>
      </c>
      <c r="R797" s="4" t="str">
        <f t="shared" si="963"/>
        <v/>
      </c>
      <c r="S797" s="4" t="str">
        <f t="shared" si="1035"/>
        <v/>
      </c>
      <c r="T797" s="4" t="e">
        <f t="shared" si="1001"/>
        <v>#VALUE!</v>
      </c>
      <c r="U797" s="4" t="e">
        <f t="shared" si="1002"/>
        <v>#VALUE!</v>
      </c>
      <c r="V797" s="4" t="b">
        <f t="shared" si="993"/>
        <v>0</v>
      </c>
      <c r="W797" s="13" t="str">
        <f t="shared" si="994"/>
        <v>Да</v>
      </c>
      <c r="X797" s="4" t="e">
        <f>(IF(COUNTIFS($G$2:G797,"+",$W$2:W797,"Да")&gt;1,"&amp; ","")&amp;D797&amp;J797&amp;E797&amp;SUBSTITUTE(L797,"""",""))</f>
        <v>#VALUE!</v>
      </c>
      <c r="Y797" s="4" t="e">
        <f t="shared" si="1032"/>
        <v>#VALUE!</v>
      </c>
    </row>
    <row r="798" spans="1:25" x14ac:dyDescent="0.3">
      <c r="A798" s="11"/>
      <c r="B798" s="5" t="str">
        <f t="shared" si="995"/>
        <v/>
      </c>
      <c r="C798" s="5" t="str">
        <f t="shared" si="996"/>
        <v/>
      </c>
      <c r="D798" s="4" t="s">
        <v>10</v>
      </c>
      <c r="E798" s="4" t="s">
        <v>11</v>
      </c>
      <c r="F798" s="4" t="str">
        <f t="shared" si="1019"/>
        <v>!!!</v>
      </c>
      <c r="G798" s="4" t="str">
        <f t="shared" si="997"/>
        <v>+</v>
      </c>
      <c r="H798" s="4"/>
      <c r="I798" s="4" t="str">
        <f t="shared" si="1020"/>
        <v>!!!</v>
      </c>
      <c r="J798" s="4" t="e">
        <f t="shared" si="1021"/>
        <v>#VALUE!</v>
      </c>
      <c r="K798" s="4" t="e">
        <f t="shared" si="1022"/>
        <v>#VALUE!</v>
      </c>
      <c r="L798" s="4" t="e">
        <f t="shared" si="1023"/>
        <v>#VALUE!</v>
      </c>
      <c r="M798" s="4">
        <f t="shared" si="998"/>
        <v>1000</v>
      </c>
      <c r="N798" s="4">
        <f t="shared" ref="N798:O798" si="1037">MIN(IFERROR(FIND(" ",$C798,M798+1),1000))</f>
        <v>1000</v>
      </c>
      <c r="O798" s="4">
        <f t="shared" si="1037"/>
        <v>1000</v>
      </c>
      <c r="P798" s="4">
        <f t="shared" si="1000"/>
        <v>0</v>
      </c>
      <c r="Q798" s="4" t="str">
        <f t="shared" si="1029"/>
        <v/>
      </c>
      <c r="R798" s="4" t="str">
        <f t="shared" si="963"/>
        <v/>
      </c>
      <c r="S798" s="4" t="str">
        <f t="shared" si="1035"/>
        <v/>
      </c>
      <c r="T798" s="4" t="e">
        <f t="shared" si="1001"/>
        <v>#VALUE!</v>
      </c>
      <c r="U798" s="4" t="e">
        <f t="shared" si="1002"/>
        <v>#VALUE!</v>
      </c>
      <c r="V798" s="4" t="b">
        <f t="shared" si="993"/>
        <v>0</v>
      </c>
      <c r="W798" s="13" t="str">
        <f t="shared" si="994"/>
        <v>Да</v>
      </c>
      <c r="X798" s="4" t="e">
        <f>(IF(COUNTIFS($G$2:G798,"+",$W$2:W798,"Да")&gt;1,"&amp; ","")&amp;D798&amp;J798&amp;E798&amp;SUBSTITUTE(L798,"""",""))</f>
        <v>#VALUE!</v>
      </c>
      <c r="Y798" s="4" t="e">
        <f t="shared" si="1032"/>
        <v>#VALUE!</v>
      </c>
    </row>
    <row r="799" spans="1:25" x14ac:dyDescent="0.3">
      <c r="A799" s="11"/>
      <c r="B799" s="5" t="str">
        <f t="shared" si="995"/>
        <v/>
      </c>
      <c r="C799" s="5" t="str">
        <f t="shared" si="996"/>
        <v/>
      </c>
      <c r="D799" s="4" t="s">
        <v>10</v>
      </c>
      <c r="E799" s="4" t="s">
        <v>11</v>
      </c>
      <c r="F799" s="4" t="str">
        <f t="shared" si="1019"/>
        <v>!!!</v>
      </c>
      <c r="G799" s="4" t="str">
        <f t="shared" si="997"/>
        <v>+</v>
      </c>
      <c r="H799" s="4"/>
      <c r="I799" s="4" t="str">
        <f t="shared" si="1020"/>
        <v>!!!</v>
      </c>
      <c r="J799" s="4" t="e">
        <f t="shared" si="1021"/>
        <v>#VALUE!</v>
      </c>
      <c r="K799" s="4" t="e">
        <f t="shared" si="1022"/>
        <v>#VALUE!</v>
      </c>
      <c r="L799" s="4" t="e">
        <f t="shared" si="1023"/>
        <v>#VALUE!</v>
      </c>
      <c r="M799" s="4">
        <f t="shared" si="998"/>
        <v>1000</v>
      </c>
      <c r="N799" s="4">
        <f t="shared" ref="N799:O799" si="1038">MIN(IFERROR(FIND(" ",$C799,M799+1),1000))</f>
        <v>1000</v>
      </c>
      <c r="O799" s="4">
        <f t="shared" si="1038"/>
        <v>1000</v>
      </c>
      <c r="P799" s="4">
        <f t="shared" si="1000"/>
        <v>0</v>
      </c>
      <c r="Q799" s="4" t="str">
        <f t="shared" si="1029"/>
        <v/>
      </c>
      <c r="R799" s="4" t="str">
        <f t="shared" si="963"/>
        <v/>
      </c>
      <c r="S799" s="4" t="str">
        <f t="shared" si="1035"/>
        <v/>
      </c>
      <c r="T799" s="4" t="e">
        <f t="shared" si="1001"/>
        <v>#VALUE!</v>
      </c>
      <c r="U799" s="4" t="e">
        <f t="shared" si="1002"/>
        <v>#VALUE!</v>
      </c>
      <c r="V799" s="4" t="b">
        <f t="shared" si="993"/>
        <v>0</v>
      </c>
      <c r="W799" s="13" t="str">
        <f t="shared" si="994"/>
        <v>Да</v>
      </c>
      <c r="X799" s="4" t="e">
        <f>(IF(COUNTIFS($G$2:G799,"+",$W$2:W799,"Да")&gt;1,"&amp; ","")&amp;D799&amp;J799&amp;E799&amp;SUBSTITUTE(L799,"""",""))</f>
        <v>#VALUE!</v>
      </c>
      <c r="Y799" s="4" t="e">
        <f t="shared" si="1032"/>
        <v>#VALUE!</v>
      </c>
    </row>
    <row r="800" spans="1:25" x14ac:dyDescent="0.3">
      <c r="A800" s="11"/>
      <c r="B800" s="5" t="str">
        <f t="shared" si="995"/>
        <v/>
      </c>
      <c r="C800" s="5" t="str">
        <f t="shared" si="996"/>
        <v/>
      </c>
      <c r="D800" s="4" t="s">
        <v>10</v>
      </c>
      <c r="E800" s="4" t="s">
        <v>11</v>
      </c>
      <c r="F800" s="4" t="str">
        <f t="shared" si="1019"/>
        <v>!!!</v>
      </c>
      <c r="G800" s="4" t="str">
        <f t="shared" si="997"/>
        <v>+</v>
      </c>
      <c r="H800" s="4"/>
      <c r="I800" s="4" t="str">
        <f t="shared" si="1020"/>
        <v>!!!</v>
      </c>
      <c r="J800" s="4" t="e">
        <f t="shared" si="1021"/>
        <v>#VALUE!</v>
      </c>
      <c r="K800" s="4" t="e">
        <f t="shared" si="1022"/>
        <v>#VALUE!</v>
      </c>
      <c r="L800" s="4" t="e">
        <f t="shared" si="1023"/>
        <v>#VALUE!</v>
      </c>
      <c r="M800" s="4">
        <f t="shared" si="998"/>
        <v>1000</v>
      </c>
      <c r="N800" s="4">
        <f t="shared" ref="N800:O800" si="1039">MIN(IFERROR(FIND(" ",$C800,M800+1),1000))</f>
        <v>1000</v>
      </c>
      <c r="O800" s="4">
        <f t="shared" si="1039"/>
        <v>1000</v>
      </c>
      <c r="P800" s="4">
        <f t="shared" si="1000"/>
        <v>0</v>
      </c>
      <c r="Q800" s="4" t="str">
        <f t="shared" si="1029"/>
        <v/>
      </c>
      <c r="R800" s="4" t="str">
        <f t="shared" si="963"/>
        <v/>
      </c>
      <c r="S800" s="4" t="str">
        <f t="shared" si="1035"/>
        <v/>
      </c>
      <c r="T800" s="4" t="e">
        <f t="shared" si="1001"/>
        <v>#VALUE!</v>
      </c>
      <c r="U800" s="4" t="e">
        <f t="shared" si="1002"/>
        <v>#VALUE!</v>
      </c>
      <c r="V800" s="4" t="b">
        <f t="shared" si="993"/>
        <v>0</v>
      </c>
      <c r="W800" s="13" t="str">
        <f t="shared" si="994"/>
        <v>Да</v>
      </c>
      <c r="X800" s="4" t="e">
        <f>(IF(COUNTIFS($G$2:G800,"+",$W$2:W800,"Да")&gt;1,"&amp; ","")&amp;D800&amp;J800&amp;E800&amp;SUBSTITUTE(L800,"""",""))</f>
        <v>#VALUE!</v>
      </c>
      <c r="Y800" s="4" t="e">
        <f t="shared" si="1032"/>
        <v>#VALUE!</v>
      </c>
    </row>
    <row r="801" spans="1:25" x14ac:dyDescent="0.3">
      <c r="A801" s="11"/>
      <c r="B801" s="5" t="str">
        <f t="shared" si="995"/>
        <v/>
      </c>
      <c r="C801" s="5" t="str">
        <f t="shared" si="996"/>
        <v/>
      </c>
      <c r="D801" s="4" t="s">
        <v>10</v>
      </c>
      <c r="E801" s="4" t="s">
        <v>11</v>
      </c>
      <c r="F801" s="4" t="str">
        <f t="shared" si="1019"/>
        <v>!!!</v>
      </c>
      <c r="G801" s="4" t="str">
        <f t="shared" si="997"/>
        <v>+</v>
      </c>
      <c r="H801" s="4"/>
      <c r="I801" s="4" t="str">
        <f t="shared" si="1020"/>
        <v>!!!</v>
      </c>
      <c r="J801" s="4" t="e">
        <f t="shared" si="1021"/>
        <v>#VALUE!</v>
      </c>
      <c r="K801" s="4" t="e">
        <f t="shared" si="1022"/>
        <v>#VALUE!</v>
      </c>
      <c r="L801" s="4" t="e">
        <f t="shared" si="1023"/>
        <v>#VALUE!</v>
      </c>
      <c r="M801" s="4">
        <f t="shared" si="998"/>
        <v>1000</v>
      </c>
      <c r="N801" s="4">
        <f t="shared" ref="N801:O801" si="1040">MIN(IFERROR(FIND(" ",$C801,M801+1),1000))</f>
        <v>1000</v>
      </c>
      <c r="O801" s="4">
        <f t="shared" si="1040"/>
        <v>1000</v>
      </c>
      <c r="P801" s="4">
        <f t="shared" si="1000"/>
        <v>0</v>
      </c>
      <c r="Q801" s="4" t="str">
        <f t="shared" si="1029"/>
        <v/>
      </c>
      <c r="R801" s="4" t="str">
        <f t="shared" si="963"/>
        <v/>
      </c>
      <c r="S801" s="4" t="str">
        <f t="shared" si="1035"/>
        <v/>
      </c>
      <c r="T801" s="4" t="e">
        <f t="shared" si="1001"/>
        <v>#VALUE!</v>
      </c>
      <c r="U801" s="4" t="e">
        <f t="shared" si="1002"/>
        <v>#VALUE!</v>
      </c>
      <c r="V801" s="4" t="b">
        <f t="shared" si="993"/>
        <v>0</v>
      </c>
      <c r="W801" s="13" t="str">
        <f t="shared" si="994"/>
        <v>Да</v>
      </c>
      <c r="X801" s="4" t="e">
        <f>(IF(COUNTIFS($G$2:G801,"+",$W$2:W801,"Да")&gt;1,"&amp; ","")&amp;D801&amp;J801&amp;E801&amp;SUBSTITUTE(L801,"""",""))</f>
        <v>#VALUE!</v>
      </c>
      <c r="Y801" s="4" t="e">
        <f t="shared" si="1032"/>
        <v>#VALUE!</v>
      </c>
    </row>
    <row r="802" spans="1:25" x14ac:dyDescent="0.3">
      <c r="A802" s="11"/>
      <c r="B802" s="5" t="str">
        <f t="shared" si="995"/>
        <v/>
      </c>
      <c r="C802" s="5" t="str">
        <f t="shared" si="996"/>
        <v/>
      </c>
      <c r="D802" s="4" t="s">
        <v>10</v>
      </c>
      <c r="E802" s="4" t="s">
        <v>11</v>
      </c>
      <c r="F802" s="4" t="str">
        <f t="shared" si="1019"/>
        <v>!!!</v>
      </c>
      <c r="G802" s="4" t="str">
        <f t="shared" si="997"/>
        <v>+</v>
      </c>
      <c r="H802" s="4"/>
      <c r="I802" s="4" t="str">
        <f t="shared" si="1020"/>
        <v>!!!</v>
      </c>
      <c r="J802" s="4" t="e">
        <f t="shared" si="1021"/>
        <v>#VALUE!</v>
      </c>
      <c r="K802" s="4" t="e">
        <f t="shared" si="1022"/>
        <v>#VALUE!</v>
      </c>
      <c r="L802" s="4" t="e">
        <f t="shared" si="1023"/>
        <v>#VALUE!</v>
      </c>
      <c r="M802" s="4">
        <f t="shared" si="998"/>
        <v>1000</v>
      </c>
      <c r="N802" s="4">
        <f t="shared" ref="N802:O802" si="1041">MIN(IFERROR(FIND(" ",$C802,M802+1),1000))</f>
        <v>1000</v>
      </c>
      <c r="O802" s="4">
        <f t="shared" si="1041"/>
        <v>1000</v>
      </c>
      <c r="P802" s="4">
        <f t="shared" si="1000"/>
        <v>0</v>
      </c>
      <c r="Q802" s="4" t="str">
        <f t="shared" si="1029"/>
        <v/>
      </c>
      <c r="R802" s="4" t="str">
        <f t="shared" si="963"/>
        <v/>
      </c>
      <c r="S802" s="4" t="str">
        <f t="shared" si="1035"/>
        <v/>
      </c>
      <c r="T802" s="4" t="e">
        <f t="shared" si="1001"/>
        <v>#VALUE!</v>
      </c>
      <c r="U802" s="4" t="e">
        <f t="shared" si="1002"/>
        <v>#VALUE!</v>
      </c>
      <c r="V802" s="4" t="b">
        <f t="shared" si="993"/>
        <v>0</v>
      </c>
      <c r="W802" s="13" t="str">
        <f t="shared" si="994"/>
        <v>Да</v>
      </c>
      <c r="X802" s="4" t="e">
        <f>(IF(COUNTIFS($G$2:G802,"+",$W$2:W802,"Да")&gt;1,"&amp; ","")&amp;D802&amp;J802&amp;E802&amp;SUBSTITUTE(L802,"""",""))</f>
        <v>#VALUE!</v>
      </c>
      <c r="Y802" s="4" t="e">
        <f t="shared" si="1032"/>
        <v>#VALUE!</v>
      </c>
    </row>
    <row r="803" spans="1:25" x14ac:dyDescent="0.3">
      <c r="A803" s="11"/>
      <c r="B803" s="5" t="str">
        <f t="shared" si="995"/>
        <v/>
      </c>
      <c r="C803" s="5" t="str">
        <f t="shared" si="996"/>
        <v/>
      </c>
      <c r="D803" s="4" t="s">
        <v>10</v>
      </c>
      <c r="E803" s="4" t="s">
        <v>11</v>
      </c>
      <c r="F803" s="4" t="str">
        <f t="shared" si="1019"/>
        <v>!!!</v>
      </c>
      <c r="G803" s="4" t="str">
        <f t="shared" si="997"/>
        <v>+</v>
      </c>
      <c r="H803" s="4"/>
      <c r="I803" s="4" t="str">
        <f t="shared" si="1020"/>
        <v>!!!</v>
      </c>
      <c r="J803" s="4" t="e">
        <f t="shared" si="1021"/>
        <v>#VALUE!</v>
      </c>
      <c r="K803" s="4" t="e">
        <f t="shared" si="1022"/>
        <v>#VALUE!</v>
      </c>
      <c r="L803" s="4" t="e">
        <f t="shared" si="1023"/>
        <v>#VALUE!</v>
      </c>
      <c r="M803" s="4">
        <f t="shared" si="998"/>
        <v>1000</v>
      </c>
      <c r="N803" s="4">
        <f t="shared" ref="N803:O803" si="1042">MIN(IFERROR(FIND(" ",$C803,M803+1),1000))</f>
        <v>1000</v>
      </c>
      <c r="O803" s="4">
        <f t="shared" si="1042"/>
        <v>1000</v>
      </c>
      <c r="P803" s="4">
        <f t="shared" si="1000"/>
        <v>0</v>
      </c>
      <c r="Q803" s="4" t="str">
        <f t="shared" si="1029"/>
        <v/>
      </c>
      <c r="R803" s="4" t="str">
        <f t="shared" si="963"/>
        <v/>
      </c>
      <c r="S803" s="4" t="str">
        <f t="shared" si="1035"/>
        <v/>
      </c>
      <c r="T803" s="4" t="e">
        <f t="shared" si="1001"/>
        <v>#VALUE!</v>
      </c>
      <c r="U803" s="4" t="e">
        <f t="shared" si="1002"/>
        <v>#VALUE!</v>
      </c>
      <c r="V803" s="4" t="b">
        <f t="shared" si="993"/>
        <v>0</v>
      </c>
      <c r="W803" s="13" t="str">
        <f t="shared" si="994"/>
        <v>Да</v>
      </c>
      <c r="X803" s="4" t="e">
        <f>(IF(COUNTIFS($G$2:G803,"+",$W$2:W803,"Да")&gt;1,"&amp; ","")&amp;D803&amp;J803&amp;E803&amp;SUBSTITUTE(L803,"""",""))</f>
        <v>#VALUE!</v>
      </c>
      <c r="Y803" s="4" t="e">
        <f t="shared" si="1032"/>
        <v>#VALUE!</v>
      </c>
    </row>
    <row r="804" spans="1:25" x14ac:dyDescent="0.3">
      <c r="A804" s="11"/>
      <c r="B804" s="5" t="str">
        <f t="shared" si="995"/>
        <v/>
      </c>
      <c r="C804" s="5" t="str">
        <f t="shared" si="996"/>
        <v/>
      </c>
      <c r="D804" s="4" t="s">
        <v>10</v>
      </c>
      <c r="E804" s="4" t="s">
        <v>11</v>
      </c>
      <c r="F804" s="4" t="str">
        <f t="shared" si="1019"/>
        <v>!!!</v>
      </c>
      <c r="G804" s="4" t="str">
        <f t="shared" si="997"/>
        <v>+</v>
      </c>
      <c r="H804" s="4"/>
      <c r="I804" s="4" t="str">
        <f t="shared" si="1020"/>
        <v>!!!</v>
      </c>
      <c r="J804" s="4" t="e">
        <f t="shared" si="1021"/>
        <v>#VALUE!</v>
      </c>
      <c r="K804" s="4" t="e">
        <f t="shared" si="1022"/>
        <v>#VALUE!</v>
      </c>
      <c r="L804" s="4" t="e">
        <f t="shared" si="1023"/>
        <v>#VALUE!</v>
      </c>
      <c r="M804" s="4">
        <f t="shared" si="998"/>
        <v>1000</v>
      </c>
      <c r="N804" s="4">
        <f t="shared" ref="N804:O804" si="1043">MIN(IFERROR(FIND(" ",$C804,M804+1),1000))</f>
        <v>1000</v>
      </c>
      <c r="O804" s="4">
        <f t="shared" si="1043"/>
        <v>1000</v>
      </c>
      <c r="P804" s="4">
        <f t="shared" si="1000"/>
        <v>0</v>
      </c>
      <c r="Q804" s="4" t="str">
        <f t="shared" si="1029"/>
        <v/>
      </c>
      <c r="R804" s="4" t="str">
        <f t="shared" si="963"/>
        <v/>
      </c>
      <c r="S804" s="4" t="str">
        <f t="shared" si="1035"/>
        <v/>
      </c>
      <c r="T804" s="4" t="e">
        <f t="shared" si="1001"/>
        <v>#VALUE!</v>
      </c>
      <c r="U804" s="4" t="e">
        <f t="shared" si="1002"/>
        <v>#VALUE!</v>
      </c>
      <c r="V804" s="4" t="b">
        <f t="shared" si="993"/>
        <v>0</v>
      </c>
      <c r="W804" s="13" t="str">
        <f t="shared" si="994"/>
        <v>Да</v>
      </c>
      <c r="X804" s="4" t="e">
        <f>(IF(COUNTIFS($G$2:G804,"+",$W$2:W804,"Да")&gt;1,"&amp; ","")&amp;D804&amp;J804&amp;E804&amp;SUBSTITUTE(L804,"""",""))</f>
        <v>#VALUE!</v>
      </c>
      <c r="Y804" s="4" t="e">
        <f t="shared" si="1032"/>
        <v>#VALUE!</v>
      </c>
    </row>
    <row r="805" spans="1:25" x14ac:dyDescent="0.3">
      <c r="A805" s="11"/>
      <c r="B805" s="5" t="str">
        <f t="shared" si="995"/>
        <v/>
      </c>
      <c r="C805" s="5" t="str">
        <f t="shared" si="996"/>
        <v/>
      </c>
      <c r="D805" s="4" t="s">
        <v>10</v>
      </c>
      <c r="E805" s="4" t="s">
        <v>11</v>
      </c>
      <c r="F805" s="4" t="str">
        <f t="shared" si="1019"/>
        <v>!!!</v>
      </c>
      <c r="G805" s="4" t="str">
        <f t="shared" si="997"/>
        <v>+</v>
      </c>
      <c r="H805" s="4"/>
      <c r="I805" s="4" t="str">
        <f t="shared" si="1020"/>
        <v>!!!</v>
      </c>
      <c r="J805" s="4" t="e">
        <f t="shared" si="1021"/>
        <v>#VALUE!</v>
      </c>
      <c r="K805" s="4" t="e">
        <f t="shared" si="1022"/>
        <v>#VALUE!</v>
      </c>
      <c r="L805" s="4" t="e">
        <f t="shared" si="1023"/>
        <v>#VALUE!</v>
      </c>
      <c r="M805" s="4">
        <f t="shared" si="998"/>
        <v>1000</v>
      </c>
      <c r="N805" s="4">
        <f t="shared" ref="N805:O805" si="1044">MIN(IFERROR(FIND(" ",$C805,M805+1),1000))</f>
        <v>1000</v>
      </c>
      <c r="O805" s="4">
        <f t="shared" si="1044"/>
        <v>1000</v>
      </c>
      <c r="P805" s="4">
        <f t="shared" si="1000"/>
        <v>0</v>
      </c>
      <c r="Q805" s="4" t="str">
        <f t="shared" si="1029"/>
        <v/>
      </c>
      <c r="R805" s="4" t="str">
        <f t="shared" ref="R805:R844" si="1045">IFERROR(MID(C805,N805+1,O805-N805-1),"")</f>
        <v/>
      </c>
      <c r="S805" s="4" t="str">
        <f t="shared" si="1035"/>
        <v/>
      </c>
      <c r="T805" s="4" t="e">
        <f t="shared" si="1001"/>
        <v>#VALUE!</v>
      </c>
      <c r="U805" s="4" t="e">
        <f t="shared" si="1002"/>
        <v>#VALUE!</v>
      </c>
      <c r="V805" s="4" t="b">
        <f t="shared" si="993"/>
        <v>0</v>
      </c>
      <c r="W805" s="13" t="str">
        <f t="shared" si="994"/>
        <v>Да</v>
      </c>
      <c r="X805" s="4" t="e">
        <f>(IF(COUNTIFS($G$2:G805,"+",$W$2:W805,"Да")&gt;1,"&amp; ","")&amp;D805&amp;J805&amp;E805&amp;SUBSTITUTE(L805,"""",""))</f>
        <v>#VALUE!</v>
      </c>
      <c r="Y805" s="4" t="e">
        <f t="shared" si="1032"/>
        <v>#VALUE!</v>
      </c>
    </row>
    <row r="806" spans="1:25" x14ac:dyDescent="0.3">
      <c r="A806" s="11"/>
      <c r="B806" s="5" t="str">
        <f t="shared" si="995"/>
        <v/>
      </c>
      <c r="C806" s="5" t="str">
        <f t="shared" si="996"/>
        <v/>
      </c>
      <c r="D806" s="4" t="s">
        <v>10</v>
      </c>
      <c r="E806" s="4" t="s">
        <v>11</v>
      </c>
      <c r="F806" s="4" t="str">
        <f t="shared" si="1019"/>
        <v>!!!</v>
      </c>
      <c r="G806" s="4" t="str">
        <f t="shared" si="997"/>
        <v>+</v>
      </c>
      <c r="H806" s="4"/>
      <c r="I806" s="4" t="str">
        <f t="shared" si="1020"/>
        <v>!!!</v>
      </c>
      <c r="J806" s="4" t="e">
        <f t="shared" si="1021"/>
        <v>#VALUE!</v>
      </c>
      <c r="K806" s="4" t="e">
        <f t="shared" si="1022"/>
        <v>#VALUE!</v>
      </c>
      <c r="L806" s="4" t="e">
        <f t="shared" si="1023"/>
        <v>#VALUE!</v>
      </c>
      <c r="M806" s="4">
        <f t="shared" si="998"/>
        <v>1000</v>
      </c>
      <c r="N806" s="4">
        <f t="shared" ref="N806:O806" si="1046">MIN(IFERROR(FIND(" ",$C806,M806+1),1000))</f>
        <v>1000</v>
      </c>
      <c r="O806" s="4">
        <f t="shared" si="1046"/>
        <v>1000</v>
      </c>
      <c r="P806" s="4">
        <f t="shared" si="1000"/>
        <v>0</v>
      </c>
      <c r="Q806" s="4" t="str">
        <f t="shared" si="1029"/>
        <v/>
      </c>
      <c r="R806" s="4" t="str">
        <f t="shared" si="1045"/>
        <v/>
      </c>
      <c r="S806" s="4" t="str">
        <f t="shared" si="1035"/>
        <v/>
      </c>
      <c r="T806" s="4" t="e">
        <f t="shared" si="1001"/>
        <v>#VALUE!</v>
      </c>
      <c r="U806" s="4" t="e">
        <f t="shared" si="1002"/>
        <v>#VALUE!</v>
      </c>
      <c r="V806" s="4" t="b">
        <f t="shared" si="993"/>
        <v>0</v>
      </c>
      <c r="W806" s="13" t="str">
        <f t="shared" si="994"/>
        <v>Да</v>
      </c>
      <c r="X806" s="4" t="e">
        <f>(IF(COUNTIFS($G$2:G806,"+",$W$2:W806,"Да")&gt;1,"&amp; ","")&amp;D806&amp;J806&amp;E806&amp;SUBSTITUTE(L806,"""",""))</f>
        <v>#VALUE!</v>
      </c>
      <c r="Y806" s="4" t="e">
        <f t="shared" si="1032"/>
        <v>#VALUE!</v>
      </c>
    </row>
    <row r="807" spans="1:25" x14ac:dyDescent="0.3">
      <c r="A807" s="11"/>
      <c r="B807" s="5" t="str">
        <f t="shared" si="995"/>
        <v/>
      </c>
      <c r="C807" s="5" t="str">
        <f t="shared" si="996"/>
        <v/>
      </c>
      <c r="D807" s="4" t="s">
        <v>10</v>
      </c>
      <c r="E807" s="4" t="s">
        <v>11</v>
      </c>
      <c r="F807" s="4" t="str">
        <f t="shared" si="1019"/>
        <v>!!!</v>
      </c>
      <c r="G807" s="4" t="str">
        <f t="shared" si="997"/>
        <v>+</v>
      </c>
      <c r="H807" s="4"/>
      <c r="I807" s="4" t="str">
        <f t="shared" si="1020"/>
        <v>!!!</v>
      </c>
      <c r="J807" s="4" t="e">
        <f t="shared" si="1021"/>
        <v>#VALUE!</v>
      </c>
      <c r="K807" s="4" t="e">
        <f t="shared" si="1022"/>
        <v>#VALUE!</v>
      </c>
      <c r="L807" s="4" t="e">
        <f t="shared" si="1023"/>
        <v>#VALUE!</v>
      </c>
      <c r="M807" s="4">
        <f t="shared" si="998"/>
        <v>1000</v>
      </c>
      <c r="N807" s="4">
        <f t="shared" ref="N807:O807" si="1047">MIN(IFERROR(FIND(" ",$C807,M807+1),1000))</f>
        <v>1000</v>
      </c>
      <c r="O807" s="4">
        <f t="shared" si="1047"/>
        <v>1000</v>
      </c>
      <c r="P807" s="4">
        <f t="shared" si="1000"/>
        <v>0</v>
      </c>
      <c r="Q807" s="4" t="str">
        <f t="shared" si="1029"/>
        <v/>
      </c>
      <c r="R807" s="4" t="str">
        <f t="shared" si="1045"/>
        <v/>
      </c>
      <c r="S807" s="4" t="str">
        <f t="shared" si="1035"/>
        <v/>
      </c>
      <c r="T807" s="4" t="e">
        <f t="shared" si="1001"/>
        <v>#VALUE!</v>
      </c>
      <c r="U807" s="4" t="e">
        <f t="shared" si="1002"/>
        <v>#VALUE!</v>
      </c>
      <c r="V807" s="4" t="b">
        <f t="shared" si="993"/>
        <v>0</v>
      </c>
      <c r="W807" s="13" t="str">
        <f t="shared" si="994"/>
        <v>Да</v>
      </c>
      <c r="X807" s="4" t="e">
        <f>(IF(COUNTIFS($G$2:G807,"+",$W$2:W807,"Да")&gt;1,"&amp; ","")&amp;D807&amp;J807&amp;E807&amp;SUBSTITUTE(L807,"""",""))</f>
        <v>#VALUE!</v>
      </c>
      <c r="Y807" s="4" t="e">
        <f t="shared" si="1032"/>
        <v>#VALUE!</v>
      </c>
    </row>
    <row r="808" spans="1:25" x14ac:dyDescent="0.3">
      <c r="A808" s="11"/>
      <c r="B808" s="5" t="str">
        <f t="shared" si="995"/>
        <v/>
      </c>
      <c r="C808" s="5" t="str">
        <f t="shared" si="996"/>
        <v/>
      </c>
      <c r="D808" s="4" t="s">
        <v>10</v>
      </c>
      <c r="E808" s="4" t="s">
        <v>11</v>
      </c>
      <c r="F808" s="4" t="str">
        <f t="shared" si="1019"/>
        <v>!!!</v>
      </c>
      <c r="G808" s="4" t="str">
        <f t="shared" si="997"/>
        <v>+</v>
      </c>
      <c r="H808" s="4"/>
      <c r="I808" s="4" t="str">
        <f t="shared" si="1020"/>
        <v>!!!</v>
      </c>
      <c r="J808" s="4" t="e">
        <f t="shared" si="1021"/>
        <v>#VALUE!</v>
      </c>
      <c r="K808" s="4" t="e">
        <f t="shared" si="1022"/>
        <v>#VALUE!</v>
      </c>
      <c r="L808" s="4" t="e">
        <f t="shared" si="1023"/>
        <v>#VALUE!</v>
      </c>
      <c r="M808" s="4">
        <f t="shared" si="998"/>
        <v>1000</v>
      </c>
      <c r="N808" s="4">
        <f t="shared" ref="N808:O808" si="1048">MIN(IFERROR(FIND(" ",$C808,M808+1),1000))</f>
        <v>1000</v>
      </c>
      <c r="O808" s="4">
        <f t="shared" si="1048"/>
        <v>1000</v>
      </c>
      <c r="P808" s="4">
        <f t="shared" si="1000"/>
        <v>0</v>
      </c>
      <c r="Q808" s="4" t="str">
        <f t="shared" si="1029"/>
        <v/>
      </c>
      <c r="R808" s="4" t="str">
        <f t="shared" si="1045"/>
        <v/>
      </c>
      <c r="S808" s="4" t="str">
        <f t="shared" si="1035"/>
        <v/>
      </c>
      <c r="T808" s="4" t="e">
        <f t="shared" si="1001"/>
        <v>#VALUE!</v>
      </c>
      <c r="U808" s="4" t="e">
        <f t="shared" si="1002"/>
        <v>#VALUE!</v>
      </c>
      <c r="V808" s="4" t="b">
        <f t="shared" si="993"/>
        <v>0</v>
      </c>
      <c r="W808" s="13" t="str">
        <f t="shared" si="994"/>
        <v>Да</v>
      </c>
      <c r="X808" s="4" t="e">
        <f>(IF(COUNTIFS($G$2:G808,"+",$W$2:W808,"Да")&gt;1,"&amp; ","")&amp;D808&amp;J808&amp;E808&amp;SUBSTITUTE(L808,"""",""))</f>
        <v>#VALUE!</v>
      </c>
      <c r="Y808" s="4" t="e">
        <f t="shared" si="1032"/>
        <v>#VALUE!</v>
      </c>
    </row>
    <row r="809" spans="1:25" x14ac:dyDescent="0.3">
      <c r="A809" s="11"/>
      <c r="B809" s="5" t="str">
        <f t="shared" si="995"/>
        <v/>
      </c>
      <c r="C809" s="5" t="str">
        <f t="shared" si="996"/>
        <v/>
      </c>
      <c r="D809" s="4" t="s">
        <v>10</v>
      </c>
      <c r="E809" s="4" t="s">
        <v>11</v>
      </c>
      <c r="F809" s="4" t="str">
        <f t="shared" si="1019"/>
        <v>!!!</v>
      </c>
      <c r="G809" s="4" t="str">
        <f t="shared" si="997"/>
        <v>+</v>
      </c>
      <c r="H809" s="4"/>
      <c r="I809" s="4" t="str">
        <f t="shared" si="1020"/>
        <v>!!!</v>
      </c>
      <c r="J809" s="4" t="e">
        <f t="shared" si="1021"/>
        <v>#VALUE!</v>
      </c>
      <c r="K809" s="4" t="e">
        <f t="shared" si="1022"/>
        <v>#VALUE!</v>
      </c>
      <c r="L809" s="4" t="e">
        <f t="shared" si="1023"/>
        <v>#VALUE!</v>
      </c>
      <c r="M809" s="4">
        <f t="shared" si="998"/>
        <v>1000</v>
      </c>
      <c r="N809" s="4">
        <f t="shared" ref="N809:O809" si="1049">MIN(IFERROR(FIND(" ",$C809,M809+1),1000))</f>
        <v>1000</v>
      </c>
      <c r="O809" s="4">
        <f t="shared" si="1049"/>
        <v>1000</v>
      </c>
      <c r="P809" s="4">
        <f t="shared" si="1000"/>
        <v>0</v>
      </c>
      <c r="Q809" s="4" t="str">
        <f t="shared" si="1029"/>
        <v/>
      </c>
      <c r="R809" s="4" t="str">
        <f t="shared" si="1045"/>
        <v/>
      </c>
      <c r="S809" s="4" t="str">
        <f t="shared" si="1035"/>
        <v/>
      </c>
      <c r="T809" s="4" t="e">
        <f t="shared" si="1001"/>
        <v>#VALUE!</v>
      </c>
      <c r="U809" s="4" t="e">
        <f t="shared" si="1002"/>
        <v>#VALUE!</v>
      </c>
      <c r="V809" s="4" t="b">
        <f t="shared" si="993"/>
        <v>0</v>
      </c>
      <c r="W809" s="13" t="str">
        <f t="shared" si="994"/>
        <v>Да</v>
      </c>
      <c r="X809" s="4" t="e">
        <f>(IF(COUNTIFS($G$2:G809,"+",$W$2:W809,"Да")&gt;1,"&amp; ","")&amp;D809&amp;J809&amp;E809&amp;SUBSTITUTE(L809,"""",""))</f>
        <v>#VALUE!</v>
      </c>
      <c r="Y809" s="4" t="e">
        <f t="shared" si="1032"/>
        <v>#VALUE!</v>
      </c>
    </row>
    <row r="810" spans="1:25" x14ac:dyDescent="0.3">
      <c r="A810" s="11"/>
      <c r="B810" s="5" t="str">
        <f t="shared" si="995"/>
        <v/>
      </c>
      <c r="C810" s="5" t="str">
        <f t="shared" si="996"/>
        <v/>
      </c>
      <c r="D810" s="4" t="s">
        <v>10</v>
      </c>
      <c r="E810" s="4" t="s">
        <v>11</v>
      </c>
      <c r="F810" s="4" t="str">
        <f t="shared" si="1019"/>
        <v>!!!</v>
      </c>
      <c r="G810" s="4" t="str">
        <f t="shared" si="997"/>
        <v>+</v>
      </c>
      <c r="H810" s="4"/>
      <c r="I810" s="4" t="str">
        <f t="shared" si="1020"/>
        <v>!!!</v>
      </c>
      <c r="J810" s="4" t="e">
        <f t="shared" si="1021"/>
        <v>#VALUE!</v>
      </c>
      <c r="K810" s="4" t="e">
        <f t="shared" si="1022"/>
        <v>#VALUE!</v>
      </c>
      <c r="L810" s="4" t="e">
        <f t="shared" si="1023"/>
        <v>#VALUE!</v>
      </c>
      <c r="M810" s="4">
        <f t="shared" si="998"/>
        <v>1000</v>
      </c>
      <c r="N810" s="4">
        <f t="shared" ref="N810:O810" si="1050">MIN(IFERROR(FIND(" ",$C810,M810+1),1000))</f>
        <v>1000</v>
      </c>
      <c r="O810" s="4">
        <f t="shared" si="1050"/>
        <v>1000</v>
      </c>
      <c r="P810" s="4">
        <f t="shared" si="1000"/>
        <v>0</v>
      </c>
      <c r="Q810" s="4" t="str">
        <f t="shared" si="1029"/>
        <v/>
      </c>
      <c r="R810" s="4" t="str">
        <f t="shared" si="1045"/>
        <v/>
      </c>
      <c r="S810" s="4" t="str">
        <f t="shared" si="1035"/>
        <v/>
      </c>
      <c r="T810" s="4" t="e">
        <f t="shared" si="1001"/>
        <v>#VALUE!</v>
      </c>
      <c r="U810" s="4" t="e">
        <f t="shared" si="1002"/>
        <v>#VALUE!</v>
      </c>
      <c r="V810" s="4" t="b">
        <f t="shared" si="993"/>
        <v>0</v>
      </c>
      <c r="W810" s="13" t="str">
        <f t="shared" si="994"/>
        <v>Да</v>
      </c>
      <c r="X810" s="4" t="e">
        <f>(IF(COUNTIFS($G$2:G810,"+",$W$2:W810,"Да")&gt;1,"&amp; ","")&amp;D810&amp;J810&amp;E810&amp;SUBSTITUTE(L810,"""",""))</f>
        <v>#VALUE!</v>
      </c>
      <c r="Y810" s="4" t="e">
        <f t="shared" si="1032"/>
        <v>#VALUE!</v>
      </c>
    </row>
    <row r="811" spans="1:25" x14ac:dyDescent="0.3">
      <c r="A811" s="11"/>
      <c r="B811" s="5" t="str">
        <f t="shared" si="995"/>
        <v/>
      </c>
      <c r="C811" s="5" t="str">
        <f t="shared" si="996"/>
        <v/>
      </c>
      <c r="D811" s="4" t="s">
        <v>10</v>
      </c>
      <c r="E811" s="4" t="s">
        <v>11</v>
      </c>
      <c r="F811" s="4" t="str">
        <f t="shared" si="1019"/>
        <v>!!!</v>
      </c>
      <c r="G811" s="4" t="str">
        <f t="shared" si="997"/>
        <v>+</v>
      </c>
      <c r="H811" s="4"/>
      <c r="I811" s="4" t="str">
        <f t="shared" si="1020"/>
        <v>!!!</v>
      </c>
      <c r="J811" s="4" t="e">
        <f t="shared" si="1021"/>
        <v>#VALUE!</v>
      </c>
      <c r="K811" s="4" t="e">
        <f t="shared" si="1022"/>
        <v>#VALUE!</v>
      </c>
      <c r="L811" s="4" t="e">
        <f t="shared" si="1023"/>
        <v>#VALUE!</v>
      </c>
      <c r="M811" s="4">
        <f t="shared" si="998"/>
        <v>1000</v>
      </c>
      <c r="N811" s="4">
        <f t="shared" ref="N811:O811" si="1051">MIN(IFERROR(FIND(" ",$C811,M811+1),1000))</f>
        <v>1000</v>
      </c>
      <c r="O811" s="4">
        <f t="shared" si="1051"/>
        <v>1000</v>
      </c>
      <c r="P811" s="4">
        <f t="shared" si="1000"/>
        <v>0</v>
      </c>
      <c r="Q811" s="4" t="str">
        <f t="shared" si="1029"/>
        <v/>
      </c>
      <c r="R811" s="4" t="str">
        <f t="shared" si="1045"/>
        <v/>
      </c>
      <c r="S811" s="4" t="str">
        <f t="shared" si="1035"/>
        <v/>
      </c>
      <c r="T811" s="4" t="e">
        <f t="shared" si="1001"/>
        <v>#VALUE!</v>
      </c>
      <c r="U811" s="4" t="e">
        <f t="shared" si="1002"/>
        <v>#VALUE!</v>
      </c>
      <c r="V811" s="4" t="b">
        <f t="shared" si="993"/>
        <v>0</v>
      </c>
      <c r="W811" s="13" t="str">
        <f t="shared" si="994"/>
        <v>Да</v>
      </c>
      <c r="X811" s="4" t="e">
        <f>(IF(COUNTIFS($G$2:G811,"+",$W$2:W811,"Да")&gt;1,"&amp; ","")&amp;D811&amp;J811&amp;E811&amp;SUBSTITUTE(L811,"""",""))</f>
        <v>#VALUE!</v>
      </c>
      <c r="Y811" s="4" t="e">
        <f t="shared" si="1032"/>
        <v>#VALUE!</v>
      </c>
    </row>
    <row r="812" spans="1:25" x14ac:dyDescent="0.3">
      <c r="A812" s="11"/>
      <c r="B812" s="5" t="str">
        <f t="shared" si="995"/>
        <v/>
      </c>
      <c r="C812" s="5" t="str">
        <f t="shared" si="996"/>
        <v/>
      </c>
      <c r="D812" s="4" t="s">
        <v>10</v>
      </c>
      <c r="E812" s="4" t="s">
        <v>11</v>
      </c>
      <c r="F812" s="4" t="str">
        <f t="shared" si="1019"/>
        <v>!!!</v>
      </c>
      <c r="G812" s="4" t="str">
        <f t="shared" si="997"/>
        <v>+</v>
      </c>
      <c r="H812" s="4"/>
      <c r="I812" s="4" t="str">
        <f t="shared" si="1020"/>
        <v>!!!</v>
      </c>
      <c r="J812" s="4" t="e">
        <f t="shared" si="1021"/>
        <v>#VALUE!</v>
      </c>
      <c r="K812" s="4" t="e">
        <f t="shared" si="1022"/>
        <v>#VALUE!</v>
      </c>
      <c r="L812" s="4" t="e">
        <f t="shared" si="1023"/>
        <v>#VALUE!</v>
      </c>
      <c r="M812" s="4">
        <f t="shared" si="998"/>
        <v>1000</v>
      </c>
      <c r="N812" s="4">
        <f t="shared" ref="N812:O812" si="1052">MIN(IFERROR(FIND(" ",$C812,M812+1),1000))</f>
        <v>1000</v>
      </c>
      <c r="O812" s="4">
        <f t="shared" si="1052"/>
        <v>1000</v>
      </c>
      <c r="P812" s="4">
        <f t="shared" si="1000"/>
        <v>0</v>
      </c>
      <c r="Q812" s="4" t="str">
        <f t="shared" si="1029"/>
        <v/>
      </c>
      <c r="R812" s="4" t="str">
        <f t="shared" si="1045"/>
        <v/>
      </c>
      <c r="S812" s="4" t="str">
        <f t="shared" si="1035"/>
        <v/>
      </c>
      <c r="T812" s="4" t="e">
        <f t="shared" si="1001"/>
        <v>#VALUE!</v>
      </c>
      <c r="U812" s="4" t="e">
        <f t="shared" si="1002"/>
        <v>#VALUE!</v>
      </c>
      <c r="V812" s="4" t="b">
        <f t="shared" si="993"/>
        <v>0</v>
      </c>
      <c r="W812" s="13" t="str">
        <f t="shared" si="994"/>
        <v>Да</v>
      </c>
      <c r="X812" s="4" t="e">
        <f>(IF(COUNTIFS($G$2:G812,"+",$W$2:W812,"Да")&gt;1,"&amp; ","")&amp;D812&amp;J812&amp;E812&amp;SUBSTITUTE(L812,"""",""))</f>
        <v>#VALUE!</v>
      </c>
      <c r="Y812" s="4" t="e">
        <f t="shared" si="1032"/>
        <v>#VALUE!</v>
      </c>
    </row>
    <row r="813" spans="1:25" x14ac:dyDescent="0.3">
      <c r="A813" s="11"/>
      <c r="B813" s="5" t="str">
        <f t="shared" si="995"/>
        <v/>
      </c>
      <c r="C813" s="5" t="str">
        <f t="shared" si="996"/>
        <v/>
      </c>
      <c r="D813" s="4" t="s">
        <v>10</v>
      </c>
      <c r="E813" s="4" t="s">
        <v>11</v>
      </c>
      <c r="F813" s="4" t="str">
        <f t="shared" si="1019"/>
        <v>!!!</v>
      </c>
      <c r="G813" s="4" t="str">
        <f t="shared" si="997"/>
        <v>+</v>
      </c>
      <c r="H813" s="4"/>
      <c r="I813" s="4" t="str">
        <f t="shared" si="1020"/>
        <v>!!!</v>
      </c>
      <c r="J813" s="4" t="e">
        <f t="shared" si="1021"/>
        <v>#VALUE!</v>
      </c>
      <c r="K813" s="4" t="e">
        <f t="shared" si="1022"/>
        <v>#VALUE!</v>
      </c>
      <c r="L813" s="4" t="e">
        <f t="shared" si="1023"/>
        <v>#VALUE!</v>
      </c>
      <c r="M813" s="4">
        <f t="shared" si="998"/>
        <v>1000</v>
      </c>
      <c r="N813" s="4">
        <f t="shared" ref="N813:O813" si="1053">MIN(IFERROR(FIND(" ",$C813,M813+1),1000))</f>
        <v>1000</v>
      </c>
      <c r="O813" s="4">
        <f t="shared" si="1053"/>
        <v>1000</v>
      </c>
      <c r="P813" s="4">
        <f t="shared" si="1000"/>
        <v>0</v>
      </c>
      <c r="Q813" s="4" t="str">
        <f t="shared" si="1029"/>
        <v/>
      </c>
      <c r="R813" s="4" t="str">
        <f t="shared" si="1045"/>
        <v/>
      </c>
      <c r="S813" s="4" t="str">
        <f t="shared" si="1035"/>
        <v/>
      </c>
      <c r="T813" s="4" t="e">
        <f t="shared" si="1001"/>
        <v>#VALUE!</v>
      </c>
      <c r="U813" s="4" t="e">
        <f t="shared" si="1002"/>
        <v>#VALUE!</v>
      </c>
      <c r="V813" s="4" t="b">
        <f t="shared" si="993"/>
        <v>0</v>
      </c>
      <c r="W813" s="13" t="str">
        <f t="shared" si="994"/>
        <v>Да</v>
      </c>
      <c r="X813" s="4" t="e">
        <f>(IF(COUNTIFS($G$2:G813,"+",$W$2:W813,"Да")&gt;1,"&amp; ","")&amp;D813&amp;J813&amp;E813&amp;SUBSTITUTE(L813,"""",""))</f>
        <v>#VALUE!</v>
      </c>
      <c r="Y813" s="4" t="e">
        <f t="shared" si="1032"/>
        <v>#VALUE!</v>
      </c>
    </row>
    <row r="814" spans="1:25" x14ac:dyDescent="0.3">
      <c r="A814" s="11"/>
      <c r="B814" s="5" t="str">
        <f t="shared" si="995"/>
        <v/>
      </c>
      <c r="C814" s="5" t="str">
        <f t="shared" si="996"/>
        <v/>
      </c>
      <c r="D814" s="4" t="s">
        <v>10</v>
      </c>
      <c r="E814" s="4" t="s">
        <v>11</v>
      </c>
      <c r="F814" s="4" t="str">
        <f t="shared" si="1019"/>
        <v>!!!</v>
      </c>
      <c r="G814" s="4" t="str">
        <f t="shared" si="997"/>
        <v>+</v>
      </c>
      <c r="H814" s="4"/>
      <c r="I814" s="4" t="str">
        <f t="shared" si="1020"/>
        <v>!!!</v>
      </c>
      <c r="J814" s="4" t="e">
        <f t="shared" si="1021"/>
        <v>#VALUE!</v>
      </c>
      <c r="K814" s="4" t="e">
        <f t="shared" si="1022"/>
        <v>#VALUE!</v>
      </c>
      <c r="L814" s="4" t="e">
        <f t="shared" si="1023"/>
        <v>#VALUE!</v>
      </c>
      <c r="M814" s="4">
        <f t="shared" si="998"/>
        <v>1000</v>
      </c>
      <c r="N814" s="4">
        <f t="shared" ref="N814:O814" si="1054">MIN(IFERROR(FIND(" ",$C814,M814+1),1000))</f>
        <v>1000</v>
      </c>
      <c r="O814" s="4">
        <f t="shared" si="1054"/>
        <v>1000</v>
      </c>
      <c r="P814" s="4">
        <f t="shared" si="1000"/>
        <v>0</v>
      </c>
      <c r="Q814" s="4" t="str">
        <f t="shared" si="1029"/>
        <v/>
      </c>
      <c r="R814" s="4" t="str">
        <f t="shared" si="1045"/>
        <v/>
      </c>
      <c r="S814" s="4" t="str">
        <f t="shared" si="1035"/>
        <v/>
      </c>
      <c r="T814" s="4" t="e">
        <f t="shared" si="1001"/>
        <v>#VALUE!</v>
      </c>
      <c r="U814" s="4" t="e">
        <f t="shared" si="1002"/>
        <v>#VALUE!</v>
      </c>
      <c r="V814" s="4" t="b">
        <f t="shared" si="993"/>
        <v>0</v>
      </c>
      <c r="W814" s="13" t="str">
        <f t="shared" si="994"/>
        <v>Да</v>
      </c>
      <c r="X814" s="4" t="e">
        <f>(IF(COUNTIFS($G$2:G814,"+",$W$2:W814,"Да")&gt;1,"&amp; ","")&amp;D814&amp;J814&amp;E814&amp;SUBSTITUTE(L814,"""",""))</f>
        <v>#VALUE!</v>
      </c>
      <c r="Y814" s="4" t="e">
        <f t="shared" si="1032"/>
        <v>#VALUE!</v>
      </c>
    </row>
    <row r="815" spans="1:25" x14ac:dyDescent="0.3">
      <c r="A815" s="11"/>
      <c r="B815" s="5" t="str">
        <f t="shared" si="995"/>
        <v/>
      </c>
      <c r="C815" s="5" t="str">
        <f t="shared" si="996"/>
        <v/>
      </c>
      <c r="D815" s="4" t="s">
        <v>10</v>
      </c>
      <c r="E815" s="4" t="s">
        <v>11</v>
      </c>
      <c r="F815" s="4" t="str">
        <f t="shared" si="1019"/>
        <v>!!!</v>
      </c>
      <c r="G815" s="4" t="str">
        <f t="shared" si="997"/>
        <v>+</v>
      </c>
      <c r="H815" s="4"/>
      <c r="I815" s="4" t="str">
        <f t="shared" si="1020"/>
        <v>!!!</v>
      </c>
      <c r="J815" s="4" t="e">
        <f t="shared" si="1021"/>
        <v>#VALUE!</v>
      </c>
      <c r="K815" s="4" t="e">
        <f t="shared" si="1022"/>
        <v>#VALUE!</v>
      </c>
      <c r="L815" s="4" t="e">
        <f t="shared" si="1023"/>
        <v>#VALUE!</v>
      </c>
      <c r="M815" s="4">
        <f t="shared" si="998"/>
        <v>1000</v>
      </c>
      <c r="N815" s="4">
        <f t="shared" ref="N815:O815" si="1055">MIN(IFERROR(FIND(" ",$C815,M815+1),1000))</f>
        <v>1000</v>
      </c>
      <c r="O815" s="4">
        <f t="shared" si="1055"/>
        <v>1000</v>
      </c>
      <c r="P815" s="4">
        <f t="shared" si="1000"/>
        <v>0</v>
      </c>
      <c r="Q815" s="4" t="str">
        <f t="shared" si="1029"/>
        <v/>
      </c>
      <c r="R815" s="4" t="str">
        <f t="shared" si="1045"/>
        <v/>
      </c>
      <c r="S815" s="4" t="str">
        <f t="shared" si="1035"/>
        <v/>
      </c>
      <c r="T815" s="4" t="e">
        <f t="shared" si="1001"/>
        <v>#VALUE!</v>
      </c>
      <c r="U815" s="4" t="e">
        <f t="shared" si="1002"/>
        <v>#VALUE!</v>
      </c>
      <c r="V815" s="4" t="b">
        <f t="shared" si="993"/>
        <v>0</v>
      </c>
      <c r="W815" s="13" t="str">
        <f t="shared" si="994"/>
        <v>Да</v>
      </c>
      <c r="X815" s="4" t="e">
        <f>(IF(COUNTIFS($G$2:G815,"+",$W$2:W815,"Да")&gt;1,"&amp; ","")&amp;D815&amp;J815&amp;E815&amp;SUBSTITUTE(L815,"""",""))</f>
        <v>#VALUE!</v>
      </c>
      <c r="Y815" s="4" t="e">
        <f t="shared" si="1032"/>
        <v>#VALUE!</v>
      </c>
    </row>
    <row r="816" spans="1:25" x14ac:dyDescent="0.3">
      <c r="A816" s="11"/>
      <c r="B816" s="5" t="str">
        <f t="shared" si="995"/>
        <v/>
      </c>
      <c r="C816" s="5" t="str">
        <f t="shared" si="996"/>
        <v/>
      </c>
      <c r="D816" s="4" t="s">
        <v>10</v>
      </c>
      <c r="E816" s="4" t="s">
        <v>11</v>
      </c>
      <c r="F816" s="4" t="str">
        <f t="shared" si="1019"/>
        <v>!!!</v>
      </c>
      <c r="G816" s="4" t="str">
        <f t="shared" si="997"/>
        <v>+</v>
      </c>
      <c r="H816" s="4"/>
      <c r="I816" s="4" t="str">
        <f t="shared" si="1020"/>
        <v>!!!</v>
      </c>
      <c r="J816" s="4" t="e">
        <f t="shared" si="1021"/>
        <v>#VALUE!</v>
      </c>
      <c r="K816" s="4" t="e">
        <f t="shared" si="1022"/>
        <v>#VALUE!</v>
      </c>
      <c r="L816" s="4" t="e">
        <f t="shared" si="1023"/>
        <v>#VALUE!</v>
      </c>
      <c r="M816" s="4">
        <f t="shared" si="998"/>
        <v>1000</v>
      </c>
      <c r="N816" s="4">
        <f t="shared" ref="N816:O816" si="1056">MIN(IFERROR(FIND(" ",$C816,M816+1),1000))</f>
        <v>1000</v>
      </c>
      <c r="O816" s="4">
        <f t="shared" si="1056"/>
        <v>1000</v>
      </c>
      <c r="P816" s="4">
        <f t="shared" si="1000"/>
        <v>0</v>
      </c>
      <c r="Q816" s="4" t="str">
        <f t="shared" si="1029"/>
        <v/>
      </c>
      <c r="R816" s="4" t="str">
        <f t="shared" si="1045"/>
        <v/>
      </c>
      <c r="S816" s="4" t="str">
        <f t="shared" si="1035"/>
        <v/>
      </c>
      <c r="T816" s="4" t="e">
        <f t="shared" si="1001"/>
        <v>#VALUE!</v>
      </c>
      <c r="U816" s="4" t="e">
        <f t="shared" si="1002"/>
        <v>#VALUE!</v>
      </c>
      <c r="V816" s="4" t="b">
        <f t="shared" si="993"/>
        <v>0</v>
      </c>
      <c r="W816" s="13" t="str">
        <f t="shared" si="994"/>
        <v>Да</v>
      </c>
      <c r="X816" s="4" t="e">
        <f>(IF(COUNTIFS($G$2:G816,"+",$W$2:W816,"Да")&gt;1,"&amp; ","")&amp;D816&amp;J816&amp;E816&amp;SUBSTITUTE(L816,"""",""))</f>
        <v>#VALUE!</v>
      </c>
      <c r="Y816" s="4" t="e">
        <f t="shared" si="1032"/>
        <v>#VALUE!</v>
      </c>
    </row>
    <row r="817" spans="1:25" x14ac:dyDescent="0.3">
      <c r="A817" s="11"/>
      <c r="B817" s="5" t="str">
        <f t="shared" si="995"/>
        <v/>
      </c>
      <c r="C817" s="5" t="str">
        <f t="shared" si="996"/>
        <v/>
      </c>
      <c r="D817" s="4" t="s">
        <v>10</v>
      </c>
      <c r="E817" s="4" t="s">
        <v>11</v>
      </c>
      <c r="F817" s="4" t="str">
        <f t="shared" si="1019"/>
        <v>!!!</v>
      </c>
      <c r="G817" s="4" t="str">
        <f t="shared" si="997"/>
        <v>+</v>
      </c>
      <c r="H817" s="4"/>
      <c r="I817" s="4" t="str">
        <f t="shared" si="1020"/>
        <v>!!!</v>
      </c>
      <c r="J817" s="4" t="e">
        <f t="shared" si="1021"/>
        <v>#VALUE!</v>
      </c>
      <c r="K817" s="4" t="e">
        <f t="shared" si="1022"/>
        <v>#VALUE!</v>
      </c>
      <c r="L817" s="4" t="e">
        <f t="shared" si="1023"/>
        <v>#VALUE!</v>
      </c>
      <c r="M817" s="4">
        <f t="shared" si="998"/>
        <v>1000</v>
      </c>
      <c r="N817" s="4">
        <f t="shared" ref="N817:O817" si="1057">MIN(IFERROR(FIND(" ",$C817,M817+1),1000))</f>
        <v>1000</v>
      </c>
      <c r="O817" s="4">
        <f t="shared" si="1057"/>
        <v>1000</v>
      </c>
      <c r="P817" s="4">
        <f t="shared" si="1000"/>
        <v>0</v>
      </c>
      <c r="Q817" s="4" t="str">
        <f t="shared" si="1029"/>
        <v/>
      </c>
      <c r="R817" s="4" t="str">
        <f t="shared" si="1045"/>
        <v/>
      </c>
      <c r="S817" s="4" t="str">
        <f t="shared" si="1035"/>
        <v/>
      </c>
      <c r="T817" s="4" t="e">
        <f t="shared" si="1001"/>
        <v>#VALUE!</v>
      </c>
      <c r="U817" s="4" t="e">
        <f t="shared" si="1002"/>
        <v>#VALUE!</v>
      </c>
      <c r="V817" s="4" t="b">
        <f t="shared" si="993"/>
        <v>0</v>
      </c>
      <c r="W817" s="13" t="str">
        <f t="shared" si="994"/>
        <v>Да</v>
      </c>
      <c r="X817" s="4" t="e">
        <f>(IF(COUNTIFS($G$2:G817,"+",$W$2:W817,"Да")&gt;1,"&amp; ","")&amp;D817&amp;J817&amp;E817&amp;SUBSTITUTE(L817,"""",""))</f>
        <v>#VALUE!</v>
      </c>
      <c r="Y817" s="4" t="e">
        <f t="shared" si="1032"/>
        <v>#VALUE!</v>
      </c>
    </row>
    <row r="818" spans="1:25" x14ac:dyDescent="0.3">
      <c r="A818" s="11"/>
      <c r="B818" s="5" t="str">
        <f t="shared" si="995"/>
        <v/>
      </c>
      <c r="C818" s="5" t="str">
        <f t="shared" si="996"/>
        <v/>
      </c>
      <c r="D818" s="4" t="s">
        <v>10</v>
      </c>
      <c r="E818" s="4" t="s">
        <v>11</v>
      </c>
      <c r="F818" s="4" t="str">
        <f t="shared" si="1019"/>
        <v>!!!</v>
      </c>
      <c r="G818" s="4" t="str">
        <f t="shared" si="997"/>
        <v>+</v>
      </c>
      <c r="H818" s="4"/>
      <c r="I818" s="4" t="str">
        <f t="shared" si="1020"/>
        <v>!!!</v>
      </c>
      <c r="J818" s="4" t="e">
        <f t="shared" si="1021"/>
        <v>#VALUE!</v>
      </c>
      <c r="K818" s="4" t="e">
        <f t="shared" si="1022"/>
        <v>#VALUE!</v>
      </c>
      <c r="L818" s="4" t="e">
        <f t="shared" si="1023"/>
        <v>#VALUE!</v>
      </c>
      <c r="M818" s="4">
        <f t="shared" si="998"/>
        <v>1000</v>
      </c>
      <c r="N818" s="4">
        <f t="shared" ref="N818:O818" si="1058">MIN(IFERROR(FIND(" ",$C818,M818+1),1000))</f>
        <v>1000</v>
      </c>
      <c r="O818" s="4">
        <f t="shared" si="1058"/>
        <v>1000</v>
      </c>
      <c r="P818" s="4">
        <f t="shared" si="1000"/>
        <v>0</v>
      </c>
      <c r="Q818" s="4" t="str">
        <f t="shared" si="1029"/>
        <v/>
      </c>
      <c r="R818" s="4" t="str">
        <f t="shared" si="1045"/>
        <v/>
      </c>
      <c r="S818" s="4" t="str">
        <f t="shared" si="1035"/>
        <v/>
      </c>
      <c r="T818" s="4" t="e">
        <f t="shared" si="1001"/>
        <v>#VALUE!</v>
      </c>
      <c r="U818" s="4" t="e">
        <f t="shared" si="1002"/>
        <v>#VALUE!</v>
      </c>
      <c r="V818" s="4" t="b">
        <f t="shared" si="993"/>
        <v>0</v>
      </c>
      <c r="W818" s="13" t="str">
        <f t="shared" si="994"/>
        <v>Да</v>
      </c>
      <c r="X818" s="4" t="e">
        <f>(IF(COUNTIFS($G$2:G818,"+",$W$2:W818,"Да")&gt;1,"&amp; ","")&amp;D818&amp;J818&amp;E818&amp;SUBSTITUTE(L818,"""",""))</f>
        <v>#VALUE!</v>
      </c>
      <c r="Y818" s="4" t="e">
        <f t="shared" si="1032"/>
        <v>#VALUE!</v>
      </c>
    </row>
    <row r="819" spans="1:25" x14ac:dyDescent="0.3">
      <c r="A819" s="11"/>
      <c r="B819" s="5" t="str">
        <f t="shared" si="995"/>
        <v/>
      </c>
      <c r="C819" s="5" t="str">
        <f t="shared" si="996"/>
        <v/>
      </c>
      <c r="D819" s="4" t="s">
        <v>10</v>
      </c>
      <c r="E819" s="4" t="s">
        <v>11</v>
      </c>
      <c r="F819" s="4" t="str">
        <f t="shared" si="1019"/>
        <v>!!!</v>
      </c>
      <c r="G819" s="4" t="str">
        <f t="shared" si="997"/>
        <v>+</v>
      </c>
      <c r="H819" s="4"/>
      <c r="I819" s="4" t="str">
        <f t="shared" si="1020"/>
        <v>!!!</v>
      </c>
      <c r="J819" s="4" t="e">
        <f t="shared" si="1021"/>
        <v>#VALUE!</v>
      </c>
      <c r="K819" s="4" t="e">
        <f t="shared" si="1022"/>
        <v>#VALUE!</v>
      </c>
      <c r="L819" s="4" t="e">
        <f t="shared" si="1023"/>
        <v>#VALUE!</v>
      </c>
      <c r="M819" s="4">
        <f t="shared" si="998"/>
        <v>1000</v>
      </c>
      <c r="N819" s="4">
        <f t="shared" ref="N819:O819" si="1059">MIN(IFERROR(FIND(" ",$C819,M819+1),1000))</f>
        <v>1000</v>
      </c>
      <c r="O819" s="4">
        <f t="shared" si="1059"/>
        <v>1000</v>
      </c>
      <c r="P819" s="4">
        <f t="shared" si="1000"/>
        <v>0</v>
      </c>
      <c r="Q819" s="4" t="str">
        <f t="shared" si="1029"/>
        <v/>
      </c>
      <c r="R819" s="4" t="str">
        <f t="shared" si="1045"/>
        <v/>
      </c>
      <c r="S819" s="4" t="str">
        <f t="shared" si="1035"/>
        <v/>
      </c>
      <c r="T819" s="4" t="e">
        <f t="shared" si="1001"/>
        <v>#VALUE!</v>
      </c>
      <c r="U819" s="4" t="e">
        <f t="shared" si="1002"/>
        <v>#VALUE!</v>
      </c>
      <c r="V819" s="4" t="b">
        <f t="shared" si="993"/>
        <v>0</v>
      </c>
      <c r="W819" s="13" t="str">
        <f t="shared" si="994"/>
        <v>Да</v>
      </c>
      <c r="X819" s="4" t="e">
        <f>(IF(COUNTIFS($G$2:G819,"+",$W$2:W819,"Да")&gt;1,"&amp; ","")&amp;D819&amp;J819&amp;E819&amp;SUBSTITUTE(L819,"""",""))</f>
        <v>#VALUE!</v>
      </c>
      <c r="Y819" s="4" t="e">
        <f t="shared" si="1032"/>
        <v>#VALUE!</v>
      </c>
    </row>
    <row r="820" spans="1:25" x14ac:dyDescent="0.3">
      <c r="A820" s="11"/>
      <c r="B820" s="5" t="str">
        <f t="shared" si="995"/>
        <v/>
      </c>
      <c r="C820" s="5" t="str">
        <f t="shared" si="996"/>
        <v/>
      </c>
      <c r="D820" s="4" t="s">
        <v>10</v>
      </c>
      <c r="E820" s="4" t="s">
        <v>11</v>
      </c>
      <c r="F820" s="4" t="str">
        <f t="shared" si="1019"/>
        <v>!!!</v>
      </c>
      <c r="G820" s="4" t="str">
        <f t="shared" si="997"/>
        <v>+</v>
      </c>
      <c r="H820" s="4"/>
      <c r="I820" s="4" t="str">
        <f t="shared" si="1020"/>
        <v>!!!</v>
      </c>
      <c r="J820" s="4" t="e">
        <f t="shared" si="1021"/>
        <v>#VALUE!</v>
      </c>
      <c r="K820" s="4" t="e">
        <f t="shared" si="1022"/>
        <v>#VALUE!</v>
      </c>
      <c r="L820" s="4" t="e">
        <f t="shared" si="1023"/>
        <v>#VALUE!</v>
      </c>
      <c r="M820" s="4">
        <f t="shared" si="998"/>
        <v>1000</v>
      </c>
      <c r="N820" s="4">
        <f t="shared" ref="N820:O820" si="1060">MIN(IFERROR(FIND(" ",$C820,M820+1),1000))</f>
        <v>1000</v>
      </c>
      <c r="O820" s="4">
        <f t="shared" si="1060"/>
        <v>1000</v>
      </c>
      <c r="P820" s="4">
        <f t="shared" si="1000"/>
        <v>0</v>
      </c>
      <c r="Q820" s="4" t="str">
        <f t="shared" si="1029"/>
        <v/>
      </c>
      <c r="R820" s="4" t="str">
        <f t="shared" si="1045"/>
        <v/>
      </c>
      <c r="S820" s="4" t="str">
        <f t="shared" si="1035"/>
        <v/>
      </c>
      <c r="T820" s="4" t="e">
        <f t="shared" si="1001"/>
        <v>#VALUE!</v>
      </c>
      <c r="U820" s="4" t="e">
        <f t="shared" si="1002"/>
        <v>#VALUE!</v>
      </c>
      <c r="V820" s="4" t="b">
        <f t="shared" si="993"/>
        <v>0</v>
      </c>
      <c r="W820" s="13" t="str">
        <f t="shared" si="994"/>
        <v>Да</v>
      </c>
      <c r="X820" s="4" t="e">
        <f>(IF(COUNTIFS($G$2:G820,"+",$W$2:W820,"Да")&gt;1,"&amp; ","")&amp;D820&amp;J820&amp;E820&amp;SUBSTITUTE(L820,"""",""))</f>
        <v>#VALUE!</v>
      </c>
      <c r="Y820" s="4" t="e">
        <f t="shared" si="1032"/>
        <v>#VALUE!</v>
      </c>
    </row>
    <row r="821" spans="1:25" x14ac:dyDescent="0.3">
      <c r="A821" s="11"/>
      <c r="B821" s="5" t="str">
        <f t="shared" si="995"/>
        <v/>
      </c>
      <c r="C821" s="5" t="str">
        <f t="shared" si="996"/>
        <v/>
      </c>
      <c r="D821" s="4" t="s">
        <v>10</v>
      </c>
      <c r="E821" s="4" t="s">
        <v>11</v>
      </c>
      <c r="F821" s="4" t="str">
        <f t="shared" si="1019"/>
        <v>!!!</v>
      </c>
      <c r="G821" s="4" t="str">
        <f t="shared" si="997"/>
        <v>+</v>
      </c>
      <c r="H821" s="4"/>
      <c r="I821" s="4" t="str">
        <f t="shared" si="1020"/>
        <v>!!!</v>
      </c>
      <c r="J821" s="4" t="e">
        <f t="shared" si="1021"/>
        <v>#VALUE!</v>
      </c>
      <c r="K821" s="4" t="e">
        <f t="shared" si="1022"/>
        <v>#VALUE!</v>
      </c>
      <c r="L821" s="4" t="e">
        <f t="shared" si="1023"/>
        <v>#VALUE!</v>
      </c>
      <c r="M821" s="4">
        <f t="shared" si="998"/>
        <v>1000</v>
      </c>
      <c r="N821" s="4">
        <f t="shared" ref="N821:O821" si="1061">MIN(IFERROR(FIND(" ",$C821,M821+1),1000))</f>
        <v>1000</v>
      </c>
      <c r="O821" s="4">
        <f t="shared" si="1061"/>
        <v>1000</v>
      </c>
      <c r="P821" s="4">
        <f t="shared" si="1000"/>
        <v>0</v>
      </c>
      <c r="Q821" s="4" t="str">
        <f t="shared" si="1029"/>
        <v/>
      </c>
      <c r="R821" s="4" t="str">
        <f t="shared" si="1045"/>
        <v/>
      </c>
      <c r="S821" s="4" t="str">
        <f t="shared" si="1035"/>
        <v/>
      </c>
      <c r="T821" s="4" t="e">
        <f t="shared" si="1001"/>
        <v>#VALUE!</v>
      </c>
      <c r="U821" s="4" t="e">
        <f t="shared" si="1002"/>
        <v>#VALUE!</v>
      </c>
      <c r="V821" s="4" t="b">
        <f t="shared" si="993"/>
        <v>0</v>
      </c>
      <c r="W821" s="13" t="str">
        <f t="shared" si="994"/>
        <v>Да</v>
      </c>
      <c r="X821" s="4" t="e">
        <f>(IF(COUNTIFS($G$2:G821,"+",$W$2:W821,"Да")&gt;1,"&amp; ","")&amp;D821&amp;J821&amp;E821&amp;SUBSTITUTE(L821,"""",""))</f>
        <v>#VALUE!</v>
      </c>
      <c r="Y821" s="4" t="e">
        <f t="shared" si="1032"/>
        <v>#VALUE!</v>
      </c>
    </row>
    <row r="822" spans="1:25" x14ac:dyDescent="0.3">
      <c r="A822" s="11"/>
      <c r="B822" s="5" t="str">
        <f t="shared" si="995"/>
        <v/>
      </c>
      <c r="C822" s="5" t="str">
        <f t="shared" si="996"/>
        <v/>
      </c>
      <c r="D822" s="4" t="s">
        <v>10</v>
      </c>
      <c r="E822" s="4" t="s">
        <v>11</v>
      </c>
      <c r="F822" s="4" t="str">
        <f t="shared" si="1019"/>
        <v>!!!</v>
      </c>
      <c r="G822" s="4" t="str">
        <f t="shared" si="997"/>
        <v>+</v>
      </c>
      <c r="H822" s="4"/>
      <c r="I822" s="4" t="str">
        <f t="shared" si="1020"/>
        <v>!!!</v>
      </c>
      <c r="J822" s="4" t="e">
        <f t="shared" si="1021"/>
        <v>#VALUE!</v>
      </c>
      <c r="K822" s="4" t="e">
        <f t="shared" si="1022"/>
        <v>#VALUE!</v>
      </c>
      <c r="L822" s="4" t="e">
        <f t="shared" si="1023"/>
        <v>#VALUE!</v>
      </c>
      <c r="M822" s="4">
        <f t="shared" si="998"/>
        <v>1000</v>
      </c>
      <c r="N822" s="4">
        <f t="shared" ref="N822:O822" si="1062">MIN(IFERROR(FIND(" ",$C822,M822+1),1000))</f>
        <v>1000</v>
      </c>
      <c r="O822" s="4">
        <f t="shared" si="1062"/>
        <v>1000</v>
      </c>
      <c r="P822" s="4">
        <f t="shared" si="1000"/>
        <v>0</v>
      </c>
      <c r="Q822" s="4" t="str">
        <f t="shared" si="1029"/>
        <v/>
      </c>
      <c r="R822" s="4" t="str">
        <f t="shared" si="1045"/>
        <v/>
      </c>
      <c r="S822" s="4" t="str">
        <f t="shared" si="1035"/>
        <v/>
      </c>
      <c r="T822" s="4" t="e">
        <f t="shared" si="1001"/>
        <v>#VALUE!</v>
      </c>
      <c r="U822" s="4" t="e">
        <f t="shared" si="1002"/>
        <v>#VALUE!</v>
      </c>
      <c r="V822" s="4" t="b">
        <f t="shared" si="993"/>
        <v>0</v>
      </c>
      <c r="W822" s="13" t="str">
        <f t="shared" si="994"/>
        <v>Да</v>
      </c>
      <c r="X822" s="4" t="e">
        <f>(IF(COUNTIFS($G$2:G822,"+",$W$2:W822,"Да")&gt;1,"&amp; ","")&amp;D822&amp;J822&amp;E822&amp;SUBSTITUTE(L822,"""",""))</f>
        <v>#VALUE!</v>
      </c>
      <c r="Y822" s="4" t="e">
        <f t="shared" si="1032"/>
        <v>#VALUE!</v>
      </c>
    </row>
    <row r="823" spans="1:25" x14ac:dyDescent="0.3">
      <c r="A823" s="11"/>
      <c r="B823" s="5" t="str">
        <f t="shared" si="995"/>
        <v/>
      </c>
      <c r="C823" s="5" t="str">
        <f t="shared" si="996"/>
        <v/>
      </c>
      <c r="D823" s="4" t="s">
        <v>10</v>
      </c>
      <c r="E823" s="4" t="s">
        <v>11</v>
      </c>
      <c r="F823" s="4" t="str">
        <f t="shared" si="1019"/>
        <v>!!!</v>
      </c>
      <c r="G823" s="4" t="str">
        <f t="shared" si="997"/>
        <v>+</v>
      </c>
      <c r="H823" s="4"/>
      <c r="I823" s="4" t="str">
        <f t="shared" si="1020"/>
        <v>!!!</v>
      </c>
      <c r="J823" s="4" t="e">
        <f t="shared" si="1021"/>
        <v>#VALUE!</v>
      </c>
      <c r="K823" s="4" t="e">
        <f t="shared" si="1022"/>
        <v>#VALUE!</v>
      </c>
      <c r="L823" s="4" t="e">
        <f t="shared" si="1023"/>
        <v>#VALUE!</v>
      </c>
      <c r="M823" s="4">
        <f t="shared" si="998"/>
        <v>1000</v>
      </c>
      <c r="N823" s="4">
        <f t="shared" ref="N823:O823" si="1063">MIN(IFERROR(FIND(" ",$C823,M823+1),1000))</f>
        <v>1000</v>
      </c>
      <c r="O823" s="4">
        <f t="shared" si="1063"/>
        <v>1000</v>
      </c>
      <c r="P823" s="4">
        <f t="shared" si="1000"/>
        <v>0</v>
      </c>
      <c r="Q823" s="4" t="str">
        <f t="shared" si="1029"/>
        <v/>
      </c>
      <c r="R823" s="4" t="str">
        <f t="shared" si="1045"/>
        <v/>
      </c>
      <c r="S823" s="4" t="str">
        <f t="shared" si="1035"/>
        <v/>
      </c>
      <c r="T823" s="4" t="e">
        <f t="shared" si="1001"/>
        <v>#VALUE!</v>
      </c>
      <c r="U823" s="4" t="e">
        <f t="shared" si="1002"/>
        <v>#VALUE!</v>
      </c>
      <c r="V823" s="4" t="b">
        <f t="shared" si="993"/>
        <v>0</v>
      </c>
      <c r="W823" s="13" t="str">
        <f t="shared" si="994"/>
        <v>Да</v>
      </c>
      <c r="X823" s="4" t="e">
        <f>(IF(COUNTIFS($G$2:G823,"+",$W$2:W823,"Да")&gt;1,"&amp; ","")&amp;D823&amp;J823&amp;E823&amp;SUBSTITUTE(L823,"""",""))</f>
        <v>#VALUE!</v>
      </c>
      <c r="Y823" s="4" t="e">
        <f t="shared" si="1032"/>
        <v>#VALUE!</v>
      </c>
    </row>
    <row r="824" spans="1:25" x14ac:dyDescent="0.3">
      <c r="A824" s="11"/>
      <c r="B824" s="5" t="str">
        <f t="shared" si="995"/>
        <v/>
      </c>
      <c r="C824" s="5" t="str">
        <f t="shared" si="996"/>
        <v/>
      </c>
      <c r="D824" s="4" t="s">
        <v>10</v>
      </c>
      <c r="E824" s="4" t="s">
        <v>11</v>
      </c>
      <c r="F824" s="4" t="str">
        <f t="shared" si="1019"/>
        <v>!!!</v>
      </c>
      <c r="G824" s="4" t="str">
        <f t="shared" si="997"/>
        <v>+</v>
      </c>
      <c r="H824" s="4"/>
      <c r="I824" s="4" t="str">
        <f t="shared" si="1020"/>
        <v>!!!</v>
      </c>
      <c r="J824" s="4" t="e">
        <f t="shared" si="1021"/>
        <v>#VALUE!</v>
      </c>
      <c r="K824" s="4" t="e">
        <f t="shared" si="1022"/>
        <v>#VALUE!</v>
      </c>
      <c r="L824" s="4" t="e">
        <f t="shared" si="1023"/>
        <v>#VALUE!</v>
      </c>
      <c r="M824" s="4">
        <f t="shared" si="998"/>
        <v>1000</v>
      </c>
      <c r="N824" s="4">
        <f t="shared" ref="N824:O824" si="1064">MIN(IFERROR(FIND(" ",$C824,M824+1),1000))</f>
        <v>1000</v>
      </c>
      <c r="O824" s="4">
        <f t="shared" si="1064"/>
        <v>1000</v>
      </c>
      <c r="P824" s="4">
        <f t="shared" si="1000"/>
        <v>0</v>
      </c>
      <c r="Q824" s="4" t="str">
        <f t="shared" si="1029"/>
        <v/>
      </c>
      <c r="R824" s="4" t="str">
        <f t="shared" si="1045"/>
        <v/>
      </c>
      <c r="S824" s="4" t="str">
        <f t="shared" si="1035"/>
        <v/>
      </c>
      <c r="T824" s="4" t="e">
        <f t="shared" si="1001"/>
        <v>#VALUE!</v>
      </c>
      <c r="U824" s="4" t="e">
        <f t="shared" si="1002"/>
        <v>#VALUE!</v>
      </c>
      <c r="V824" s="4" t="b">
        <f t="shared" si="993"/>
        <v>0</v>
      </c>
      <c r="W824" s="13" t="str">
        <f t="shared" si="994"/>
        <v>Да</v>
      </c>
      <c r="X824" s="4" t="e">
        <f>(IF(COUNTIFS($G$2:G824,"+",$W$2:W824,"Да")&gt;1,"&amp; ","")&amp;D824&amp;J824&amp;E824&amp;SUBSTITUTE(L824,"""",""))</f>
        <v>#VALUE!</v>
      </c>
      <c r="Y824" s="4" t="e">
        <f t="shared" si="1032"/>
        <v>#VALUE!</v>
      </c>
    </row>
    <row r="825" spans="1:25" x14ac:dyDescent="0.3">
      <c r="A825" s="11"/>
      <c r="B825" s="5" t="str">
        <f t="shared" si="995"/>
        <v/>
      </c>
      <c r="C825" s="5" t="str">
        <f t="shared" si="996"/>
        <v/>
      </c>
      <c r="D825" s="4" t="s">
        <v>10</v>
      </c>
      <c r="E825" s="4" t="s">
        <v>11</v>
      </c>
      <c r="F825" s="4" t="str">
        <f t="shared" si="1019"/>
        <v>!!!</v>
      </c>
      <c r="G825" s="4" t="str">
        <f t="shared" si="997"/>
        <v>+</v>
      </c>
      <c r="H825" s="4"/>
      <c r="I825" s="4" t="str">
        <f t="shared" si="1020"/>
        <v>!!!</v>
      </c>
      <c r="J825" s="4" t="e">
        <f t="shared" si="1021"/>
        <v>#VALUE!</v>
      </c>
      <c r="K825" s="4" t="e">
        <f t="shared" si="1022"/>
        <v>#VALUE!</v>
      </c>
      <c r="L825" s="4" t="e">
        <f t="shared" si="1023"/>
        <v>#VALUE!</v>
      </c>
      <c r="M825" s="4">
        <f t="shared" si="998"/>
        <v>1000</v>
      </c>
      <c r="N825" s="4">
        <f t="shared" ref="N825:O825" si="1065">MIN(IFERROR(FIND(" ",$C825,M825+1),1000))</f>
        <v>1000</v>
      </c>
      <c r="O825" s="4">
        <f t="shared" si="1065"/>
        <v>1000</v>
      </c>
      <c r="P825" s="4">
        <f t="shared" si="1000"/>
        <v>0</v>
      </c>
      <c r="Q825" s="4" t="str">
        <f t="shared" si="1029"/>
        <v/>
      </c>
      <c r="R825" s="4" t="str">
        <f t="shared" si="1045"/>
        <v/>
      </c>
      <c r="S825" s="4" t="str">
        <f t="shared" si="1035"/>
        <v/>
      </c>
      <c r="T825" s="4" t="e">
        <f t="shared" si="1001"/>
        <v>#VALUE!</v>
      </c>
      <c r="U825" s="4" t="e">
        <f t="shared" si="1002"/>
        <v>#VALUE!</v>
      </c>
      <c r="V825" s="4" t="b">
        <f t="shared" si="993"/>
        <v>0</v>
      </c>
      <c r="W825" s="13" t="str">
        <f t="shared" si="994"/>
        <v>Да</v>
      </c>
      <c r="X825" s="4" t="e">
        <f>(IF(COUNTIFS($G$2:G825,"+",$W$2:W825,"Да")&gt;1,"&amp; ","")&amp;D825&amp;J825&amp;E825&amp;SUBSTITUTE(L825,"""",""))</f>
        <v>#VALUE!</v>
      </c>
      <c r="Y825" s="4" t="e">
        <f t="shared" si="1032"/>
        <v>#VALUE!</v>
      </c>
    </row>
    <row r="826" spans="1:25" x14ac:dyDescent="0.3">
      <c r="A826" s="11"/>
      <c r="B826" s="5" t="str">
        <f t="shared" si="995"/>
        <v/>
      </c>
      <c r="C826" s="5" t="str">
        <f t="shared" si="996"/>
        <v/>
      </c>
      <c r="D826" s="4" t="s">
        <v>10</v>
      </c>
      <c r="E826" s="4" t="s">
        <v>11</v>
      </c>
      <c r="F826" s="4" t="str">
        <f t="shared" si="1019"/>
        <v>!!!</v>
      </c>
      <c r="G826" s="4" t="str">
        <f t="shared" si="997"/>
        <v>+</v>
      </c>
      <c r="H826" s="4"/>
      <c r="I826" s="4" t="str">
        <f t="shared" si="1020"/>
        <v>!!!</v>
      </c>
      <c r="J826" s="4" t="e">
        <f t="shared" si="1021"/>
        <v>#VALUE!</v>
      </c>
      <c r="K826" s="4" t="e">
        <f t="shared" si="1022"/>
        <v>#VALUE!</v>
      </c>
      <c r="L826" s="4" t="e">
        <f t="shared" si="1023"/>
        <v>#VALUE!</v>
      </c>
      <c r="M826" s="4">
        <f t="shared" si="998"/>
        <v>1000</v>
      </c>
      <c r="N826" s="4">
        <f t="shared" ref="N826:O826" si="1066">MIN(IFERROR(FIND(" ",$C826,M826+1),1000))</f>
        <v>1000</v>
      </c>
      <c r="O826" s="4">
        <f t="shared" si="1066"/>
        <v>1000</v>
      </c>
      <c r="P826" s="4">
        <f t="shared" si="1000"/>
        <v>0</v>
      </c>
      <c r="Q826" s="4" t="str">
        <f t="shared" si="1029"/>
        <v/>
      </c>
      <c r="R826" s="4" t="str">
        <f t="shared" si="1045"/>
        <v/>
      </c>
      <c r="S826" s="4" t="str">
        <f t="shared" si="1035"/>
        <v/>
      </c>
      <c r="T826" s="4" t="e">
        <f t="shared" si="1001"/>
        <v>#VALUE!</v>
      </c>
      <c r="U826" s="4" t="e">
        <f t="shared" si="1002"/>
        <v>#VALUE!</v>
      </c>
      <c r="V826" s="4" t="b">
        <f t="shared" si="993"/>
        <v>0</v>
      </c>
      <c r="W826" s="13" t="str">
        <f t="shared" si="994"/>
        <v>Да</v>
      </c>
      <c r="X826" s="4" t="e">
        <f>(IF(COUNTIFS($G$2:G826,"+",$W$2:W826,"Да")&gt;1,"&amp; ","")&amp;D826&amp;J826&amp;E826&amp;SUBSTITUTE(L826,"""",""))</f>
        <v>#VALUE!</v>
      </c>
      <c r="Y826" s="4" t="e">
        <f t="shared" si="1032"/>
        <v>#VALUE!</v>
      </c>
    </row>
    <row r="827" spans="1:25" x14ac:dyDescent="0.3">
      <c r="A827" s="11"/>
      <c r="B827" s="5" t="str">
        <f t="shared" si="995"/>
        <v/>
      </c>
      <c r="C827" s="5" t="str">
        <f t="shared" si="996"/>
        <v/>
      </c>
      <c r="D827" s="4" t="s">
        <v>10</v>
      </c>
      <c r="E827" s="4" t="s">
        <v>11</v>
      </c>
      <c r="F827" s="4" t="str">
        <f t="shared" si="1019"/>
        <v>!!!</v>
      </c>
      <c r="G827" s="4" t="str">
        <f t="shared" si="997"/>
        <v>+</v>
      </c>
      <c r="H827" s="4"/>
      <c r="I827" s="4" t="str">
        <f t="shared" si="1020"/>
        <v>!!!</v>
      </c>
      <c r="J827" s="4" t="e">
        <f t="shared" si="1021"/>
        <v>#VALUE!</v>
      </c>
      <c r="K827" s="4" t="e">
        <f t="shared" si="1022"/>
        <v>#VALUE!</v>
      </c>
      <c r="L827" s="4" t="e">
        <f t="shared" si="1023"/>
        <v>#VALUE!</v>
      </c>
      <c r="M827" s="4">
        <f t="shared" si="998"/>
        <v>1000</v>
      </c>
      <c r="N827" s="4">
        <f t="shared" ref="N827:O827" si="1067">MIN(IFERROR(FIND(" ",$C827,M827+1),1000))</f>
        <v>1000</v>
      </c>
      <c r="O827" s="4">
        <f t="shared" si="1067"/>
        <v>1000</v>
      </c>
      <c r="P827" s="4">
        <f t="shared" si="1000"/>
        <v>0</v>
      </c>
      <c r="Q827" s="4" t="str">
        <f t="shared" si="1029"/>
        <v/>
      </c>
      <c r="R827" s="4" t="str">
        <f t="shared" si="1045"/>
        <v/>
      </c>
      <c r="S827" s="4" t="str">
        <f t="shared" si="1035"/>
        <v/>
      </c>
      <c r="T827" s="4" t="e">
        <f t="shared" si="1001"/>
        <v>#VALUE!</v>
      </c>
      <c r="U827" s="4" t="e">
        <f t="shared" si="1002"/>
        <v>#VALUE!</v>
      </c>
      <c r="V827" s="4" t="b">
        <f t="shared" si="993"/>
        <v>0</v>
      </c>
      <c r="W827" s="13" t="str">
        <f t="shared" si="994"/>
        <v>Да</v>
      </c>
      <c r="X827" s="4" t="e">
        <f>(IF(COUNTIFS($G$2:G827,"+",$W$2:W827,"Да")&gt;1,"&amp; ","")&amp;D827&amp;J827&amp;E827&amp;SUBSTITUTE(L827,"""",""))</f>
        <v>#VALUE!</v>
      </c>
      <c r="Y827" s="4" t="e">
        <f t="shared" si="1032"/>
        <v>#VALUE!</v>
      </c>
    </row>
    <row r="828" spans="1:25" x14ac:dyDescent="0.3">
      <c r="A828" s="11"/>
      <c r="B828" s="5" t="str">
        <f t="shared" si="995"/>
        <v/>
      </c>
      <c r="C828" s="5" t="str">
        <f t="shared" si="996"/>
        <v/>
      </c>
      <c r="D828" s="4" t="s">
        <v>10</v>
      </c>
      <c r="E828" s="4" t="s">
        <v>11</v>
      </c>
      <c r="F828" s="4" t="str">
        <f t="shared" si="1019"/>
        <v>!!!</v>
      </c>
      <c r="G828" s="4" t="str">
        <f t="shared" si="997"/>
        <v>+</v>
      </c>
      <c r="H828" s="4"/>
      <c r="I828" s="4" t="str">
        <f t="shared" si="1020"/>
        <v>!!!</v>
      </c>
      <c r="J828" s="4" t="e">
        <f t="shared" si="1021"/>
        <v>#VALUE!</v>
      </c>
      <c r="K828" s="4" t="e">
        <f t="shared" si="1022"/>
        <v>#VALUE!</v>
      </c>
      <c r="L828" s="4" t="e">
        <f t="shared" si="1023"/>
        <v>#VALUE!</v>
      </c>
      <c r="M828" s="4">
        <f t="shared" si="998"/>
        <v>1000</v>
      </c>
      <c r="N828" s="4">
        <f t="shared" ref="N828:O828" si="1068">MIN(IFERROR(FIND(" ",$C828,M828+1),1000))</f>
        <v>1000</v>
      </c>
      <c r="O828" s="4">
        <f t="shared" si="1068"/>
        <v>1000</v>
      </c>
      <c r="P828" s="4">
        <f t="shared" si="1000"/>
        <v>0</v>
      </c>
      <c r="Q828" s="4" t="str">
        <f t="shared" si="1029"/>
        <v/>
      </c>
      <c r="R828" s="4" t="str">
        <f t="shared" si="1045"/>
        <v/>
      </c>
      <c r="S828" s="4" t="str">
        <f t="shared" si="1035"/>
        <v/>
      </c>
      <c r="T828" s="4" t="e">
        <f t="shared" si="1001"/>
        <v>#VALUE!</v>
      </c>
      <c r="U828" s="4" t="e">
        <f t="shared" si="1002"/>
        <v>#VALUE!</v>
      </c>
      <c r="V828" s="4" t="b">
        <f t="shared" si="993"/>
        <v>0</v>
      </c>
      <c r="W828" s="13" t="str">
        <f t="shared" si="994"/>
        <v>Да</v>
      </c>
      <c r="X828" s="4" t="e">
        <f>(IF(COUNTIFS($G$2:G828,"+",$W$2:W828,"Да")&gt;1,"&amp; ","")&amp;D828&amp;J828&amp;E828&amp;SUBSTITUTE(L828,"""",""))</f>
        <v>#VALUE!</v>
      </c>
      <c r="Y828" s="4" t="e">
        <f t="shared" si="1032"/>
        <v>#VALUE!</v>
      </c>
    </row>
    <row r="829" spans="1:25" x14ac:dyDescent="0.3">
      <c r="A829" s="11"/>
      <c r="B829" s="5" t="str">
        <f t="shared" si="995"/>
        <v/>
      </c>
      <c r="C829" s="5" t="str">
        <f t="shared" si="996"/>
        <v/>
      </c>
      <c r="D829" s="4" t="s">
        <v>10</v>
      </c>
      <c r="E829" s="4" t="s">
        <v>11</v>
      </c>
      <c r="F829" s="4" t="str">
        <f t="shared" si="1019"/>
        <v>!!!</v>
      </c>
      <c r="G829" s="4" t="str">
        <f t="shared" si="997"/>
        <v>+</v>
      </c>
      <c r="H829" s="4"/>
      <c r="I829" s="4" t="str">
        <f t="shared" si="1020"/>
        <v>!!!</v>
      </c>
      <c r="J829" s="4" t="e">
        <f t="shared" si="1021"/>
        <v>#VALUE!</v>
      </c>
      <c r="K829" s="4" t="e">
        <f t="shared" si="1022"/>
        <v>#VALUE!</v>
      </c>
      <c r="L829" s="4" t="e">
        <f t="shared" si="1023"/>
        <v>#VALUE!</v>
      </c>
      <c r="M829" s="4">
        <f t="shared" si="998"/>
        <v>1000</v>
      </c>
      <c r="N829" s="4">
        <f t="shared" ref="N829:O829" si="1069">MIN(IFERROR(FIND(" ",$C829,M829+1),1000))</f>
        <v>1000</v>
      </c>
      <c r="O829" s="4">
        <f t="shared" si="1069"/>
        <v>1000</v>
      </c>
      <c r="P829" s="4">
        <f t="shared" si="1000"/>
        <v>0</v>
      </c>
      <c r="Q829" s="4" t="str">
        <f t="shared" si="1029"/>
        <v/>
      </c>
      <c r="R829" s="4" t="str">
        <f t="shared" si="1045"/>
        <v/>
      </c>
      <c r="S829" s="4" t="str">
        <f t="shared" si="1035"/>
        <v/>
      </c>
      <c r="T829" s="4" t="e">
        <f t="shared" si="1001"/>
        <v>#VALUE!</v>
      </c>
      <c r="U829" s="4" t="e">
        <f t="shared" si="1002"/>
        <v>#VALUE!</v>
      </c>
      <c r="V829" s="4" t="b">
        <f t="shared" si="993"/>
        <v>0</v>
      </c>
      <c r="W829" s="13" t="str">
        <f t="shared" si="994"/>
        <v>Да</v>
      </c>
      <c r="X829" s="4" t="e">
        <f>(IF(COUNTIFS($G$2:G829,"+",$W$2:W829,"Да")&gt;1,"&amp; ","")&amp;D829&amp;J829&amp;E829&amp;SUBSTITUTE(L829,"""",""))</f>
        <v>#VALUE!</v>
      </c>
      <c r="Y829" s="4" t="e">
        <f t="shared" si="1032"/>
        <v>#VALUE!</v>
      </c>
    </row>
    <row r="830" spans="1:25" x14ac:dyDescent="0.3">
      <c r="A830" s="11"/>
      <c r="B830" s="5" t="str">
        <f t="shared" si="995"/>
        <v/>
      </c>
      <c r="C830" s="5" t="str">
        <f t="shared" si="996"/>
        <v/>
      </c>
      <c r="D830" s="4" t="s">
        <v>10</v>
      </c>
      <c r="E830" s="4" t="s">
        <v>11</v>
      </c>
      <c r="F830" s="4" t="str">
        <f t="shared" si="1019"/>
        <v>!!!</v>
      </c>
      <c r="G830" s="4" t="str">
        <f t="shared" si="997"/>
        <v>+</v>
      </c>
      <c r="H830" s="4"/>
      <c r="I830" s="4" t="str">
        <f t="shared" si="1020"/>
        <v>!!!</v>
      </c>
      <c r="J830" s="4" t="e">
        <f t="shared" si="1021"/>
        <v>#VALUE!</v>
      </c>
      <c r="K830" s="4" t="e">
        <f t="shared" si="1022"/>
        <v>#VALUE!</v>
      </c>
      <c r="L830" s="4" t="e">
        <f t="shared" si="1023"/>
        <v>#VALUE!</v>
      </c>
      <c r="M830" s="4">
        <f t="shared" si="998"/>
        <v>1000</v>
      </c>
      <c r="N830" s="4">
        <f t="shared" ref="N830:O830" si="1070">MIN(IFERROR(FIND(" ",$C830,M830+1),1000))</f>
        <v>1000</v>
      </c>
      <c r="O830" s="4">
        <f t="shared" si="1070"/>
        <v>1000</v>
      </c>
      <c r="P830" s="4">
        <f t="shared" si="1000"/>
        <v>0</v>
      </c>
      <c r="Q830" s="4" t="str">
        <f t="shared" si="1029"/>
        <v/>
      </c>
      <c r="R830" s="4" t="str">
        <f t="shared" si="1045"/>
        <v/>
      </c>
      <c r="S830" s="4" t="str">
        <f t="shared" si="1035"/>
        <v/>
      </c>
      <c r="T830" s="4" t="e">
        <f t="shared" si="1001"/>
        <v>#VALUE!</v>
      </c>
      <c r="U830" s="4" t="e">
        <f t="shared" si="1002"/>
        <v>#VALUE!</v>
      </c>
      <c r="V830" s="4" t="b">
        <f t="shared" si="993"/>
        <v>0</v>
      </c>
      <c r="W830" s="13" t="str">
        <f t="shared" si="994"/>
        <v>Да</v>
      </c>
      <c r="X830" s="4" t="e">
        <f>(IF(COUNTIFS($G$2:G830,"+",$W$2:W830,"Да")&gt;1,"&amp; ","")&amp;D830&amp;J830&amp;E830&amp;SUBSTITUTE(L830,"""",""))</f>
        <v>#VALUE!</v>
      </c>
      <c r="Y830" s="4" t="e">
        <f t="shared" si="1032"/>
        <v>#VALUE!</v>
      </c>
    </row>
    <row r="831" spans="1:25" x14ac:dyDescent="0.3">
      <c r="A831" s="11"/>
      <c r="B831" s="5" t="str">
        <f t="shared" si="995"/>
        <v/>
      </c>
      <c r="C831" s="5" t="str">
        <f t="shared" si="996"/>
        <v/>
      </c>
      <c r="D831" s="4" t="s">
        <v>10</v>
      </c>
      <c r="E831" s="4" t="s">
        <v>11</v>
      </c>
      <c r="F831" s="4" t="str">
        <f t="shared" si="1019"/>
        <v>!!!</v>
      </c>
      <c r="G831" s="4" t="str">
        <f t="shared" si="997"/>
        <v>+</v>
      </c>
      <c r="H831" s="4"/>
      <c r="I831" s="4" t="str">
        <f t="shared" si="1020"/>
        <v>!!!</v>
      </c>
      <c r="J831" s="4" t="e">
        <f t="shared" si="1021"/>
        <v>#VALUE!</v>
      </c>
      <c r="K831" s="4" t="e">
        <f t="shared" si="1022"/>
        <v>#VALUE!</v>
      </c>
      <c r="L831" s="4" t="e">
        <f t="shared" si="1023"/>
        <v>#VALUE!</v>
      </c>
      <c r="M831" s="4">
        <f t="shared" si="998"/>
        <v>1000</v>
      </c>
      <c r="N831" s="4">
        <f t="shared" ref="N831:O831" si="1071">MIN(IFERROR(FIND(" ",$C831,M831+1),1000))</f>
        <v>1000</v>
      </c>
      <c r="O831" s="4">
        <f t="shared" si="1071"/>
        <v>1000</v>
      </c>
      <c r="P831" s="4">
        <f t="shared" si="1000"/>
        <v>0</v>
      </c>
      <c r="Q831" s="4" t="str">
        <f t="shared" si="1029"/>
        <v/>
      </c>
      <c r="R831" s="4" t="str">
        <f t="shared" si="1045"/>
        <v/>
      </c>
      <c r="S831" s="4" t="str">
        <f t="shared" si="1035"/>
        <v/>
      </c>
      <c r="T831" s="4" t="e">
        <f t="shared" si="1001"/>
        <v>#VALUE!</v>
      </c>
      <c r="U831" s="4" t="e">
        <f t="shared" si="1002"/>
        <v>#VALUE!</v>
      </c>
      <c r="V831" s="4" t="b">
        <f t="shared" si="993"/>
        <v>0</v>
      </c>
      <c r="W831" s="13" t="str">
        <f t="shared" si="994"/>
        <v>Да</v>
      </c>
      <c r="X831" s="4" t="e">
        <f>(IF(COUNTIFS($G$2:G831,"+",$W$2:W831,"Да")&gt;1,"&amp; ","")&amp;D831&amp;J831&amp;E831&amp;SUBSTITUTE(L831,"""",""))</f>
        <v>#VALUE!</v>
      </c>
      <c r="Y831" s="4" t="e">
        <f t="shared" si="1032"/>
        <v>#VALUE!</v>
      </c>
    </row>
    <row r="832" spans="1:25" x14ac:dyDescent="0.3">
      <c r="A832" s="11"/>
      <c r="B832" s="5" t="str">
        <f t="shared" si="995"/>
        <v/>
      </c>
      <c r="C832" s="5" t="str">
        <f t="shared" si="996"/>
        <v/>
      </c>
      <c r="D832" s="4" t="s">
        <v>10</v>
      </c>
      <c r="E832" s="4" t="s">
        <v>11</v>
      </c>
      <c r="F832" s="4" t="str">
        <f t="shared" si="1019"/>
        <v>!!!</v>
      </c>
      <c r="G832" s="4" t="str">
        <f t="shared" si="997"/>
        <v>+</v>
      </c>
      <c r="H832" s="4"/>
      <c r="I832" s="4" t="str">
        <f t="shared" si="1020"/>
        <v>!!!</v>
      </c>
      <c r="J832" s="4" t="e">
        <f t="shared" si="1021"/>
        <v>#VALUE!</v>
      </c>
      <c r="K832" s="4" t="e">
        <f t="shared" si="1022"/>
        <v>#VALUE!</v>
      </c>
      <c r="L832" s="4" t="e">
        <f t="shared" si="1023"/>
        <v>#VALUE!</v>
      </c>
      <c r="M832" s="4">
        <f t="shared" si="998"/>
        <v>1000</v>
      </c>
      <c r="N832" s="4">
        <f t="shared" ref="N832:O832" si="1072">MIN(IFERROR(FIND(" ",$C832,M832+1),1000))</f>
        <v>1000</v>
      </c>
      <c r="O832" s="4">
        <f t="shared" si="1072"/>
        <v>1000</v>
      </c>
      <c r="P832" s="4">
        <f t="shared" si="1000"/>
        <v>0</v>
      </c>
      <c r="Q832" s="4" t="str">
        <f t="shared" si="1029"/>
        <v/>
      </c>
      <c r="R832" s="4" t="str">
        <f t="shared" si="1045"/>
        <v/>
      </c>
      <c r="S832" s="4" t="str">
        <f t="shared" si="1035"/>
        <v/>
      </c>
      <c r="T832" s="4" t="e">
        <f t="shared" si="1001"/>
        <v>#VALUE!</v>
      </c>
      <c r="U832" s="4" t="e">
        <f t="shared" si="1002"/>
        <v>#VALUE!</v>
      </c>
      <c r="V832" s="4" t="b">
        <f t="shared" si="993"/>
        <v>0</v>
      </c>
      <c r="W832" s="13" t="str">
        <f t="shared" si="994"/>
        <v>Да</v>
      </c>
      <c r="X832" s="4" t="e">
        <f>(IF(COUNTIFS($G$2:G832,"+",$W$2:W832,"Да")&gt;1,"&amp; ","")&amp;D832&amp;J832&amp;E832&amp;SUBSTITUTE(L832,"""",""))</f>
        <v>#VALUE!</v>
      </c>
      <c r="Y832" s="4" t="e">
        <f t="shared" si="1032"/>
        <v>#VALUE!</v>
      </c>
    </row>
    <row r="833" spans="1:25" x14ac:dyDescent="0.3">
      <c r="A833" s="11"/>
      <c r="B833" s="5" t="str">
        <f t="shared" si="995"/>
        <v/>
      </c>
      <c r="C833" s="5" t="str">
        <f t="shared" si="996"/>
        <v/>
      </c>
      <c r="D833" s="4" t="s">
        <v>10</v>
      </c>
      <c r="E833" s="4" t="s">
        <v>11</v>
      </c>
      <c r="F833" s="4" t="str">
        <f t="shared" si="1019"/>
        <v>!!!</v>
      </c>
      <c r="G833" s="4" t="str">
        <f t="shared" si="997"/>
        <v>+</v>
      </c>
      <c r="H833" s="4"/>
      <c r="I833" s="4" t="str">
        <f t="shared" si="1020"/>
        <v>!!!</v>
      </c>
      <c r="J833" s="4" t="e">
        <f t="shared" si="1021"/>
        <v>#VALUE!</v>
      </c>
      <c r="K833" s="4" t="e">
        <f t="shared" si="1022"/>
        <v>#VALUE!</v>
      </c>
      <c r="L833" s="4" t="e">
        <f t="shared" si="1023"/>
        <v>#VALUE!</v>
      </c>
      <c r="M833" s="4">
        <f t="shared" si="998"/>
        <v>1000</v>
      </c>
      <c r="N833" s="4">
        <f t="shared" ref="N833:O833" si="1073">MIN(IFERROR(FIND(" ",$C833,M833+1),1000))</f>
        <v>1000</v>
      </c>
      <c r="O833" s="4">
        <f t="shared" si="1073"/>
        <v>1000</v>
      </c>
      <c r="P833" s="4">
        <f t="shared" si="1000"/>
        <v>0</v>
      </c>
      <c r="Q833" s="4" t="str">
        <f t="shared" si="1029"/>
        <v/>
      </c>
      <c r="R833" s="4" t="str">
        <f t="shared" si="1045"/>
        <v/>
      </c>
      <c r="S833" s="4" t="str">
        <f t="shared" si="1035"/>
        <v/>
      </c>
      <c r="T833" s="4" t="e">
        <f t="shared" si="1001"/>
        <v>#VALUE!</v>
      </c>
      <c r="U833" s="4" t="e">
        <f t="shared" si="1002"/>
        <v>#VALUE!</v>
      </c>
      <c r="V833" s="4" t="b">
        <f t="shared" si="993"/>
        <v>0</v>
      </c>
      <c r="W833" s="13" t="str">
        <f t="shared" si="994"/>
        <v>Да</v>
      </c>
      <c r="X833" s="4" t="e">
        <f>(IF(COUNTIFS($G$2:G833,"+",$W$2:W833,"Да")&gt;1,"&amp; ","")&amp;D833&amp;J833&amp;E833&amp;SUBSTITUTE(L833,"""",""))</f>
        <v>#VALUE!</v>
      </c>
      <c r="Y833" s="4" t="e">
        <f t="shared" si="1032"/>
        <v>#VALUE!</v>
      </c>
    </row>
    <row r="834" spans="1:25" x14ac:dyDescent="0.3">
      <c r="A834" s="11"/>
      <c r="B834" s="5" t="str">
        <f t="shared" si="995"/>
        <v/>
      </c>
      <c r="C834" s="5" t="str">
        <f t="shared" si="996"/>
        <v/>
      </c>
      <c r="D834" s="4" t="s">
        <v>10</v>
      </c>
      <c r="E834" s="4" t="s">
        <v>11</v>
      </c>
      <c r="F834" s="4" t="str">
        <f t="shared" si="1019"/>
        <v>!!!</v>
      </c>
      <c r="G834" s="4" t="str">
        <f t="shared" si="997"/>
        <v>+</v>
      </c>
      <c r="H834" s="4"/>
      <c r="I834" s="4" t="str">
        <f t="shared" si="1020"/>
        <v>!!!</v>
      </c>
      <c r="J834" s="4" t="e">
        <f t="shared" si="1021"/>
        <v>#VALUE!</v>
      </c>
      <c r="K834" s="4" t="e">
        <f t="shared" si="1022"/>
        <v>#VALUE!</v>
      </c>
      <c r="L834" s="4" t="e">
        <f t="shared" si="1023"/>
        <v>#VALUE!</v>
      </c>
      <c r="M834" s="4">
        <f t="shared" si="998"/>
        <v>1000</v>
      </c>
      <c r="N834" s="4">
        <f t="shared" ref="N834:O834" si="1074">MIN(IFERROR(FIND(" ",$C834,M834+1),1000))</f>
        <v>1000</v>
      </c>
      <c r="O834" s="4">
        <f t="shared" si="1074"/>
        <v>1000</v>
      </c>
      <c r="P834" s="4">
        <f t="shared" si="1000"/>
        <v>0</v>
      </c>
      <c r="Q834" s="4" t="str">
        <f t="shared" si="1029"/>
        <v/>
      </c>
      <c r="R834" s="4" t="str">
        <f t="shared" si="1045"/>
        <v/>
      </c>
      <c r="S834" s="4" t="str">
        <f t="shared" si="1035"/>
        <v/>
      </c>
      <c r="T834" s="4" t="e">
        <f t="shared" si="1001"/>
        <v>#VALUE!</v>
      </c>
      <c r="U834" s="4" t="e">
        <f t="shared" si="1002"/>
        <v>#VALUE!</v>
      </c>
      <c r="V834" s="4" t="b">
        <f t="shared" ref="V834:V897" si="1075">OR(IFERROR(MATCH(U834,Q:Q,0),0)&lt;&gt;0,IFERROR(MATCH(U834,R:R,0),0)&lt;&gt;0)</f>
        <v>0</v>
      </c>
      <c r="W834" s="13" t="str">
        <f t="shared" ref="W834:W897" si="1076">IF(A834="","Да",IF(OR(F834="!!!",NOT(V834)),"Нет","Да"))</f>
        <v>Да</v>
      </c>
      <c r="X834" s="4" t="e">
        <f>(IF(COUNTIFS($G$2:G834,"+",$W$2:W834,"Да")&gt;1,"&amp; ","")&amp;D834&amp;J834&amp;E834&amp;SUBSTITUTE(L834,"""",""))</f>
        <v>#VALUE!</v>
      </c>
      <c r="Y834" s="4" t="e">
        <f t="shared" si="1032"/>
        <v>#VALUE!</v>
      </c>
    </row>
    <row r="835" spans="1:25" x14ac:dyDescent="0.3">
      <c r="A835" s="11"/>
      <c r="B835" s="5" t="str">
        <f t="shared" ref="B835:B844" si="1077">TRIM(LEFT(A835,IFERROR(FIND("'",A835)-1,1000)))</f>
        <v/>
      </c>
      <c r="C835" s="5" t="str">
        <f t="shared" ref="C835:C844" si="1078">SUBSTITUTE(SUBSTITUTE(SUBSTITUTE(SUBSTITUTE(TRIM(LEFT(A835,IFERROR(FIND("'",A835)-1,1000))),"&lt;&lt;","&lt;"),"--","-"),"&gt;&gt;","&gt;"),"&amp;","")</f>
        <v/>
      </c>
      <c r="D835" s="4" t="s">
        <v>10</v>
      </c>
      <c r="E835" s="4" t="s">
        <v>11</v>
      </c>
      <c r="F835" s="4" t="str">
        <f t="shared" si="1019"/>
        <v>!!!</v>
      </c>
      <c r="G835" s="4" t="str">
        <f t="shared" ref="G835:G842" si="1079">IF(AND($A$2="",$A$3="",$A$4="",$A$5=""),"+",IF(F835="!!!","X","+"))</f>
        <v>+</v>
      </c>
      <c r="H835" s="4"/>
      <c r="I835" s="4" t="str">
        <f t="shared" si="1020"/>
        <v>!!!</v>
      </c>
      <c r="J835" s="4" t="e">
        <f t="shared" si="1021"/>
        <v>#VALUE!</v>
      </c>
      <c r="K835" s="4" t="e">
        <f t="shared" si="1022"/>
        <v>#VALUE!</v>
      </c>
      <c r="L835" s="4" t="e">
        <f t="shared" si="1023"/>
        <v>#VALUE!</v>
      </c>
      <c r="M835" s="4">
        <f t="shared" ref="M835:M844" si="1080">MIN(IFERROR(FIND(" ",$C835),1000))</f>
        <v>1000</v>
      </c>
      <c r="N835" s="4">
        <f t="shared" ref="N835:O835" si="1081">MIN(IFERROR(FIND(" ",$C835,M835+1),1000))</f>
        <v>1000</v>
      </c>
      <c r="O835" s="4">
        <f t="shared" si="1081"/>
        <v>1000</v>
      </c>
      <c r="P835" s="4">
        <f t="shared" ref="P835:P844" si="1082">MIN(IFERROR(FIND(" ",C835,O835+1),0),IFERROR(FIND("&lt;",C835,O835+1),0),IFERROR(FIND(":",C835,O835+1),0))</f>
        <v>0</v>
      </c>
      <c r="Q835" s="4" t="str">
        <f t="shared" si="1029"/>
        <v/>
      </c>
      <c r="R835" s="4" t="str">
        <f t="shared" si="1045"/>
        <v/>
      </c>
      <c r="S835" s="4" t="str">
        <f t="shared" si="1035"/>
        <v/>
      </c>
      <c r="T835" s="4" t="e">
        <f t="shared" ref="T835:T844" si="1083">FIND(" ",C835,FIND("as",C835))+1</f>
        <v>#VALUE!</v>
      </c>
      <c r="U835" s="4" t="e">
        <f t="shared" ref="U835:U844" si="1084">MID(C835,T835,MIN(FIND(" ",C835,T835),FIND("&lt;",C835,T835))-T835)</f>
        <v>#VALUE!</v>
      </c>
      <c r="V835" s="4" t="b">
        <f t="shared" si="1075"/>
        <v>0</v>
      </c>
      <c r="W835" s="13" t="str">
        <f t="shared" si="1076"/>
        <v>Да</v>
      </c>
      <c r="X835" s="4" t="e">
        <f>(IF(COUNTIFS($G$2:G835,"+",$W$2:W835,"Да")&gt;1,"&amp; ","")&amp;D835&amp;J835&amp;E835&amp;SUBSTITUTE(L835,"""",""))</f>
        <v>#VALUE!</v>
      </c>
      <c r="Y835" s="4" t="e">
        <f t="shared" si="1032"/>
        <v>#VALUE!</v>
      </c>
    </row>
    <row r="836" spans="1:25" x14ac:dyDescent="0.3">
      <c r="A836" s="11"/>
      <c r="B836" s="5" t="str">
        <f t="shared" si="1077"/>
        <v/>
      </c>
      <c r="C836" s="5" t="str">
        <f t="shared" si="1078"/>
        <v/>
      </c>
      <c r="D836" s="4" t="s">
        <v>10</v>
      </c>
      <c r="E836" s="4" t="s">
        <v>11</v>
      </c>
      <c r="F836" s="4" t="str">
        <f t="shared" si="1019"/>
        <v>!!!</v>
      </c>
      <c r="G836" s="4" t="str">
        <f t="shared" si="1079"/>
        <v>+</v>
      </c>
      <c r="H836" s="4"/>
      <c r="I836" s="4" t="str">
        <f t="shared" si="1020"/>
        <v>!!!</v>
      </c>
      <c r="J836" s="4" t="e">
        <f t="shared" si="1021"/>
        <v>#VALUE!</v>
      </c>
      <c r="K836" s="4" t="e">
        <f t="shared" si="1022"/>
        <v>#VALUE!</v>
      </c>
      <c r="L836" s="4" t="e">
        <f t="shared" si="1023"/>
        <v>#VALUE!</v>
      </c>
      <c r="M836" s="4">
        <f t="shared" si="1080"/>
        <v>1000</v>
      </c>
      <c r="N836" s="4">
        <f t="shared" ref="N836:O836" si="1085">MIN(IFERROR(FIND(" ",$C836,M836+1),1000))</f>
        <v>1000</v>
      </c>
      <c r="O836" s="4">
        <f t="shared" si="1085"/>
        <v>1000</v>
      </c>
      <c r="P836" s="4">
        <f t="shared" si="1082"/>
        <v>0</v>
      </c>
      <c r="Q836" s="4" t="str">
        <f t="shared" si="1029"/>
        <v/>
      </c>
      <c r="R836" s="4" t="str">
        <f t="shared" si="1045"/>
        <v/>
      </c>
      <c r="S836" s="4" t="str">
        <f t="shared" si="1035"/>
        <v/>
      </c>
      <c r="T836" s="4" t="e">
        <f t="shared" si="1083"/>
        <v>#VALUE!</v>
      </c>
      <c r="U836" s="4" t="e">
        <f t="shared" si="1084"/>
        <v>#VALUE!</v>
      </c>
      <c r="V836" s="4" t="b">
        <f t="shared" si="1075"/>
        <v>0</v>
      </c>
      <c r="W836" s="13" t="str">
        <f t="shared" si="1076"/>
        <v>Да</v>
      </c>
      <c r="X836" s="4" t="e">
        <f>(IF(COUNTIFS($G$2:G836,"+",$W$2:W836,"Да")&gt;1,"&amp; ","")&amp;D836&amp;J836&amp;E836&amp;SUBSTITUTE(L836,"""",""))</f>
        <v>#VALUE!</v>
      </c>
      <c r="Y836" s="4" t="e">
        <f t="shared" si="1032"/>
        <v>#VALUE!</v>
      </c>
    </row>
    <row r="837" spans="1:25" x14ac:dyDescent="0.3">
      <c r="A837" s="11"/>
      <c r="B837" s="5" t="str">
        <f t="shared" si="1077"/>
        <v/>
      </c>
      <c r="C837" s="5" t="str">
        <f t="shared" si="1078"/>
        <v/>
      </c>
      <c r="D837" s="4" t="s">
        <v>10</v>
      </c>
      <c r="E837" s="4" t="s">
        <v>11</v>
      </c>
      <c r="F837" s="4" t="str">
        <f t="shared" si="1019"/>
        <v>!!!</v>
      </c>
      <c r="G837" s="4" t="str">
        <f t="shared" si="1079"/>
        <v>+</v>
      </c>
      <c r="H837" s="4"/>
      <c r="I837" s="4" t="str">
        <f t="shared" si="1020"/>
        <v>!!!</v>
      </c>
      <c r="J837" s="4" t="e">
        <f t="shared" si="1021"/>
        <v>#VALUE!</v>
      </c>
      <c r="K837" s="4" t="e">
        <f t="shared" si="1022"/>
        <v>#VALUE!</v>
      </c>
      <c r="L837" s="4" t="e">
        <f t="shared" si="1023"/>
        <v>#VALUE!</v>
      </c>
      <c r="M837" s="4">
        <f t="shared" si="1080"/>
        <v>1000</v>
      </c>
      <c r="N837" s="4">
        <f t="shared" ref="N837:O837" si="1086">MIN(IFERROR(FIND(" ",$C837,M837+1),1000))</f>
        <v>1000</v>
      </c>
      <c r="O837" s="4">
        <f t="shared" si="1086"/>
        <v>1000</v>
      </c>
      <c r="P837" s="4">
        <f t="shared" si="1082"/>
        <v>0</v>
      </c>
      <c r="Q837" s="4" t="str">
        <f t="shared" si="1029"/>
        <v/>
      </c>
      <c r="R837" s="4" t="str">
        <f t="shared" si="1045"/>
        <v/>
      </c>
      <c r="S837" s="4" t="str">
        <f t="shared" si="1035"/>
        <v/>
      </c>
      <c r="T837" s="4" t="e">
        <f t="shared" si="1083"/>
        <v>#VALUE!</v>
      </c>
      <c r="U837" s="4" t="e">
        <f t="shared" si="1084"/>
        <v>#VALUE!</v>
      </c>
      <c r="V837" s="4" t="b">
        <f t="shared" si="1075"/>
        <v>0</v>
      </c>
      <c r="W837" s="13" t="str">
        <f t="shared" si="1076"/>
        <v>Да</v>
      </c>
      <c r="X837" s="4" t="e">
        <f>(IF(COUNTIFS($G$2:G837,"+",$W$2:W837,"Да")&gt;1,"&amp; ","")&amp;D837&amp;J837&amp;E837&amp;SUBSTITUTE(L837,"""",""))</f>
        <v>#VALUE!</v>
      </c>
      <c r="Y837" s="4" t="e">
        <f t="shared" si="1032"/>
        <v>#VALUE!</v>
      </c>
    </row>
    <row r="838" spans="1:25" x14ac:dyDescent="0.3">
      <c r="A838" s="11"/>
      <c r="B838" s="5" t="str">
        <f t="shared" si="1077"/>
        <v/>
      </c>
      <c r="C838" s="5" t="str">
        <f t="shared" si="1078"/>
        <v/>
      </c>
      <c r="D838" s="4" t="s">
        <v>10</v>
      </c>
      <c r="E838" s="4" t="s">
        <v>11</v>
      </c>
      <c r="F838" s="4" t="str">
        <f t="shared" si="1019"/>
        <v>!!!</v>
      </c>
      <c r="G838" s="4" t="str">
        <f t="shared" si="1079"/>
        <v>+</v>
      </c>
      <c r="H838" s="4"/>
      <c r="I838" s="4" t="str">
        <f t="shared" si="1020"/>
        <v>!!!</v>
      </c>
      <c r="J838" s="4" t="e">
        <f t="shared" si="1021"/>
        <v>#VALUE!</v>
      </c>
      <c r="K838" s="4" t="e">
        <f t="shared" si="1022"/>
        <v>#VALUE!</v>
      </c>
      <c r="L838" s="4" t="e">
        <f t="shared" si="1023"/>
        <v>#VALUE!</v>
      </c>
      <c r="M838" s="4">
        <f t="shared" si="1080"/>
        <v>1000</v>
      </c>
      <c r="N838" s="4">
        <f t="shared" ref="N838:O838" si="1087">MIN(IFERROR(FIND(" ",$C838,M838+1),1000))</f>
        <v>1000</v>
      </c>
      <c r="O838" s="4">
        <f t="shared" si="1087"/>
        <v>1000</v>
      </c>
      <c r="P838" s="4">
        <f t="shared" si="1082"/>
        <v>0</v>
      </c>
      <c r="Q838" s="4" t="str">
        <f t="shared" si="1029"/>
        <v/>
      </c>
      <c r="R838" s="4" t="str">
        <f t="shared" si="1045"/>
        <v/>
      </c>
      <c r="S838" s="4" t="str">
        <f t="shared" si="1035"/>
        <v/>
      </c>
      <c r="T838" s="4" t="e">
        <f t="shared" si="1083"/>
        <v>#VALUE!</v>
      </c>
      <c r="U838" s="4" t="e">
        <f t="shared" si="1084"/>
        <v>#VALUE!</v>
      </c>
      <c r="V838" s="4" t="b">
        <f t="shared" si="1075"/>
        <v>0</v>
      </c>
      <c r="W838" s="13" t="str">
        <f t="shared" si="1076"/>
        <v>Да</v>
      </c>
      <c r="X838" s="4" t="e">
        <f>(IF(COUNTIFS($G$2:G838,"+",$W$2:W838,"Да")&gt;1,"&amp; ","")&amp;D838&amp;J838&amp;E838&amp;SUBSTITUTE(L838,"""",""))</f>
        <v>#VALUE!</v>
      </c>
      <c r="Y838" s="4" t="e">
        <f t="shared" si="1032"/>
        <v>#VALUE!</v>
      </c>
    </row>
    <row r="839" spans="1:25" x14ac:dyDescent="0.3">
      <c r="A839" s="11"/>
      <c r="B839" s="5" t="str">
        <f t="shared" si="1077"/>
        <v/>
      </c>
      <c r="C839" s="5" t="str">
        <f t="shared" si="1078"/>
        <v/>
      </c>
      <c r="D839" s="4" t="s">
        <v>10</v>
      </c>
      <c r="E839" s="4" t="s">
        <v>11</v>
      </c>
      <c r="F839" s="4" t="str">
        <f t="shared" si="1019"/>
        <v>!!!</v>
      </c>
      <c r="G839" s="4" t="str">
        <f t="shared" si="1079"/>
        <v>+</v>
      </c>
      <c r="H839" s="4"/>
      <c r="I839" s="4" t="str">
        <f t="shared" si="1020"/>
        <v>!!!</v>
      </c>
      <c r="J839" s="4" t="e">
        <f t="shared" si="1021"/>
        <v>#VALUE!</v>
      </c>
      <c r="K839" s="4" t="e">
        <f t="shared" si="1022"/>
        <v>#VALUE!</v>
      </c>
      <c r="L839" s="4" t="e">
        <f t="shared" si="1023"/>
        <v>#VALUE!</v>
      </c>
      <c r="M839" s="4">
        <f t="shared" si="1080"/>
        <v>1000</v>
      </c>
      <c r="N839" s="4">
        <f t="shared" ref="N839:O839" si="1088">MIN(IFERROR(FIND(" ",$C839,M839+1),1000))</f>
        <v>1000</v>
      </c>
      <c r="O839" s="4">
        <f t="shared" si="1088"/>
        <v>1000</v>
      </c>
      <c r="P839" s="4">
        <f t="shared" si="1082"/>
        <v>0</v>
      </c>
      <c r="Q839" s="4" t="str">
        <f t="shared" si="1029"/>
        <v/>
      </c>
      <c r="R839" s="4" t="str">
        <f t="shared" si="1045"/>
        <v/>
      </c>
      <c r="S839" s="4" t="str">
        <f t="shared" si="1035"/>
        <v/>
      </c>
      <c r="T839" s="4" t="e">
        <f t="shared" si="1083"/>
        <v>#VALUE!</v>
      </c>
      <c r="U839" s="4" t="e">
        <f t="shared" si="1084"/>
        <v>#VALUE!</v>
      </c>
      <c r="V839" s="4" t="b">
        <f t="shared" si="1075"/>
        <v>0</v>
      </c>
      <c r="W839" s="13" t="str">
        <f t="shared" si="1076"/>
        <v>Да</v>
      </c>
      <c r="X839" s="4" t="e">
        <f>(IF(COUNTIFS($G$2:G839,"+",$W$2:W839,"Да")&gt;1,"&amp; ","")&amp;D839&amp;J839&amp;E839&amp;SUBSTITUTE(L839,"""",""))</f>
        <v>#VALUE!</v>
      </c>
      <c r="Y839" s="4" t="e">
        <f t="shared" si="1032"/>
        <v>#VALUE!</v>
      </c>
    </row>
    <row r="840" spans="1:25" x14ac:dyDescent="0.3">
      <c r="A840" s="11"/>
      <c r="B840" s="5" t="str">
        <f t="shared" si="1077"/>
        <v/>
      </c>
      <c r="C840" s="5" t="str">
        <f t="shared" si="1078"/>
        <v/>
      </c>
      <c r="D840" s="4" t="s">
        <v>10</v>
      </c>
      <c r="E840" s="4" t="s">
        <v>11</v>
      </c>
      <c r="F840" s="4" t="str">
        <f t="shared" si="1019"/>
        <v>!!!</v>
      </c>
      <c r="G840" s="4" t="str">
        <f t="shared" si="1079"/>
        <v>+</v>
      </c>
      <c r="H840" s="4"/>
      <c r="I840" s="4" t="str">
        <f t="shared" si="1020"/>
        <v>!!!</v>
      </c>
      <c r="J840" s="4" t="e">
        <f t="shared" si="1021"/>
        <v>#VALUE!</v>
      </c>
      <c r="K840" s="4" t="e">
        <f t="shared" si="1022"/>
        <v>#VALUE!</v>
      </c>
      <c r="L840" s="4" t="e">
        <f t="shared" si="1023"/>
        <v>#VALUE!</v>
      </c>
      <c r="M840" s="4">
        <f t="shared" si="1080"/>
        <v>1000</v>
      </c>
      <c r="N840" s="4">
        <f t="shared" ref="N840:O840" si="1089">MIN(IFERROR(FIND(" ",$C840,M840+1),1000))</f>
        <v>1000</v>
      </c>
      <c r="O840" s="4">
        <f t="shared" si="1089"/>
        <v>1000</v>
      </c>
      <c r="P840" s="4">
        <f t="shared" si="1082"/>
        <v>0</v>
      </c>
      <c r="Q840" s="4" t="str">
        <f t="shared" si="1029"/>
        <v/>
      </c>
      <c r="R840" s="4" t="str">
        <f t="shared" si="1045"/>
        <v/>
      </c>
      <c r="S840" s="4" t="str">
        <f t="shared" si="1035"/>
        <v/>
      </c>
      <c r="T840" s="4" t="e">
        <f t="shared" si="1083"/>
        <v>#VALUE!</v>
      </c>
      <c r="U840" s="4" t="e">
        <f t="shared" si="1084"/>
        <v>#VALUE!</v>
      </c>
      <c r="V840" s="4" t="b">
        <f t="shared" si="1075"/>
        <v>0</v>
      </c>
      <c r="W840" s="13" t="str">
        <f t="shared" si="1076"/>
        <v>Да</v>
      </c>
      <c r="X840" s="4" t="e">
        <f>(IF(COUNTIFS($G$2:G840,"+",$W$2:W840,"Да")&gt;1,"&amp; ","")&amp;D840&amp;J840&amp;E840&amp;SUBSTITUTE(L840,"""",""))</f>
        <v>#VALUE!</v>
      </c>
      <c r="Y840" s="4" t="e">
        <f t="shared" si="1032"/>
        <v>#VALUE!</v>
      </c>
    </row>
    <row r="841" spans="1:25" x14ac:dyDescent="0.3">
      <c r="A841" s="11"/>
      <c r="B841" s="5" t="str">
        <f t="shared" si="1077"/>
        <v/>
      </c>
      <c r="C841" s="5" t="str">
        <f t="shared" si="1078"/>
        <v/>
      </c>
      <c r="D841" s="4" t="s">
        <v>10</v>
      </c>
      <c r="E841" s="4" t="s">
        <v>11</v>
      </c>
      <c r="F841" s="4" t="str">
        <f t="shared" si="1019"/>
        <v>!!!</v>
      </c>
      <c r="G841" s="4" t="str">
        <f t="shared" si="1079"/>
        <v>+</v>
      </c>
      <c r="H841" s="4"/>
      <c r="I841" s="4" t="str">
        <f t="shared" si="1020"/>
        <v>!!!</v>
      </c>
      <c r="J841" s="4" t="e">
        <f t="shared" si="1021"/>
        <v>#VALUE!</v>
      </c>
      <c r="K841" s="4" t="e">
        <f t="shared" si="1022"/>
        <v>#VALUE!</v>
      </c>
      <c r="L841" s="4" t="e">
        <f t="shared" si="1023"/>
        <v>#VALUE!</v>
      </c>
      <c r="M841" s="4">
        <f t="shared" si="1080"/>
        <v>1000</v>
      </c>
      <c r="N841" s="4">
        <f t="shared" ref="N841:O841" si="1090">MIN(IFERROR(FIND(" ",$C841,M841+1),1000))</f>
        <v>1000</v>
      </c>
      <c r="O841" s="4">
        <f t="shared" si="1090"/>
        <v>1000</v>
      </c>
      <c r="P841" s="4">
        <f t="shared" si="1082"/>
        <v>0</v>
      </c>
      <c r="Q841" s="4" t="str">
        <f t="shared" si="1029"/>
        <v/>
      </c>
      <c r="R841" s="4" t="str">
        <f t="shared" si="1045"/>
        <v/>
      </c>
      <c r="S841" s="4" t="str">
        <f t="shared" si="1035"/>
        <v/>
      </c>
      <c r="T841" s="4" t="e">
        <f t="shared" si="1083"/>
        <v>#VALUE!</v>
      </c>
      <c r="U841" s="4" t="e">
        <f t="shared" si="1084"/>
        <v>#VALUE!</v>
      </c>
      <c r="V841" s="4" t="b">
        <f t="shared" si="1075"/>
        <v>0</v>
      </c>
      <c r="W841" s="13" t="str">
        <f t="shared" si="1076"/>
        <v>Да</v>
      </c>
      <c r="X841" s="4" t="e">
        <f>(IF(COUNTIFS($G$2:G841,"+",$W$2:W841,"Да")&gt;1,"&amp; ","")&amp;D841&amp;J841&amp;E841&amp;SUBSTITUTE(L841,"""",""))</f>
        <v>#VALUE!</v>
      </c>
      <c r="Y841" s="4" t="e">
        <f t="shared" si="1032"/>
        <v>#VALUE!</v>
      </c>
    </row>
    <row r="842" spans="1:25" x14ac:dyDescent="0.3">
      <c r="A842" s="11"/>
      <c r="B842" s="5" t="str">
        <f t="shared" si="1077"/>
        <v/>
      </c>
      <c r="C842" s="5" t="str">
        <f t="shared" si="1078"/>
        <v/>
      </c>
      <c r="D842" s="4" t="s">
        <v>10</v>
      </c>
      <c r="E842" s="4" t="s">
        <v>11</v>
      </c>
      <c r="F842" s="4" t="str">
        <f t="shared" si="1019"/>
        <v>!!!</v>
      </c>
      <c r="G842" s="4" t="str">
        <f t="shared" si="1079"/>
        <v>+</v>
      </c>
      <c r="H842" s="4"/>
      <c r="I842" s="4" t="str">
        <f t="shared" si="1020"/>
        <v>!!!</v>
      </c>
      <c r="J842" s="4" t="e">
        <f t="shared" si="1021"/>
        <v>#VALUE!</v>
      </c>
      <c r="K842" s="4" t="e">
        <f t="shared" si="1022"/>
        <v>#VALUE!</v>
      </c>
      <c r="L842" s="4" t="e">
        <f t="shared" si="1023"/>
        <v>#VALUE!</v>
      </c>
      <c r="M842" s="4">
        <f t="shared" si="1080"/>
        <v>1000</v>
      </c>
      <c r="N842" s="4">
        <f t="shared" ref="N842:O842" si="1091">MIN(IFERROR(FIND(" ",$C842,M842+1),1000))</f>
        <v>1000</v>
      </c>
      <c r="O842" s="4">
        <f t="shared" si="1091"/>
        <v>1000</v>
      </c>
      <c r="P842" s="4">
        <f t="shared" si="1082"/>
        <v>0</v>
      </c>
      <c r="Q842" s="4" t="str">
        <f t="shared" si="1029"/>
        <v/>
      </c>
      <c r="R842" s="4" t="str">
        <f t="shared" si="1045"/>
        <v/>
      </c>
      <c r="S842" s="4" t="str">
        <f t="shared" si="1035"/>
        <v/>
      </c>
      <c r="T842" s="4" t="e">
        <f t="shared" si="1083"/>
        <v>#VALUE!</v>
      </c>
      <c r="U842" s="4" t="e">
        <f t="shared" si="1084"/>
        <v>#VALUE!</v>
      </c>
      <c r="V842" s="4" t="b">
        <f t="shared" si="1075"/>
        <v>0</v>
      </c>
      <c r="W842" s="13" t="str">
        <f t="shared" si="1076"/>
        <v>Да</v>
      </c>
      <c r="X842" s="4" t="e">
        <f>(IF(COUNTIFS($G$2:G842,"+",$W$2:W842,"Да")&gt;1,"&amp; ","")&amp;D842&amp;J842&amp;E842&amp;SUBSTITUTE(L842,"""",""))</f>
        <v>#VALUE!</v>
      </c>
      <c r="Y842" s="4" t="e">
        <f t="shared" si="1032"/>
        <v>#VALUE!</v>
      </c>
    </row>
    <row r="843" spans="1:25" hidden="1" x14ac:dyDescent="0.3">
      <c r="A843" s="11"/>
      <c r="B843" s="5" t="str">
        <f t="shared" si="1077"/>
        <v/>
      </c>
      <c r="C843" s="5" t="str">
        <f t="shared" si="1078"/>
        <v/>
      </c>
      <c r="D843" s="4" t="s">
        <v>10</v>
      </c>
      <c r="E843" s="4" t="s">
        <v>11</v>
      </c>
      <c r="F843" s="4" t="str">
        <f t="shared" si="1019"/>
        <v>!!!</v>
      </c>
      <c r="G843" s="4" t="s">
        <v>24</v>
      </c>
      <c r="H843" s="4"/>
      <c r="I843" s="4" t="str">
        <f t="shared" si="1020"/>
        <v>!!!</v>
      </c>
      <c r="J843" s="4" t="e">
        <f t="shared" si="1021"/>
        <v>#VALUE!</v>
      </c>
      <c r="K843" s="4" t="e">
        <f t="shared" si="1022"/>
        <v>#VALUE!</v>
      </c>
      <c r="L843" s="4" t="e">
        <f t="shared" si="1023"/>
        <v>#VALUE!</v>
      </c>
      <c r="M843" s="4">
        <f t="shared" si="1080"/>
        <v>1000</v>
      </c>
      <c r="N843" s="4">
        <f t="shared" ref="N843:O843" si="1092">MIN(IFERROR(FIND(" ",$C843,M843+1),1000))</f>
        <v>1000</v>
      </c>
      <c r="O843" s="4">
        <f t="shared" si="1092"/>
        <v>1000</v>
      </c>
      <c r="P843" s="4">
        <f t="shared" si="1082"/>
        <v>0</v>
      </c>
      <c r="Q843" s="4" t="str">
        <f t="shared" si="1029"/>
        <v/>
      </c>
      <c r="R843" s="4" t="str">
        <f t="shared" si="1045"/>
        <v/>
      </c>
      <c r="S843" s="4"/>
      <c r="T843" s="4" t="e">
        <f t="shared" si="1083"/>
        <v>#VALUE!</v>
      </c>
      <c r="U843" s="4" t="e">
        <f t="shared" si="1084"/>
        <v>#VALUE!</v>
      </c>
      <c r="V843" s="4" t="b">
        <f t="shared" si="1075"/>
        <v>0</v>
      </c>
      <c r="W843" s="13" t="str">
        <f t="shared" si="1076"/>
        <v>Да</v>
      </c>
      <c r="X843" s="4" t="e">
        <f>(IF(COUNTIF($G$2:$G843,"+")&gt;1,"&amp; ","")&amp;D843&amp;J843&amp;E843&amp;SUBSTITUTE(L843,"""",""))</f>
        <v>#VALUE!</v>
      </c>
      <c r="Y843" s="15"/>
    </row>
    <row r="844" spans="1:25" hidden="1" x14ac:dyDescent="0.3">
      <c r="A844" s="11"/>
      <c r="B844" s="5" t="str">
        <f t="shared" si="1077"/>
        <v/>
      </c>
      <c r="C844" s="5" t="str">
        <f t="shared" si="1078"/>
        <v/>
      </c>
      <c r="D844" s="4" t="s">
        <v>10</v>
      </c>
      <c r="E844" s="4" t="s">
        <v>11</v>
      </c>
      <c r="F844" s="4" t="str">
        <f t="shared" si="1019"/>
        <v>!!!</v>
      </c>
      <c r="G844" s="4" t="str">
        <f t="shared" ref="G844" si="1093">IF(F844="!!!","X","+")</f>
        <v>X</v>
      </c>
      <c r="H844" s="4"/>
      <c r="I844" s="4" t="str">
        <f t="shared" si="1020"/>
        <v>!!!</v>
      </c>
      <c r="J844" s="4" t="e">
        <f t="shared" si="1021"/>
        <v>#VALUE!</v>
      </c>
      <c r="K844" s="4" t="e">
        <f t="shared" si="1022"/>
        <v>#VALUE!</v>
      </c>
      <c r="L844" s="4" t="e">
        <f t="shared" si="1023"/>
        <v>#VALUE!</v>
      </c>
      <c r="M844" s="4">
        <f t="shared" si="1080"/>
        <v>1000</v>
      </c>
      <c r="N844" s="4">
        <f t="shared" ref="N844:O844" si="1094">MIN(IFERROR(FIND(" ",$C844,M844+1),1000))</f>
        <v>1000</v>
      </c>
      <c r="O844" s="4">
        <f t="shared" si="1094"/>
        <v>1000</v>
      </c>
      <c r="P844" s="4">
        <f t="shared" si="1082"/>
        <v>0</v>
      </c>
      <c r="Q844" s="4" t="str">
        <f t="shared" si="1029"/>
        <v/>
      </c>
      <c r="R844" s="4" t="str">
        <f t="shared" si="1045"/>
        <v/>
      </c>
      <c r="S844" s="4"/>
      <c r="T844" s="4" t="e">
        <f t="shared" si="1083"/>
        <v>#VALUE!</v>
      </c>
      <c r="U844" s="4" t="e">
        <f t="shared" si="1084"/>
        <v>#VALUE!</v>
      </c>
      <c r="V844" s="4" t="b">
        <f t="shared" si="1075"/>
        <v>0</v>
      </c>
      <c r="W844" s="13" t="s">
        <v>20</v>
      </c>
      <c r="X844" s="4" t="e">
        <f>(IF(COUNTIF($G$2:$G844,"+")&gt;1,"&amp; ","")&amp;D844&amp;J844&amp;E844&amp;SUBSTITUTE(L844,"""",""))</f>
        <v>#VALUE!</v>
      </c>
      <c r="Y844" s="15"/>
    </row>
  </sheetData>
  <sheetProtection autoFilter="0"/>
  <autoFilter ref="G1:W844">
    <filterColumn colId="0">
      <filters>
        <filter val="+"/>
      </filters>
    </filterColumn>
    <filterColumn colId="16">
      <filters>
        <filter val="Да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"/>
  <sheetViews>
    <sheetView workbookViewId="0">
      <selection activeCell="X28" sqref="X28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Заголовки</vt:lpstr>
      <vt:lpstr>Инструкция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Ронгонен Анатолий Викторович</dc:creator>
  <cp:lastModifiedBy>Ронгонен Анатолий Викторович</cp:lastModifiedBy>
  <dcterms:created xsi:type="dcterms:W3CDTF">2025-06-30T13:26:13Z</dcterms:created>
  <dcterms:modified xsi:type="dcterms:W3CDTF">2025-12-18T08:29:33Z</dcterms:modified>
</cp:coreProperties>
</file>